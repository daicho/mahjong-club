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mahjong-club-master\成績管理システム\対局\"/>
    </mc:Choice>
  </mc:AlternateContent>
  <xr:revisionPtr revIDLastSave="0" documentId="13_ncr:1_{440F94D8-49AD-4B9D-867F-4A3F86A6C985}" xr6:coauthVersionLast="41" xr6:coauthVersionMax="41" xr10:uidLastSave="{00000000-0000-0000-0000-000000000000}"/>
  <bookViews>
    <workbookView xWindow="-110" yWindow="-110" windowWidth="19420" windowHeight="110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T12" i="28"/>
  <c r="O12" i="28"/>
  <c r="J12" i="28"/>
  <c r="D12" i="28"/>
  <c r="C12" i="28"/>
  <c r="B12" i="28"/>
  <c r="A12" i="28"/>
  <c r="D11" i="28"/>
  <c r="C11" i="28"/>
  <c r="D10" i="28"/>
  <c r="C10" i="28"/>
  <c r="D9" i="28"/>
  <c r="C9" i="28"/>
  <c r="D8" i="28"/>
  <c r="C8" i="28"/>
  <c r="D7" i="28"/>
  <c r="C7" i="28"/>
  <c r="D6" i="28"/>
  <c r="Y5" i="28"/>
  <c r="Y6" i="28" s="1"/>
  <c r="T5" i="28"/>
  <c r="T6" i="28" s="1"/>
  <c r="O5" i="28"/>
  <c r="O6" i="28" s="1"/>
  <c r="J5" i="28"/>
  <c r="J6" i="28" s="1"/>
  <c r="D5" i="28"/>
  <c r="Y4" i="28"/>
  <c r="T4" i="28"/>
  <c r="O4" i="28"/>
  <c r="J4" i="28"/>
  <c r="C5" i="28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12" i="28" l="1"/>
  <c r="Z12" i="28"/>
  <c r="AC12" i="28"/>
  <c r="AA12" i="28"/>
  <c r="AC4" i="28"/>
  <c r="AA4" i="28"/>
  <c r="AB4" i="28"/>
  <c r="Z4" i="28"/>
  <c r="AC6" i="28"/>
  <c r="Y7" i="28"/>
  <c r="J7" i="28"/>
  <c r="Z6" i="28"/>
  <c r="O7" i="28"/>
  <c r="AA6" i="28"/>
  <c r="T7" i="28"/>
  <c r="AB6" i="28"/>
  <c r="Z5" i="28"/>
  <c r="B5" i="28"/>
  <c r="AA5" i="28"/>
  <c r="AB5" i="28"/>
  <c r="AC5" i="28"/>
  <c r="E4" i="27"/>
  <c r="J8" i="28" l="1"/>
  <c r="Z7" i="28"/>
  <c r="B6" i="28"/>
  <c r="A6" i="28" s="1"/>
  <c r="A5" i="28"/>
  <c r="Y8" i="28"/>
  <c r="AC7" i="28"/>
  <c r="AB7" i="28"/>
  <c r="T8" i="28"/>
  <c r="O8" i="28"/>
  <c r="AA7" i="28"/>
  <c r="O5" i="27"/>
  <c r="AC3" i="27"/>
  <c r="AA3" i="27"/>
  <c r="AB3" i="27"/>
  <c r="Z3" i="27"/>
  <c r="O9" i="28" l="1"/>
  <c r="AA8" i="28"/>
  <c r="J9" i="28"/>
  <c r="Z8" i="28"/>
  <c r="T9" i="28"/>
  <c r="AB8" i="28"/>
  <c r="Y9" i="28"/>
  <c r="AC8" i="28"/>
  <c r="B7" i="28"/>
  <c r="A7" i="28" s="1"/>
  <c r="CP1" i="27"/>
  <c r="AC2" i="27"/>
  <c r="BU1" i="27"/>
  <c r="AB2" i="27"/>
  <c r="AZ1" i="27"/>
  <c r="AA2" i="27"/>
  <c r="AE1" i="27"/>
  <c r="Z2" i="27"/>
  <c r="J10" i="28" l="1"/>
  <c r="Z9" i="28"/>
  <c r="B8" i="28"/>
  <c r="O10" i="28"/>
  <c r="AA9" i="28"/>
  <c r="Y10" i="28"/>
  <c r="AC9" i="28"/>
  <c r="AB9" i="28"/>
  <c r="T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 s="1"/>
  <c r="Y11" i="27"/>
  <c r="T11" i="27"/>
  <c r="O11" i="27"/>
  <c r="AA11" i="27" s="1"/>
  <c r="J11" i="27"/>
  <c r="D11" i="27"/>
  <c r="C11" i="27"/>
  <c r="B11" i="27"/>
  <c r="A11" i="27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1" i="28" l="1"/>
  <c r="AB10" i="28"/>
  <c r="J11" i="28"/>
  <c r="Z10" i="28"/>
  <c r="B9" i="28"/>
  <c r="Y11" i="28"/>
  <c r="AC10" i="28"/>
  <c r="O11" i="28"/>
  <c r="AA10" i="28"/>
  <c r="A8" i="28"/>
  <c r="Z11" i="27"/>
  <c r="AC11" i="27"/>
  <c r="AB11" i="27"/>
  <c r="AA10" i="27"/>
  <c r="Z10" i="27"/>
  <c r="AC10" i="27"/>
  <c r="AB10" i="27"/>
  <c r="AA9" i="27"/>
  <c r="Z9" i="27"/>
  <c r="AB9" i="27"/>
  <c r="AC9" i="27"/>
  <c r="AB4" i="27"/>
  <c r="Y5" i="27"/>
  <c r="AC4" i="27"/>
  <c r="O6" i="27"/>
  <c r="AA4" i="27"/>
  <c r="Z4" i="27"/>
  <c r="Y6" i="27"/>
  <c r="O7" i="27"/>
  <c r="T5" i="27"/>
  <c r="Z11" i="28" l="1"/>
  <c r="A9" i="28"/>
  <c r="AB11" i="28"/>
  <c r="AC11" i="28"/>
  <c r="B10" i="28"/>
  <c r="AA11" i="28"/>
  <c r="Z5" i="27"/>
  <c r="AB5" i="27"/>
  <c r="AA5" i="27"/>
  <c r="AC5" i="27"/>
  <c r="Y7" i="27"/>
  <c r="O8" i="27"/>
  <c r="T6" i="27"/>
  <c r="B11" i="28" l="1"/>
  <c r="A11" i="28" s="1"/>
  <c r="A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<sst xmlns="http://schemas.openxmlformats.org/spreadsheetml/2006/main" count="721" uniqueCount="210">
  <si>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</si>
  <si>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</si>
  <si>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</si>
  <si>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</si>
  <si>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</si>
  <si>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</si>
  <si>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</si>
  <si>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</si>
  <si>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</si>
  <si>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</si>
  <si>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</si>
  <si>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</si>
  <si>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</si>
  <si>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</si>
  <si>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</si>
  <si>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</si>
  <si>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</si>
  <si>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</si>
  <si>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</si>
  <si>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</si>
  <si>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</si>
  <si>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</si>
  <si>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</si>
  <si>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</si>
  <si>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</si>
  <si>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</si>
  <si>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</si>
  <si>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</si>
  <si>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</si>
  <si>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</si>
  <si>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</si>
  <si>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</si>
  <si>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</si>
  <si>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</si>
  <si>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</si>
  <si>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</si>
  <si>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</si>
  <si>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</si>
  <si>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</si>
  <si>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</si>
  <si>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</si>
  <si>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</si>
  <si>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</si>
  <si>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</si>
  <si>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</si>
  <si>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</si>
  <si>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</si>
  <si>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</si>
  <si>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</si>
  <si>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</si>
  <si>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</si>
  <si>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</si>
  <si>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</si>
  <si>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</si>
  <si>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</si>
  <si>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</si>
  <si>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</si>
  <si>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</si>
  <si>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</si>
  <si>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</si>
  <si>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</si>
  <si>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</si>
  <si>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</si>
  <si>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</si>
  <si>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</si>
  <si>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</si>
  <si>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</si>
  <si>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</si>
  <si>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</si>
  <si>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</si>
  <si>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</si>
  <si>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</si>
  <si>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</si>
  <si>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</si>
  <si>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</si>
  <si>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</si>
  <si>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</si>
  <si>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</si>
  <si>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</si>
  <si>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</si>
  <si>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</si>
  <si>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</si>
  <si>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</si>
  <si>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</si>
  <si>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</si>
  <si>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</si>
  <si>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</si>
  <si>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</si>
  <si>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</si>
  <si>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</si>
  <si>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</si>
  <si>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</si>
  <si>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</si>
  <si>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</si>
  <si>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</si>
  <si>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</si>
  <si>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</si>
  <si>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</si>
  <si>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</si>
  <si>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</si>
  <si>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</si>
  <si>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</si>
  <si>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</si>
  <si>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</si>
  <si>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</si>
  <si>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</si>
  <si>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</si>
  <si>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</si>
  <si>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</si>
  <si>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</si>
  <si>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</si>
  <si>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</si>
  <si>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</si>
  <si>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</si>
  <si>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</si>
  <si>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</si>
  <si>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</si>
  <si>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</si>
  <si>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</si>
  <si>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</si>
  <si>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</si>
  <si>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</si>
  <si>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</si>
  <si>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</si>
  <si>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</si>
  <si>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</si>
  <si>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</si>
  <si>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</si>
  <si>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</si>
  <si>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</si>
  <si>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</si>
  <si>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</si>
  <si>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</si>
  <si>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</si>
  <si>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</si>
  <si>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</si>
  <si>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</si>
  <si>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</si>
  <si>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</si>
  <si>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</si>
  <si>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</si>
  <si>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</si>
  <si>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</si>
  <si>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</si>
  <si>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</si>
  <si>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</si>
  <si>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</si>
  <si>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</si>
  <si>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</si>
  <si>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</si>
  <si>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</si>
  <si>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</si>
  <si>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</si>
  <si>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</si>
  <si>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</si>
  <si>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</si>
  <si>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</si>
  <si>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</si>
  <si>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</si>
  <si>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</si>
  <si>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</si>
  <si>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</si>
  <si>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</si>
  <si>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</si>
  <si>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</si>
  <si>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</si>
  <si>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</si>
  <si>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</si>
  <si>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</si>
  <si>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</si>
  <si>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</si>
  <si>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</si>
  <si>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</si>
  <si>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</si>
  <si>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</si>
  <si>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</si>
  <si>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</si>
  <si>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</si>
  <si>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</si>
  <si>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</si>
  <si>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</si>
  <si>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</si>
  <si>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</si>
  <si>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</si>
  <si>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矢ヶ崎健</t>
  </si>
  <si>
    <t>矢ヶ崎健</t>
    <phoneticPr fontId="1"/>
  </si>
  <si>
    <t>松澤亮太</t>
  </si>
  <si>
    <t>松澤亮太</t>
    <rPh sb="0" eb="4">
      <t>マツザワ</t>
    </rPh>
    <phoneticPr fontId="1"/>
  </si>
  <si>
    <t>高野源太</t>
  </si>
  <si>
    <t>高野源太</t>
    <rPh sb="0" eb="2">
      <t>タカノ</t>
    </rPh>
    <rPh sb="2" eb="4">
      <t>ゲンタ</t>
    </rPh>
    <phoneticPr fontId="1"/>
  </si>
  <si>
    <t>滝沢悠人</t>
  </si>
  <si>
    <t>滝沢悠人</t>
    <rPh sb="0" eb="2">
      <t>タキザ</t>
    </rPh>
    <rPh sb="2" eb="4">
      <t>ユウト</t>
    </rPh>
    <phoneticPr fontId="1"/>
  </si>
  <si>
    <t>放銃</t>
  </si>
  <si>
    <t>ロン</t>
  </si>
  <si>
    <t>52</t>
  </si>
  <si>
    <t>N</t>
  </si>
  <si>
    <t>T</t>
  </si>
  <si>
    <t>流局</t>
    <phoneticPr fontId="1"/>
  </si>
  <si>
    <t>01</t>
  </si>
  <si>
    <t>02</t>
  </si>
  <si>
    <t>ツモ支払</t>
  </si>
  <si>
    <t>ツモ</t>
  </si>
  <si>
    <t>*</t>
  </si>
  <si>
    <t>小林郁斗</t>
  </si>
  <si>
    <t>小林郁斗</t>
    <rPh sb="0" eb="2">
      <t>コバヤシ</t>
    </rPh>
    <rPh sb="2" eb="3">
      <t>カオル</t>
    </rPh>
    <rPh sb="3" eb="4">
      <t>ト</t>
    </rPh>
    <phoneticPr fontId="1"/>
  </si>
  <si>
    <t>佐藤成浩</t>
  </si>
  <si>
    <t>佐藤成浩</t>
    <rPh sb="0" eb="2">
      <t>サトウ</t>
    </rPh>
    <rPh sb="2" eb="3">
      <t>ナリ</t>
    </rPh>
    <rPh sb="3" eb="4">
      <t>ヒロシ</t>
    </rPh>
    <phoneticPr fontId="1"/>
  </si>
  <si>
    <t>滝沢悠人</t>
    <rPh sb="0" eb="4">
      <t>タキザワ</t>
    </rPh>
    <phoneticPr fontId="1"/>
  </si>
  <si>
    <t>松澤亮太</t>
    <rPh sb="0" eb="4">
      <t>マツ</t>
    </rPh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</si>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</sst>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625940</xdr:colOff>
      <xdr:row>0</xdr:row>
      <xdr:rowOff>116640</xdr:rowOff>
    </xdr:from>
    <xdr:to>
      <xdr:col>7</xdr:col>
      <xdr:colOff>628100</xdr:colOff>
      <xdr:row>0</xdr:row>
      <xdr:rowOff>134640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B53AE727-A173-405A-B487-ADD2CD75AA03}"/>
                </a:ext>
              </a:extLst>
            </xdr14:cNvPr>
            <xdr14:cNvContentPartPr/>
          </xdr14:nvContentPartPr>
          <xdr14:nvPr macro=""/>
          <xdr14:xfrm>
            <a:off x="4296240" y="116640"/>
            <a:ext cx="2160" cy="18000"/>
          </xdr14:xfrm>
        </xdr:contentPart>
      </mc:Choice>
      <mc:Fallback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B53AE727-A173-405A-B487-ADD2CD75AA0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287600" y="108000"/>
              <a:ext cx="19800" cy="356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12-06T08:51:56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9954,'3'2'3041,"-1"7"-3889,-2 7-497,-5 6 769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5" width="9" style="21" customWidth="1"/>
    <col min="6" max="6" width="9.5" style="21" customWidth="1"/>
    <col min="7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187</v>
      </c>
      <c r="G1" s="74"/>
      <c r="H1" s="74"/>
      <c r="I1" s="77"/>
      <c r="J1" s="75"/>
      <c r="K1" s="72" t="s">
        <v>185</v>
      </c>
      <c r="L1" s="74"/>
      <c r="M1" s="74"/>
      <c r="N1" s="77"/>
      <c r="O1" s="75"/>
      <c r="P1" s="72" t="s">
        <v>189</v>
      </c>
      <c r="Q1" s="74"/>
      <c r="R1" s="74"/>
      <c r="S1" s="77"/>
      <c r="T1" s="75"/>
      <c r="U1" s="72" t="s">
        <v>191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松澤亮太</v>
      </c>
      <c r="AF1" s="73" t="str">
        <f t="shared" ref="AF1:AY1" si="0">$F$1</f>
        <v>松澤亮太</v>
      </c>
      <c r="AG1" s="74" t="str">
        <f t="shared" si="0"/>
        <v>松澤亮太</v>
      </c>
      <c r="AH1" s="74" t="str">
        <f t="shared" si="0"/>
        <v>松澤亮太</v>
      </c>
      <c r="AI1" s="74" t="str">
        <f t="shared" si="0"/>
        <v>松澤亮太</v>
      </c>
      <c r="AJ1" s="74" t="str">
        <f t="shared" si="0"/>
        <v>松澤亮太</v>
      </c>
      <c r="AK1" s="74" t="str">
        <f t="shared" si="0"/>
        <v>松澤亮太</v>
      </c>
      <c r="AL1" s="74" t="str">
        <f t="shared" si="0"/>
        <v>松澤亮太</v>
      </c>
      <c r="AM1" s="74" t="str">
        <f t="shared" si="0"/>
        <v>松澤亮太</v>
      </c>
      <c r="AN1" s="74" t="str">
        <f t="shared" si="0"/>
        <v>松澤亮太</v>
      </c>
      <c r="AO1" s="74" t="str">
        <f t="shared" si="0"/>
        <v>松澤亮太</v>
      </c>
      <c r="AP1" s="74" t="str">
        <f t="shared" si="0"/>
        <v>松澤亮太</v>
      </c>
      <c r="AQ1" s="74" t="str">
        <f t="shared" si="0"/>
        <v>松澤亮太</v>
      </c>
      <c r="AR1" s="74" t="str">
        <f t="shared" si="0"/>
        <v>松澤亮太</v>
      </c>
      <c r="AS1" s="74" t="str">
        <f t="shared" si="0"/>
        <v>松澤亮太</v>
      </c>
      <c r="AT1" s="74" t="str">
        <f t="shared" si="0"/>
        <v>松澤亮太</v>
      </c>
      <c r="AU1" s="74" t="str">
        <f t="shared" si="0"/>
        <v>松澤亮太</v>
      </c>
      <c r="AV1" s="74" t="str">
        <f t="shared" si="0"/>
        <v>松澤亮太</v>
      </c>
      <c r="AW1" s="74" t="str">
        <f t="shared" si="0"/>
        <v>松澤亮太</v>
      </c>
      <c r="AX1" s="74" t="str">
        <f t="shared" si="0"/>
        <v>松澤亮太</v>
      </c>
      <c r="AY1" s="75" t="str">
        <f t="shared" si="0"/>
        <v>松澤亮太</v>
      </c>
      <c r="AZ1" s="72" t="str">
        <f>IF($K$1="","",$K$1)</f>
        <v>矢ヶ崎健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高野源太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滝沢悠人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5500000000000000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松澤亮太</v>
      </c>
      <c r="AA2" s="61" t="str">
        <f>IF($K$1="","",$K$1)</f>
        <v>矢ヶ崎健</v>
      </c>
      <c r="AB2" s="61" t="str">
        <f>IF($P$1="","",$P$1)</f>
        <v>高野源太</v>
      </c>
      <c r="AC2" s="13" t="str">
        <f>IF($U$1="","",$U$1)</f>
        <v>滝沢悠人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5500000000000000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5500000000000000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/>
      <c r="G4" s="6"/>
      <c r="H4" s="6"/>
      <c r="I4" s="45"/>
      <c r="J4" s="18">
        <f>IF(COUNTA($F4,$K4,$P4,$U4)&gt;0,J3+SUM(G4:I4),"")</f>
        <v>25000</v>
      </c>
      <c r="K4" s="5" t="s">
        <v>192</v>
      </c>
      <c r="L4" s="6">
        <v>-2000</v>
      </c>
      <c r="M4" s="6">
        <v>-1000</v>
      </c>
      <c r="N4" s="45">
        <v>0</v>
      </c>
      <c r="O4" s="18">
        <f>IF(COUNTA($F4,$K4,$P4,$U4)&gt;0,O3+SUM(L4:N4),"")</f>
        <v>22000</v>
      </c>
      <c r="P4" s="5" t="s">
        <v>193</v>
      </c>
      <c r="Q4" s="6">
        <v>2000</v>
      </c>
      <c r="R4" s="6">
        <v>1000</v>
      </c>
      <c r="S4" s="45">
        <v>0</v>
      </c>
      <c r="T4" s="18">
        <f>IF(COUNTA($F4,$K4,$P4,$U4)&gt;0,T3+SUM(Q4:S4),"")</f>
        <v>28000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-38</v>
      </c>
      <c r="AB4" s="51">
        <f>IF($T4="","",ROUND(($T4-30000)/1000,1)+(2.5-_xlfn.RANK.AVG($T4,($J4,$O4,$T4,$Y4)))*20+IF(_xlfn.RANK.EQ($T4,($J4,$O4,$T4,$Y4))=1,20/((_xlfn.RANK.AVG($T4,($J4,$O4,$T4,$Y4))-1)*2+1),0))</f>
        <v>48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>
        <v>2</v>
      </c>
      <c r="BZ4" s="27">
        <v>30</v>
      </c>
      <c r="CA4" s="37" t="s">
        <v>84</v>
      </c>
      <c r="CB4" s="38" t="s">
        <v>194</v>
      </c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197</v>
      </c>
      <c r="G5" s="6">
        <v>-1500</v>
      </c>
      <c r="H5" s="6"/>
      <c r="I5" s="45"/>
      <c r="J5" s="18">
        <f t="shared" ref="J5:J30" si="2">IF(COUNTA($F5,$K5,$P5,$U5)&gt;0,J4+SUM(G5:I5),"")</f>
        <v>23500</v>
      </c>
      <c r="K5" s="5" t="s">
        <v>197</v>
      </c>
      <c r="L5" s="6">
        <v>-1500</v>
      </c>
      <c r="M5" s="6"/>
      <c r="N5" s="45"/>
      <c r="O5" s="18">
        <f>IF(COUNTA($F5,$K5,$P5,$U5)&gt;0,O4+SUM(L5:N5),"")</f>
        <v>20500</v>
      </c>
      <c r="P5" s="5" t="s">
        <v>197</v>
      </c>
      <c r="Q5" s="6">
        <v>1500</v>
      </c>
      <c r="R5" s="6"/>
      <c r="S5" s="45"/>
      <c r="T5" s="18">
        <f t="shared" ref="T5:T30" si="3">IF(COUNTA($F5,$K5,$P5,$U5)&gt;0,T4+SUM(Q5:S5),"")</f>
        <v>29500</v>
      </c>
      <c r="U5" s="5" t="s">
        <v>197</v>
      </c>
      <c r="V5" s="6">
        <v>1500</v>
      </c>
      <c r="W5" s="6">
        <v>-1000</v>
      </c>
      <c r="X5" s="45"/>
      <c r="Y5" s="18">
        <f t="shared" ref="Y5:Y30" si="4">IF(COUNTA($F5,$K5,$P5,$U5)&gt;0,Y4+SUM(V5:X5),"")</f>
        <v>25500</v>
      </c>
      <c r="Z5" s="50">
        <f>IF($J5="","",ROUND(($J5-30000)/1000,1)+(2.5-_xlfn.RANK.AVG($J5,($J5,$O5,$T5,$Y5)))*20+IF(_xlfn.RANK.EQ($J5,($J5,$O5,$T5,$Y5))=1,20/((_xlfn.RANK.AVG($J5,($J5,$O5,$T5,$Y5))-1)*2+1),0))</f>
        <v>-16.5</v>
      </c>
      <c r="AA5" s="51">
        <f>IF($O5="","",ROUND(($O5-30000)/1000,1)+(2.5-_xlfn.RANK.AVG($O5,($J5,$O5,$T5,$Y5)))*20+IF(_xlfn.RANK.EQ($O5,($J5,$O5,$T5,$Y5))=1,20/((_xlfn.RANK.AVG($O5,($J5,$O5,$T5,$Y5))-1)*2+1),0))</f>
        <v>-39.5</v>
      </c>
      <c r="AB5" s="51">
        <f>IF($T5="","",ROUND(($T5-30000)/1000,1)+(2.5-_xlfn.RANK.AVG($T5,($J5,$O5,$T5,$Y5)))*20+IF(_xlfn.RANK.EQ($T5,($J5,$O5,$T5,$Y5))=1,20/((_xlfn.RANK.AVG($T5,($J5,$O5,$T5,$Y5))-1)*2+1),0))</f>
        <v>49.5</v>
      </c>
      <c r="AC5" s="52">
        <f>IF($Y5="","",ROUND(($Y5-30000)/1000,1)+(2.5-_xlfn.RANK.AVG($Y5,($J5,$O5,$T5,$Y5)))*20+IF(_xlfn.RANK.EQ($Y5,($J5,$O5,$T5,$Y5))=1,20/((_xlfn.RANK.AVG($Y5,($J5,$O5,$T5,$Y5))-1)*2+1),0))</f>
        <v>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195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196</v>
      </c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196</v>
      </c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63" t="s">
        <v>188</v>
      </c>
      <c r="F6" s="5" t="s">
        <v>192</v>
      </c>
      <c r="G6" s="6">
        <v>-8000</v>
      </c>
      <c r="H6" s="6"/>
      <c r="I6" s="45">
        <v>-300</v>
      </c>
      <c r="J6" s="18">
        <f t="shared" si="2"/>
        <v>15200</v>
      </c>
      <c r="K6" s="5" t="s">
        <v>193</v>
      </c>
      <c r="L6" s="6">
        <v>8000</v>
      </c>
      <c r="M6" s="6">
        <v>2000</v>
      </c>
      <c r="N6" s="45">
        <v>300</v>
      </c>
      <c r="O6" s="18">
        <f t="shared" ref="O6:O30" si="8">IF(COUNTA($F6,$K6,$P6,$U6)&gt;0,O5+SUM(L6:N6),"")</f>
        <v>30800</v>
      </c>
      <c r="P6" s="5"/>
      <c r="Q6" s="6"/>
      <c r="R6" s="6">
        <v>-1000</v>
      </c>
      <c r="S6" s="45"/>
      <c r="T6" s="18">
        <f t="shared" si="3"/>
        <v>28500</v>
      </c>
      <c r="U6" s="5"/>
      <c r="V6" s="6"/>
      <c r="W6" s="6"/>
      <c r="X6" s="45"/>
      <c r="Y6" s="18">
        <f t="shared" si="4"/>
        <v>25500</v>
      </c>
      <c r="Z6" s="50">
        <f>IF($J6="","",ROUND(($J6-30000)/1000,1)+(2.5-_xlfn.RANK.AVG($J6,($J6,$O6,$T6,$Y6)))*20+IF(_xlfn.RANK.EQ($J6,($J6,$O6,$T6,$Y6))=1,20/((_xlfn.RANK.AVG($J6,($J6,$O6,$T6,$Y6))-1)*2+1),0))</f>
        <v>-44.8</v>
      </c>
      <c r="AA6" s="51">
        <f>IF($O6="","",ROUND(($O6-30000)/1000,1)+(2.5-_xlfn.RANK.AVG($O6,($J6,$O6,$T6,$Y6)))*20+IF(_xlfn.RANK.EQ($O6,($J6,$O6,$T6,$Y6))=1,20/((_xlfn.RANK.AVG($O6,($J6,$O6,$T6,$Y6))-1)*2+1),0))</f>
        <v>50.8</v>
      </c>
      <c r="AB6" s="51">
        <f>IF($T6="","",ROUND(($T6-30000)/1000,1)+(2.5-_xlfn.RANK.AVG($T6,($J6,$O6,$T6,$Y6)))*20+IF(_xlfn.RANK.EQ($T6,($J6,$O6,$T6,$Y6))=1,20/((_xlfn.RANK.AVG($T6,($J6,$O6,$T6,$Y6))-1)*2+1),0))</f>
        <v>8.5</v>
      </c>
      <c r="AC6" s="52">
        <f>IF($Y6="","",ROUND(($Y6-30000)/1000,1)+(2.5-_xlfn.RANK.AVG($Y6,($J6,$O6,$T6,$Y6)))*20+IF(_xlfn.RANK.EQ($Y6,($J6,$O6,$T6,$Y6))=1,20/((_xlfn.RANK.AVG($Y6,($J6,$O6,$T6,$Y6))-1)*2+1),0))</f>
        <v>-14.5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4</v>
      </c>
      <c r="BE6" s="27">
        <v>30</v>
      </c>
      <c r="BF6" s="37" t="s">
        <v>198</v>
      </c>
      <c r="BG6" s="38" t="s">
        <v>199</v>
      </c>
      <c r="BH6" s="38" t="s">
        <v>78</v>
      </c>
      <c r="BI6" s="38" t="s">
        <v>82</v>
      </c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190</v>
      </c>
      <c r="F7" s="5" t="s">
        <v>200</v>
      </c>
      <c r="G7" s="6">
        <v>-300</v>
      </c>
      <c r="H7" s="6"/>
      <c r="I7" s="45">
        <v>0</v>
      </c>
      <c r="J7" s="18">
        <f t="shared" si="2"/>
        <v>14900</v>
      </c>
      <c r="K7" s="5" t="s">
        <v>200</v>
      </c>
      <c r="L7" s="6">
        <v>-300</v>
      </c>
      <c r="M7" s="6"/>
      <c r="N7" s="45">
        <v>0</v>
      </c>
      <c r="O7" s="18">
        <f t="shared" si="8"/>
        <v>30500</v>
      </c>
      <c r="P7" s="5" t="s">
        <v>201</v>
      </c>
      <c r="Q7" s="6">
        <v>1100</v>
      </c>
      <c r="R7" s="6"/>
      <c r="S7" s="45">
        <v>0</v>
      </c>
      <c r="T7" s="18">
        <f t="shared" si="3"/>
        <v>29600</v>
      </c>
      <c r="U7" s="5" t="s">
        <v>200</v>
      </c>
      <c r="V7" s="6">
        <v>-500</v>
      </c>
      <c r="W7" s="6"/>
      <c r="X7" s="45">
        <v>0</v>
      </c>
      <c r="Y7" s="18">
        <f t="shared" si="4"/>
        <v>25000</v>
      </c>
      <c r="Z7" s="50">
        <f>IF($J7="","",ROUND(($J7-30000)/1000,1)+(2.5-_xlfn.RANK.AVG($J7,($J7,$O7,$T7,$Y7)))*20+IF(_xlfn.RANK.EQ($J7,($J7,$O7,$T7,$Y7))=1,20/((_xlfn.RANK.AVG($J7,($J7,$O7,$T7,$Y7))-1)*2+1),0))</f>
        <v>-45.1</v>
      </c>
      <c r="AA7" s="51">
        <f>IF($O7="","",ROUND(($O7-30000)/1000,1)+(2.5-_xlfn.RANK.AVG($O7,($J7,$O7,$T7,$Y7)))*20+IF(_xlfn.RANK.EQ($O7,($J7,$O7,$T7,$Y7))=1,20/((_xlfn.RANK.AVG($O7,($J7,$O7,$T7,$Y7))-1)*2+1),0))</f>
        <v>50.5</v>
      </c>
      <c r="AB7" s="51">
        <f>IF($T7="","",ROUND(($T7-30000)/1000,1)+(2.5-_xlfn.RANK.AVG($T7,($J7,$O7,$T7,$Y7)))*20+IF(_xlfn.RANK.EQ($T7,($J7,$O7,$T7,$Y7))=1,20/((_xlfn.RANK.AVG($T7,($J7,$O7,$T7,$Y7))-1)*2+1),0))</f>
        <v>9.6</v>
      </c>
      <c r="AC7" s="52">
        <f>IF($Y7="","",ROUND(($Y7-30000)/1000,1)+(2.5-_xlfn.RANK.AVG($Y7,($J7,$O7,$T7,$Y7)))*20+IF(_xlfn.RANK.EQ($Y7,($J7,$O7,$T7,$Y7))=1,20/((_xlfn.RANK.AVG($Y7,($J7,$O7,$T7,$Y7))-1)*2+1),0))</f>
        <v>-15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1</v>
      </c>
      <c r="BZ7" s="27">
        <v>30</v>
      </c>
      <c r="CA7" s="37" t="s">
        <v>85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186</v>
      </c>
      <c r="F8" s="5"/>
      <c r="G8" s="6"/>
      <c r="H8" s="6"/>
      <c r="I8" s="45"/>
      <c r="J8" s="18">
        <f t="shared" si="2"/>
        <v>14900</v>
      </c>
      <c r="K8" s="5"/>
      <c r="L8" s="6"/>
      <c r="M8" s="6"/>
      <c r="N8" s="45"/>
      <c r="O8" s="18">
        <f t="shared" si="8"/>
        <v>30500</v>
      </c>
      <c r="P8" s="5" t="s">
        <v>193</v>
      </c>
      <c r="Q8" s="6">
        <v>1000</v>
      </c>
      <c r="R8" s="6"/>
      <c r="S8" s="45">
        <v>0</v>
      </c>
      <c r="T8" s="18">
        <f t="shared" si="3"/>
        <v>30600</v>
      </c>
      <c r="U8" s="5" t="s">
        <v>192</v>
      </c>
      <c r="V8" s="6">
        <v>-1000</v>
      </c>
      <c r="W8" s="6"/>
      <c r="X8" s="45">
        <v>0</v>
      </c>
      <c r="Y8" s="18">
        <f t="shared" si="4"/>
        <v>24000</v>
      </c>
      <c r="Z8" s="50">
        <f>IF($J8="","",ROUND(($J8-30000)/1000,1)+(2.5-_xlfn.RANK.AVG($J8,($J8,$O8,$T8,$Y8)))*20+IF(_xlfn.RANK.EQ($J8,($J8,$O8,$T8,$Y8))=1,20/((_xlfn.RANK.AVG($J8,($J8,$O8,$T8,$Y8))-1)*2+1),0))</f>
        <v>-45.1</v>
      </c>
      <c r="AA8" s="51">
        <f>IF($O8="","",ROUND(($O8-30000)/1000,1)+(2.5-_xlfn.RANK.AVG($O8,($J8,$O8,$T8,$Y8)))*20+IF(_xlfn.RANK.EQ($O8,($J8,$O8,$T8,$Y8))=1,20/((_xlfn.RANK.AVG($O8,($J8,$O8,$T8,$Y8))-1)*2+1),0))</f>
        <v>10.5</v>
      </c>
      <c r="AB8" s="51">
        <f>IF($T8="","",ROUND(($T8-30000)/1000,1)+(2.5-_xlfn.RANK.AVG($T8,($J8,$O8,$T8,$Y8)))*20+IF(_xlfn.RANK.EQ($T8,($J8,$O8,$T8,$Y8))=1,20/((_xlfn.RANK.AVG($T8,($J8,$O8,$T8,$Y8))-1)*2+1),0))</f>
        <v>50.6</v>
      </c>
      <c r="AC8" s="52">
        <f>IF($Y8="","",ROUND(($Y8-30000)/1000,1)+(2.5-_xlfn.RANK.AVG($Y8,($J8,$O8,$T8,$Y8)))*20+IF(_xlfn.RANK.EQ($Y8,($J8,$O8,$T8,$Y8))=1,20/((_xlfn.RANK.AVG($Y8,($J8,$O8,$T8,$Y8))-1)*2+1),0))</f>
        <v>-16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>
        <v>1</v>
      </c>
      <c r="BZ8" s="27">
        <v>30</v>
      </c>
      <c r="CA8" s="37" t="s">
        <v>85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184</v>
      </c>
      <c r="F9" s="5" t="s">
        <v>200</v>
      </c>
      <c r="G9" s="6">
        <v>-3000</v>
      </c>
      <c r="H9" s="6"/>
      <c r="I9" s="45">
        <v>0</v>
      </c>
      <c r="J9" s="18">
        <f t="shared" si="2"/>
        <v>11900</v>
      </c>
      <c r="K9" s="5" t="s">
        <v>200</v>
      </c>
      <c r="L9" s="6">
        <v>-6000</v>
      </c>
      <c r="M9" s="6"/>
      <c r="N9" s="45">
        <v>0</v>
      </c>
      <c r="O9" s="18">
        <f t="shared" si="8"/>
        <v>24500</v>
      </c>
      <c r="P9" s="5" t="s">
        <v>201</v>
      </c>
      <c r="Q9" s="6">
        <v>12000</v>
      </c>
      <c r="R9" s="6"/>
      <c r="S9" s="45">
        <v>0</v>
      </c>
      <c r="T9" s="18">
        <f t="shared" si="3"/>
        <v>42600</v>
      </c>
      <c r="U9" s="5" t="s">
        <v>200</v>
      </c>
      <c r="V9" s="6">
        <v>-3000</v>
      </c>
      <c r="W9" s="6"/>
      <c r="X9" s="45">
        <v>0</v>
      </c>
      <c r="Y9" s="18">
        <f t="shared" si="4"/>
        <v>21000</v>
      </c>
      <c r="Z9" s="50">
        <f>IF($J9="","",ROUND(($J9-30000)/1000,1)+(2.5-_xlfn.RANK.AVG($J9,($J9,$O9,$T9,$Y9)))*20+IF(_xlfn.RANK.EQ($J9,($J9,$O9,$T9,$Y9))=1,20/((_xlfn.RANK.AVG($J9,($J9,$O9,$T9,$Y9))-1)*2+1),0))</f>
        <v>-48.1</v>
      </c>
      <c r="AA9" s="51">
        <f>IF($O9="","",ROUND(($O9-30000)/1000,1)+(2.5-_xlfn.RANK.AVG($O9,($J9,$O9,$T9,$Y9)))*20+IF(_xlfn.RANK.EQ($O9,($J9,$O9,$T9,$Y9))=1,20/((_xlfn.RANK.AVG($O9,($J9,$O9,$T9,$Y9))-1)*2+1),0))</f>
        <v>4.5</v>
      </c>
      <c r="AB9" s="51">
        <f>IF($T9="","",ROUND(($T9-30000)/1000,1)+(2.5-_xlfn.RANK.AVG($T9,($J9,$O9,$T9,$Y9)))*20+IF(_xlfn.RANK.EQ($T9,($J9,$O9,$T9,$Y9))=1,20/((_xlfn.RANK.AVG($T9,($J9,$O9,$T9,$Y9))-1)*2+1),0))</f>
        <v>62.6</v>
      </c>
      <c r="AC9" s="52">
        <f>IF($Y9="","",ROUND(($Y9-30000)/1000,1)+(2.5-_xlfn.RANK.AVG($Y9,($J9,$O9,$T9,$Y9)))*20+IF(_xlfn.RANK.EQ($Y9,($J9,$O9,$T9,$Y9))=1,20/((_xlfn.RANK.AVG($Y9,($J9,$O9,$T9,$Y9))-1)*2+1),0))</f>
        <v>-19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7</v>
      </c>
      <c r="BZ9" s="27" t="s">
        <v>202</v>
      </c>
      <c r="CA9" s="37" t="s">
        <v>198</v>
      </c>
      <c r="CB9" s="38" t="s">
        <v>81</v>
      </c>
      <c r="CC9" s="38" t="s">
        <v>78</v>
      </c>
      <c r="CD9" s="38" t="s">
        <v>78</v>
      </c>
      <c r="CE9" s="38" t="s">
        <v>79</v>
      </c>
      <c r="CF9" s="38" t="s">
        <v>79</v>
      </c>
      <c r="CG9" s="38" t="s">
        <v>79</v>
      </c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188</v>
      </c>
      <c r="F10" s="5" t="s">
        <v>200</v>
      </c>
      <c r="G10" s="6">
        <v>-3000</v>
      </c>
      <c r="H10" s="6"/>
      <c r="I10" s="45">
        <v>0</v>
      </c>
      <c r="J10" s="18">
        <f t="shared" si="2"/>
        <v>8900</v>
      </c>
      <c r="K10" s="5" t="s">
        <v>201</v>
      </c>
      <c r="L10" s="6">
        <v>12000</v>
      </c>
      <c r="M10" s="6">
        <v>1000</v>
      </c>
      <c r="N10" s="45">
        <v>0</v>
      </c>
      <c r="O10" s="18">
        <f t="shared" si="8"/>
        <v>37500</v>
      </c>
      <c r="P10" s="5" t="s">
        <v>200</v>
      </c>
      <c r="Q10" s="6">
        <v>-6000</v>
      </c>
      <c r="R10" s="6"/>
      <c r="S10" s="45">
        <v>0</v>
      </c>
      <c r="T10" s="18">
        <f t="shared" si="3"/>
        <v>36600</v>
      </c>
      <c r="U10" s="5" t="s">
        <v>200</v>
      </c>
      <c r="V10" s="6">
        <v>-3000</v>
      </c>
      <c r="W10" s="6">
        <v>-1000</v>
      </c>
      <c r="X10" s="45">
        <v>0</v>
      </c>
      <c r="Y10" s="18">
        <f t="shared" si="4"/>
        <v>17000</v>
      </c>
      <c r="Z10" s="50">
        <f>IF($J10="","",ROUND(($J10-30000)/1000,1)+(2.5-_xlfn.RANK.AVG($J10,($J10,$O10,$T10,$Y10)))*20+IF(_xlfn.RANK.EQ($J10,($J10,$O10,$T10,$Y10))=1,20/((_xlfn.RANK.AVG($J10,($J10,$O10,$T10,$Y10))-1)*2+1),0))</f>
        <v>-51.1</v>
      </c>
      <c r="AA10" s="51">
        <f>IF($O10="","",ROUND(($O10-30000)/1000,1)+(2.5-_xlfn.RANK.AVG($O10,($J10,$O10,$T10,$Y10)))*20+IF(_xlfn.RANK.EQ($O10,($J10,$O10,$T10,$Y10))=1,20/((_xlfn.RANK.AVG($O10,($J10,$O10,$T10,$Y10))-1)*2+1),0))</f>
        <v>57.5</v>
      </c>
      <c r="AB10" s="51">
        <f>IF($T10="","",ROUND(($T10-30000)/1000,1)+(2.5-_xlfn.RANK.AVG($T10,($J10,$O10,$T10,$Y10)))*20+IF(_xlfn.RANK.EQ($T10,($J10,$O10,$T10,$Y10))=1,20/((_xlfn.RANK.AVG($T10,($J10,$O10,$T10,$Y10))-1)*2+1),0))</f>
        <v>16.600000000000001</v>
      </c>
      <c r="AC10" s="52">
        <f>IF($Y10="","",ROUND(($Y10-30000)/1000,1)+(2.5-_xlfn.RANK.AVG($Y10,($J10,$O10,$T10,$Y10)))*20+IF(_xlfn.RANK.EQ($Y10,($J10,$O10,$T10,$Y10))=1,20/((_xlfn.RANK.AVG($Y10,($J10,$O10,$T10,$Y10))-1)*2+1),0))</f>
        <v>-23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>
        <v>6</v>
      </c>
      <c r="BE10" s="27" t="s">
        <v>202</v>
      </c>
      <c r="BF10" s="37" t="s">
        <v>198</v>
      </c>
      <c r="BG10" s="38" t="s">
        <v>81</v>
      </c>
      <c r="BH10" s="38" t="s">
        <v>78</v>
      </c>
      <c r="BI10" s="38" t="s">
        <v>78</v>
      </c>
      <c r="BJ10" s="38" t="s">
        <v>78</v>
      </c>
      <c r="BK10" s="38" t="s">
        <v>85</v>
      </c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">
        <v>190</v>
      </c>
      <c r="F11" s="5"/>
      <c r="G11" s="6"/>
      <c r="H11" s="6">
        <v>-1000</v>
      </c>
      <c r="I11" s="45"/>
      <c r="J11" s="18">
        <f t="shared" si="2"/>
        <v>7900</v>
      </c>
      <c r="K11" s="5" t="s">
        <v>192</v>
      </c>
      <c r="L11" s="6">
        <v>-3900</v>
      </c>
      <c r="M11" s="6"/>
      <c r="N11" s="45">
        <v>0</v>
      </c>
      <c r="O11" s="18">
        <f t="shared" si="8"/>
        <v>33600</v>
      </c>
      <c r="P11" s="5"/>
      <c r="Q11" s="6"/>
      <c r="R11" s="6">
        <v>0</v>
      </c>
      <c r="S11" s="45"/>
      <c r="T11" s="18">
        <f t="shared" si="3"/>
        <v>36600</v>
      </c>
      <c r="U11" s="5" t="s">
        <v>193</v>
      </c>
      <c r="V11" s="6">
        <v>3900</v>
      </c>
      <c r="W11" s="6">
        <v>1000</v>
      </c>
      <c r="X11" s="45">
        <v>0</v>
      </c>
      <c r="Y11" s="18">
        <f t="shared" si="4"/>
        <v>21900</v>
      </c>
      <c r="Z11" s="50">
        <f>IF($J11="","",ROUND(($J11-30000)/1000,1)+(2.5-_xlfn.RANK.AVG($J11,($J11,$O11,$T11,$Y11)))*20+IF(_xlfn.RANK.EQ($J11,($J11,$O11,$T11,$Y11))=1,20/((_xlfn.RANK.AVG($J11,($J11,$O11,$T11,$Y11))-1)*2+1),0))</f>
        <v>-52.1</v>
      </c>
      <c r="AA11" s="51">
        <f>IF($O11="","",ROUND(($O11-30000)/1000,1)+(2.5-_xlfn.RANK.AVG($O11,($J11,$O11,$T11,$Y11)))*20+IF(_xlfn.RANK.EQ($O11,($J11,$O11,$T11,$Y11))=1,20/((_xlfn.RANK.AVG($O11,($J11,$O11,$T11,$Y11))-1)*2+1),0))</f>
        <v>13.6</v>
      </c>
      <c r="AB11" s="51">
        <f>IF($T11="","",ROUND(($T11-30000)/1000,1)+(2.5-_xlfn.RANK.AVG($T11,($J11,$O11,$T11,$Y11)))*20+IF(_xlfn.RANK.EQ($T11,($J11,$O11,$T11,$Y11))=1,20/((_xlfn.RANK.AVG($T11,($J11,$O11,$T11,$Y11))-1)*2+1),0))</f>
        <v>56.6</v>
      </c>
      <c r="AC11" s="52">
        <f>IF($Y11="","",ROUND(($Y11-30000)/1000,1)+(2.5-_xlfn.RANK.AVG($Y11,($J11,$O11,$T11,$Y11)))*20+IF(_xlfn.RANK.EQ($Y11,($J11,$O11,$T11,$Y11))=1,20/((_xlfn.RANK.AVG($Y11,($J11,$O11,$T11,$Y11))-1)*2+1),0))</f>
        <v>-18.100000000000001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>
        <v>2</v>
      </c>
      <c r="CU11" s="27">
        <v>40</v>
      </c>
      <c r="CV11" s="37" t="s">
        <v>85</v>
      </c>
      <c r="CW11" s="38" t="s">
        <v>194</v>
      </c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862880F-8EEA-41A2-B223-819F9F170C55}">
      <formula1>"福澤大地
大池陸斗
小林嶺
佃佳佑
蒲生麗
山﨑柊
上條友暉
北沢蓮太郎
髙橋桜
滝沢悠人
松澤亮太
矢ヶ崎健
依田幸憲
高野源太
多田洋輔
角田創
木角有希
近藤隼
鷲野翼
石澤巧望
岩崎凌汰
松澤大地
水澤良平
小林郁斗
佐藤成浩
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9B9DA-2A16-4AA7-93C0-6A074AF1A37C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5" width="9" style="21" customWidth="1"/>
    <col min="6" max="6" width="9.5" style="21" customWidth="1"/>
    <col min="7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204</v>
      </c>
      <c r="G1" s="74"/>
      <c r="H1" s="74"/>
      <c r="I1" s="77"/>
      <c r="J1" s="75"/>
      <c r="K1" s="72" t="s">
        <v>206</v>
      </c>
      <c r="L1" s="74"/>
      <c r="M1" s="74"/>
      <c r="N1" s="77"/>
      <c r="O1" s="75"/>
      <c r="P1" s="72" t="s">
        <v>207</v>
      </c>
      <c r="Q1" s="74"/>
      <c r="R1" s="74"/>
      <c r="S1" s="77"/>
      <c r="T1" s="75"/>
      <c r="U1" s="72" t="s">
        <v>208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小林郁斗</v>
      </c>
      <c r="AF1" s="73" t="str">
        <f t="shared" ref="AF1:AY1" si="0">$F$1</f>
        <v>小林郁斗</v>
      </c>
      <c r="AG1" s="74" t="str">
        <f t="shared" si="0"/>
        <v>小林郁斗</v>
      </c>
      <c r="AH1" s="74" t="str">
        <f t="shared" si="0"/>
        <v>小林郁斗</v>
      </c>
      <c r="AI1" s="74" t="str">
        <f t="shared" si="0"/>
        <v>小林郁斗</v>
      </c>
      <c r="AJ1" s="74" t="str">
        <f t="shared" si="0"/>
        <v>小林郁斗</v>
      </c>
      <c r="AK1" s="74" t="str">
        <f t="shared" si="0"/>
        <v>小林郁斗</v>
      </c>
      <c r="AL1" s="74" t="str">
        <f t="shared" si="0"/>
        <v>小林郁斗</v>
      </c>
      <c r="AM1" s="74" t="str">
        <f t="shared" si="0"/>
        <v>小林郁斗</v>
      </c>
      <c r="AN1" s="74" t="str">
        <f t="shared" si="0"/>
        <v>小林郁斗</v>
      </c>
      <c r="AO1" s="74" t="str">
        <f t="shared" si="0"/>
        <v>小林郁斗</v>
      </c>
      <c r="AP1" s="74" t="str">
        <f t="shared" si="0"/>
        <v>小林郁斗</v>
      </c>
      <c r="AQ1" s="74" t="str">
        <f t="shared" si="0"/>
        <v>小林郁斗</v>
      </c>
      <c r="AR1" s="74" t="str">
        <f t="shared" si="0"/>
        <v>小林郁斗</v>
      </c>
      <c r="AS1" s="74" t="str">
        <f t="shared" si="0"/>
        <v>小林郁斗</v>
      </c>
      <c r="AT1" s="74" t="str">
        <f t="shared" si="0"/>
        <v>小林郁斗</v>
      </c>
      <c r="AU1" s="74" t="str">
        <f t="shared" si="0"/>
        <v>小林郁斗</v>
      </c>
      <c r="AV1" s="74" t="str">
        <f t="shared" si="0"/>
        <v>小林郁斗</v>
      </c>
      <c r="AW1" s="74" t="str">
        <f t="shared" si="0"/>
        <v>小林郁斗</v>
      </c>
      <c r="AX1" s="74" t="str">
        <f t="shared" si="0"/>
        <v>小林郁斗</v>
      </c>
      <c r="AY1" s="75" t="str">
        <f t="shared" si="0"/>
        <v>小林郁斗</v>
      </c>
      <c r="AZ1" s="72" t="str">
        <f>IF($K$1="","",$K$1)</f>
        <v>佐藤成浩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滝沢悠人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松澤亮太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5500000000000000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小林郁斗</v>
      </c>
      <c r="AA2" s="69" t="str">
        <f>IF($K$1="","",$K$1)</f>
        <v>佐藤成浩</v>
      </c>
      <c r="AB2" s="69" t="str">
        <f>IF($P$1="","",$P$1)</f>
        <v>滝沢悠人</v>
      </c>
      <c r="AC2" s="70" t="str">
        <f>IF($U$1="","",$U$1)</f>
        <v>松澤亮太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5500000000000000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55000000000000004">
      <c r="A4" s="10" t="s">
        <v>132</v>
      </c>
      <c r="B4" s="15">
        <v>1</v>
      </c>
      <c r="C4" s="15">
        <v>0</v>
      </c>
      <c r="D4" s="15">
        <v>0</v>
      </c>
      <c r="E4" s="63" t="s">
        <v>203</v>
      </c>
      <c r="F4" s="5" t="s">
        <v>193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/>
      <c r="L4" s="6"/>
      <c r="M4" s="6"/>
      <c r="N4" s="45"/>
      <c r="O4" s="18">
        <f>IF(COUNTA($F4,$K4,$P4,$U4)&gt;0,O3+SUM(L4:N4),"")</f>
        <v>25000</v>
      </c>
      <c r="P4" s="5" t="s">
        <v>192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>
        <v>5</v>
      </c>
      <c r="AJ4" s="27" t="s">
        <v>202</v>
      </c>
      <c r="AK4" s="37" t="s">
        <v>198</v>
      </c>
      <c r="AL4" s="38" t="s">
        <v>82</v>
      </c>
      <c r="AM4" s="38" t="s">
        <v>84</v>
      </c>
      <c r="AN4" s="38" t="s">
        <v>78</v>
      </c>
      <c r="AO4" s="38" t="s">
        <v>194</v>
      </c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">
        <v>203</v>
      </c>
      <c r="F5" s="5"/>
      <c r="G5" s="6"/>
      <c r="H5" s="6"/>
      <c r="I5" s="45"/>
      <c r="J5" s="18">
        <f t="shared" ref="J5:J30" si="2">IF(COUNTA($F5,$K5,$P5,$U5)&gt;0,J4+SUM(G5:I5),"")</f>
        <v>37000</v>
      </c>
      <c r="K5" s="5" t="s">
        <v>193</v>
      </c>
      <c r="L5" s="6">
        <v>8000</v>
      </c>
      <c r="M5" s="6"/>
      <c r="N5" s="45">
        <v>300</v>
      </c>
      <c r="O5" s="18">
        <f>IF(COUNTA($F5,$K5,$P5,$U5)&gt;0,O4+SUM(L5:N5),"")</f>
        <v>33300</v>
      </c>
      <c r="P5" s="5" t="s">
        <v>192</v>
      </c>
      <c r="Q5" s="6">
        <v>-8000</v>
      </c>
      <c r="R5" s="6"/>
      <c r="S5" s="45">
        <v>-300</v>
      </c>
      <c r="T5" s="18">
        <f t="shared" ref="T5:T30" si="3">IF(COUNTA($F5,$K5,$P5,$U5)&gt;0,T4+SUM(Q5:S5),"")</f>
        <v>4700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57</v>
      </c>
      <c r="AA5" s="51">
        <f>IF($O5="","",ROUND(($O5-30000)/1000,1)+(2.5-_xlfn.RANK.AVG($O5,($J5,$O5,$T5,$Y5)))*20+IF(_xlfn.RANK.EQ($O5,($J5,$O5,$T5,$Y5))=1,20/((_xlfn.RANK.AVG($O5,($J5,$O5,$T5,$Y5))-1)*2+1),0))</f>
        <v>13.3</v>
      </c>
      <c r="AB5" s="51">
        <f>IF($T5="","",ROUND(($T5-30000)/1000,1)+(2.5-_xlfn.RANK.AVG($T5,($J5,$O5,$T5,$Y5)))*20+IF(_xlfn.RANK.EQ($T5,($J5,$O5,$T5,$Y5))=1,20/((_xlfn.RANK.AVG($T5,($J5,$O5,$T5,$Y5))-1)*2+1),0))</f>
        <v>-55.3</v>
      </c>
      <c r="AC5" s="52">
        <f>IF($Y5="","",ROUND(($Y5-30000)/1000,1)+(2.5-_xlfn.RANK.AVG($Y5,($J5,$O5,$T5,$Y5)))*20+IF(_xlfn.RANK.EQ($Y5,($J5,$O5,$T5,$Y5))=1,20/((_xlfn.RANK.AVG($Y5,($J5,$O5,$T5,$Y5))-1)*2+1),0))</f>
        <v>-15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40</v>
      </c>
      <c r="BF5" s="37" t="s">
        <v>198</v>
      </c>
      <c r="BG5" s="38" t="s">
        <v>199</v>
      </c>
      <c r="BH5" s="38" t="s">
        <v>194</v>
      </c>
      <c r="BI5" s="38" t="s">
        <v>78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205</v>
      </c>
      <c r="F6" s="5" t="s">
        <v>209</v>
      </c>
      <c r="G6" s="6">
        <v>-1500</v>
      </c>
      <c r="H6" s="6"/>
      <c r="I6" s="45"/>
      <c r="J6" s="18">
        <f t="shared" si="2"/>
        <v>35500</v>
      </c>
      <c r="K6" s="5" t="s">
        <v>209</v>
      </c>
      <c r="L6" s="6">
        <v>1500</v>
      </c>
      <c r="M6" s="6"/>
      <c r="N6" s="45"/>
      <c r="O6" s="18">
        <f t="shared" ref="O6:O30" si="8">IF(COUNTA($F6,$K6,$P6,$U6)&gt;0,O5+SUM(L6:N6),"")</f>
        <v>34800</v>
      </c>
      <c r="P6" s="5" t="s">
        <v>209</v>
      </c>
      <c r="Q6" s="6">
        <v>1500</v>
      </c>
      <c r="R6" s="6"/>
      <c r="S6" s="45"/>
      <c r="T6" s="18">
        <f t="shared" si="3"/>
        <v>6200</v>
      </c>
      <c r="U6" s="5" t="s">
        <v>209</v>
      </c>
      <c r="V6" s="6">
        <v>-1500</v>
      </c>
      <c r="W6" s="6"/>
      <c r="X6" s="45"/>
      <c r="Y6" s="18">
        <f t="shared" si="4"/>
        <v>23500</v>
      </c>
      <c r="Z6" s="50">
        <f>IF($J6="","",ROUND(($J6-30000)/1000,1)+(2.5-_xlfn.RANK.AVG($J6,($J6,$O6,$T6,$Y6)))*20+IF(_xlfn.RANK.EQ($J6,($J6,$O6,$T6,$Y6))=1,20/((_xlfn.RANK.AVG($J6,($J6,$O6,$T6,$Y6))-1)*2+1),0))</f>
        <v>55.5</v>
      </c>
      <c r="AA6" s="51">
        <f>IF($O6="","",ROUND(($O6-30000)/1000,1)+(2.5-_xlfn.RANK.AVG($O6,($J6,$O6,$T6,$Y6)))*20+IF(_xlfn.RANK.EQ($O6,($J6,$O6,$T6,$Y6))=1,20/((_xlfn.RANK.AVG($O6,($J6,$O6,$T6,$Y6))-1)*2+1),0))</f>
        <v>14.8</v>
      </c>
      <c r="AB6" s="51">
        <f>IF($T6="","",ROUND(($T6-30000)/1000,1)+(2.5-_xlfn.RANK.AVG($T6,($J6,$O6,$T6,$Y6)))*20+IF(_xlfn.RANK.EQ($T6,($J6,$O6,$T6,$Y6))=1,20/((_xlfn.RANK.AVG($T6,($J6,$O6,$T6,$Y6))-1)*2+1),0))</f>
        <v>-53.8</v>
      </c>
      <c r="AC6" s="52">
        <f>IF($Y6="","",ROUND(($Y6-30000)/1000,1)+(2.5-_xlfn.RANK.AVG($Y6,($J6,$O6,$T6,$Y6)))*20+IF(_xlfn.RANK.EQ($Y6,($J6,$O6,$T6,$Y6))=1,20/((_xlfn.RANK.AVG($Y6,($J6,$O6,$T6,$Y6))-1)*2+1),0))</f>
        <v>-16.5</v>
      </c>
      <c r="AE6" s="5" t="s">
        <v>195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196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196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195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63" t="s">
        <v>205</v>
      </c>
      <c r="F7" s="5" t="s">
        <v>193</v>
      </c>
      <c r="G7" s="6">
        <v>2600</v>
      </c>
      <c r="H7" s="6"/>
      <c r="I7" s="45">
        <v>300</v>
      </c>
      <c r="J7" s="18">
        <f t="shared" si="2"/>
        <v>38400</v>
      </c>
      <c r="K7" s="5"/>
      <c r="L7" s="6"/>
      <c r="M7" s="6"/>
      <c r="N7" s="45"/>
      <c r="O7" s="18">
        <f t="shared" si="8"/>
        <v>34800</v>
      </c>
      <c r="P7" s="5"/>
      <c r="Q7" s="6"/>
      <c r="R7" s="6"/>
      <c r="S7" s="45"/>
      <c r="T7" s="18">
        <f t="shared" si="3"/>
        <v>6200</v>
      </c>
      <c r="U7" s="5" t="s">
        <v>192</v>
      </c>
      <c r="V7" s="6">
        <v>-2600</v>
      </c>
      <c r="W7" s="6"/>
      <c r="X7" s="45">
        <v>-300</v>
      </c>
      <c r="Y7" s="18">
        <f t="shared" si="4"/>
        <v>20600</v>
      </c>
      <c r="Z7" s="50">
        <f>IF($J7="","",ROUND(($J7-30000)/1000,1)+(2.5-_xlfn.RANK.AVG($J7,($J7,$O7,$T7,$Y7)))*20+IF(_xlfn.RANK.EQ($J7,($J7,$O7,$T7,$Y7))=1,20/((_xlfn.RANK.AVG($J7,($J7,$O7,$T7,$Y7))-1)*2+1),0))</f>
        <v>58.4</v>
      </c>
      <c r="AA7" s="51">
        <f>IF($O7="","",ROUND(($O7-30000)/1000,1)+(2.5-_xlfn.RANK.AVG($O7,($J7,$O7,$T7,$Y7)))*20+IF(_xlfn.RANK.EQ($O7,($J7,$O7,$T7,$Y7))=1,20/((_xlfn.RANK.AVG($O7,($J7,$O7,$T7,$Y7))-1)*2+1),0))</f>
        <v>14.8</v>
      </c>
      <c r="AB7" s="51">
        <f>IF($T7="","",ROUND(($T7-30000)/1000,1)+(2.5-_xlfn.RANK.AVG($T7,($J7,$O7,$T7,$Y7)))*20+IF(_xlfn.RANK.EQ($T7,($J7,$O7,$T7,$Y7))=1,20/((_xlfn.RANK.AVG($T7,($J7,$O7,$T7,$Y7))-1)*2+1),0))</f>
        <v>-53.8</v>
      </c>
      <c r="AC7" s="52">
        <f>IF($Y7="","",ROUND(($Y7-30000)/1000,1)+(2.5-_xlfn.RANK.AVG($Y7,($J7,$O7,$T7,$Y7)))*20+IF(_xlfn.RANK.EQ($Y7,($J7,$O7,$T7,$Y7))=1,20/((_xlfn.RANK.AVG($Y7,($J7,$O7,$T7,$Y7))-1)*2+1),0))</f>
        <v>-19.399999999999999</v>
      </c>
      <c r="AE7" s="5"/>
      <c r="AF7" s="31"/>
      <c r="AG7" s="23">
        <v>1</v>
      </c>
      <c r="AH7" s="23"/>
      <c r="AI7" s="23">
        <v>2</v>
      </c>
      <c r="AJ7" s="27">
        <v>40</v>
      </c>
      <c r="AK7" s="37" t="s">
        <v>198</v>
      </c>
      <c r="AL7" s="38" t="s">
        <v>79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190</v>
      </c>
      <c r="F8" s="5" t="s">
        <v>192</v>
      </c>
      <c r="G8" s="6">
        <v>-3900</v>
      </c>
      <c r="H8" s="6"/>
      <c r="I8" s="45">
        <v>0</v>
      </c>
      <c r="J8" s="18">
        <f t="shared" si="2"/>
        <v>34500</v>
      </c>
      <c r="K8" s="5"/>
      <c r="L8" s="6"/>
      <c r="M8" s="6"/>
      <c r="N8" s="45"/>
      <c r="O8" s="18">
        <f t="shared" si="8"/>
        <v>34800</v>
      </c>
      <c r="P8" s="5"/>
      <c r="Q8" s="6"/>
      <c r="R8" s="6"/>
      <c r="S8" s="45"/>
      <c r="T8" s="18">
        <f t="shared" si="3"/>
        <v>6200</v>
      </c>
      <c r="U8" s="5" t="s">
        <v>193</v>
      </c>
      <c r="V8" s="6">
        <v>3900</v>
      </c>
      <c r="W8" s="6"/>
      <c r="X8" s="45">
        <v>0</v>
      </c>
      <c r="Y8" s="18">
        <f t="shared" si="4"/>
        <v>24500</v>
      </c>
      <c r="Z8" s="50">
        <f>IF($J8="","",ROUND(($J8-30000)/1000,1)+(2.5-_xlfn.RANK.AVG($J8,($J8,$O8,$T8,$Y8)))*20+IF(_xlfn.RANK.EQ($J8,($J8,$O8,$T8,$Y8))=1,20/((_xlfn.RANK.AVG($J8,($J8,$O8,$T8,$Y8))-1)*2+1),0))</f>
        <v>14.5</v>
      </c>
      <c r="AA8" s="51">
        <f>IF($O8="","",ROUND(($O8-30000)/1000,1)+(2.5-_xlfn.RANK.AVG($O8,($J8,$O8,$T8,$Y8)))*20+IF(_xlfn.RANK.EQ($O8,($J8,$O8,$T8,$Y8))=1,20/((_xlfn.RANK.AVG($O8,($J8,$O8,$T8,$Y8))-1)*2+1),0))</f>
        <v>54.8</v>
      </c>
      <c r="AB8" s="51">
        <f>IF($T8="","",ROUND(($T8-30000)/1000,1)+(2.5-_xlfn.RANK.AVG($T8,($J8,$O8,$T8,$Y8)))*20+IF(_xlfn.RANK.EQ($T8,($J8,$O8,$T8,$Y8))=1,20/((_xlfn.RANK.AVG($T8,($J8,$O8,$T8,$Y8))-1)*2+1),0))</f>
        <v>-53.8</v>
      </c>
      <c r="AC8" s="52">
        <f>IF($Y8="","",ROUND(($Y8-30000)/1000,1)+(2.5-_xlfn.RANK.AVG($Y8,($J8,$O8,$T8,$Y8)))*20+IF(_xlfn.RANK.EQ($Y8,($J8,$O8,$T8,$Y8))=1,20/((_xlfn.RANK.AVG($Y8,($J8,$O8,$T8,$Y8))-1)*2+1),0))</f>
        <v>-15.5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3</v>
      </c>
      <c r="CU8" s="27">
        <v>30</v>
      </c>
      <c r="CV8" s="37" t="s">
        <v>198</v>
      </c>
      <c r="CW8" s="38" t="s">
        <v>82</v>
      </c>
      <c r="CX8" s="38" t="s">
        <v>79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186</v>
      </c>
      <c r="F9" s="5" t="s">
        <v>209</v>
      </c>
      <c r="G9" s="6">
        <v>-1000</v>
      </c>
      <c r="H9" s="6"/>
      <c r="I9" s="45"/>
      <c r="J9" s="18">
        <f t="shared" si="2"/>
        <v>33500</v>
      </c>
      <c r="K9" s="5" t="s">
        <v>209</v>
      </c>
      <c r="L9" s="6">
        <v>3000</v>
      </c>
      <c r="M9" s="6"/>
      <c r="N9" s="45"/>
      <c r="O9" s="18">
        <f t="shared" si="8"/>
        <v>37800</v>
      </c>
      <c r="P9" s="5" t="s">
        <v>209</v>
      </c>
      <c r="Q9" s="6">
        <v>-1000</v>
      </c>
      <c r="R9" s="6"/>
      <c r="S9" s="45"/>
      <c r="T9" s="18">
        <f t="shared" si="3"/>
        <v>5200</v>
      </c>
      <c r="U9" s="5" t="s">
        <v>209</v>
      </c>
      <c r="V9" s="6">
        <v>-1000</v>
      </c>
      <c r="W9" s="6"/>
      <c r="X9" s="45"/>
      <c r="Y9" s="18">
        <f t="shared" si="4"/>
        <v>23500</v>
      </c>
      <c r="Z9" s="50">
        <f>IF($J9="","",ROUND(($J9-30000)/1000,1)+(2.5-_xlfn.RANK.AVG($J9,($J9,$O9,$T9,$Y9)))*20+IF(_xlfn.RANK.EQ($J9,($J9,$O9,$T9,$Y9))=1,20/((_xlfn.RANK.AVG($J9,($J9,$O9,$T9,$Y9))-1)*2+1),0))</f>
        <v>13.5</v>
      </c>
      <c r="AA9" s="51">
        <f>IF($O9="","",ROUND(($O9-30000)/1000,1)+(2.5-_xlfn.RANK.AVG($O9,($J9,$O9,$T9,$Y9)))*20+IF(_xlfn.RANK.EQ($O9,($J9,$O9,$T9,$Y9))=1,20/((_xlfn.RANK.AVG($O9,($J9,$O9,$T9,$Y9))-1)*2+1),0))</f>
        <v>57.8</v>
      </c>
      <c r="AB9" s="51">
        <f>IF($T9="","",ROUND(($T9-30000)/1000,1)+(2.5-_xlfn.RANK.AVG($T9,($J9,$O9,$T9,$Y9)))*20+IF(_xlfn.RANK.EQ($T9,($J9,$O9,$T9,$Y9))=1,20/((_xlfn.RANK.AVG($T9,($J9,$O9,$T9,$Y9))-1)*2+1),0))</f>
        <v>-54.8</v>
      </c>
      <c r="AC9" s="52">
        <f>IF($Y9="","",ROUND(($Y9-30000)/1000,1)+(2.5-_xlfn.RANK.AVG($Y9,($J9,$O9,$T9,$Y9)))*20+IF(_xlfn.RANK.EQ($Y9,($J9,$O9,$T9,$Y9))=1,20/((_xlfn.RANK.AVG($Y9,($J9,$O9,$T9,$Y9))-1)*2+1),0))</f>
        <v>-16.5</v>
      </c>
      <c r="AE9" s="5" t="s">
        <v>195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196</v>
      </c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195</v>
      </c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195</v>
      </c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">
        <v>203</v>
      </c>
      <c r="F10" s="5"/>
      <c r="G10" s="6"/>
      <c r="H10" s="6"/>
      <c r="I10" s="45"/>
      <c r="J10" s="18">
        <f t="shared" si="2"/>
        <v>33500</v>
      </c>
      <c r="K10" s="5"/>
      <c r="L10" s="6"/>
      <c r="M10" s="6"/>
      <c r="N10" s="45"/>
      <c r="O10" s="18">
        <f t="shared" si="8"/>
        <v>37800</v>
      </c>
      <c r="P10" s="5" t="s">
        <v>192</v>
      </c>
      <c r="Q10" s="6">
        <v>-5200</v>
      </c>
      <c r="R10" s="6"/>
      <c r="S10" s="45">
        <v>-300</v>
      </c>
      <c r="T10" s="18">
        <f t="shared" si="3"/>
        <v>-300</v>
      </c>
      <c r="U10" s="5" t="s">
        <v>193</v>
      </c>
      <c r="V10" s="6">
        <v>5200</v>
      </c>
      <c r="W10" s="6"/>
      <c r="X10" s="45">
        <v>300</v>
      </c>
      <c r="Y10" s="18">
        <f t="shared" si="4"/>
        <v>29000</v>
      </c>
      <c r="Z10" s="50">
        <f>IF($J10="","",ROUND(($J10-30000)/1000,1)+(2.5-_xlfn.RANK.AVG($J10,($J10,$O10,$T10,$Y10)))*20+IF(_xlfn.RANK.EQ($J10,($J10,$O10,$T10,$Y10))=1,20/((_xlfn.RANK.AVG($J10,($J10,$O10,$T10,$Y10))-1)*2+1),0))</f>
        <v>13.5</v>
      </c>
      <c r="AA10" s="51">
        <f>IF($O10="","",ROUND(($O10-30000)/1000,1)+(2.5-_xlfn.RANK.AVG($O10,($J10,$O10,$T10,$Y10)))*20+IF(_xlfn.RANK.EQ($O10,($J10,$O10,$T10,$Y10))=1,20/((_xlfn.RANK.AVG($O10,($J10,$O10,$T10,$Y10))-1)*2+1),0))</f>
        <v>57.8</v>
      </c>
      <c r="AB10" s="51">
        <f>IF($T10="","",ROUND(($T10-30000)/1000,1)+(2.5-_xlfn.RANK.AVG($T10,($J10,$O10,$T10,$Y10)))*20+IF(_xlfn.RANK.EQ($T10,($J10,$O10,$T10,$Y10))=1,20/((_xlfn.RANK.AVG($T10,($J10,$O10,$T10,$Y10))-1)*2+1),0))</f>
        <v>-60.3</v>
      </c>
      <c r="AC10" s="52">
        <f>IF($Y10="","",ROUND(($Y10-30000)/1000,1)+(2.5-_xlfn.RANK.AVG($Y10,($J10,$O10,$T10,$Y10)))*20+IF(_xlfn.RANK.EQ($Y10,($J10,$O10,$T10,$Y10))=1,20/((_xlfn.RANK.AVG($Y10,($J10,$O10,$T10,$Y10))-1)*2+1),0))</f>
        <v>-11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>
        <v>3</v>
      </c>
      <c r="CU10" s="27">
        <v>40</v>
      </c>
      <c r="CV10" s="37" t="s">
        <v>92</v>
      </c>
      <c r="CW10" s="38" t="s">
        <v>85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205</v>
      </c>
      <c r="F11" s="5" t="s">
        <v>193</v>
      </c>
      <c r="G11" s="6">
        <v>1000</v>
      </c>
      <c r="H11" s="6"/>
      <c r="I11" s="45">
        <v>0</v>
      </c>
      <c r="J11" s="18">
        <f t="shared" si="2"/>
        <v>34500</v>
      </c>
      <c r="K11" s="5" t="s">
        <v>192</v>
      </c>
      <c r="L11" s="6">
        <v>-1000</v>
      </c>
      <c r="M11" s="6"/>
      <c r="N11" s="45">
        <v>0</v>
      </c>
      <c r="O11" s="18">
        <f t="shared" si="8"/>
        <v>36800</v>
      </c>
      <c r="P11" s="5"/>
      <c r="Q11" s="6"/>
      <c r="R11" s="6"/>
      <c r="S11" s="45"/>
      <c r="T11" s="18">
        <f t="shared" si="3"/>
        <v>-300</v>
      </c>
      <c r="U11" s="5"/>
      <c r="V11" s="6"/>
      <c r="W11" s="6"/>
      <c r="X11" s="45"/>
      <c r="Y11" s="18">
        <f t="shared" si="4"/>
        <v>29000</v>
      </c>
      <c r="Z11" s="50">
        <f>IF($J11="","",ROUND(($J11-30000)/1000,1)+(2.5-_xlfn.RANK.AVG($J11,($J11,$O11,$T11,$Y11)))*20+IF(_xlfn.RANK.EQ($J11,($J11,$O11,$T11,$Y11))=1,20/((_xlfn.RANK.AVG($J11,($J11,$O11,$T11,$Y11))-1)*2+1),0))</f>
        <v>14.5</v>
      </c>
      <c r="AA11" s="51">
        <f>IF($O11="","",ROUND(($O11-30000)/1000,1)+(2.5-_xlfn.RANK.AVG($O11,($J11,$O11,$T11,$Y11)))*20+IF(_xlfn.RANK.EQ($O11,($J11,$O11,$T11,$Y11))=1,20/((_xlfn.RANK.AVG($O11,($J11,$O11,$T11,$Y11))-1)*2+1),0))</f>
        <v>56.8</v>
      </c>
      <c r="AB11" s="51">
        <f>IF($T11="","",ROUND(($T11-30000)/1000,1)+(2.5-_xlfn.RANK.AVG($T11,($J11,$O11,$T11,$Y11)))*20+IF(_xlfn.RANK.EQ($T11,($J11,$O11,$T11,$Y11))=1,20/((_xlfn.RANK.AVG($T11,($J11,$O11,$T11,$Y11))-1)*2+1),0))</f>
        <v>-60.3</v>
      </c>
      <c r="AC11" s="52">
        <f>IF($Y11="","",ROUND(($Y11-30000)/1000,1)+(2.5-_xlfn.RANK.AVG($Y11,($J11,$O11,$T11,$Y11)))*20+IF(_xlfn.RANK.EQ($Y11,($J11,$O11,$T11,$Y11))=1,20/((_xlfn.RANK.AVG($Y11,($J11,$O11,$T11,$Y11))-1)*2+1),0))</f>
        <v>-11</v>
      </c>
      <c r="AE11" s="5"/>
      <c r="AF11" s="31"/>
      <c r="AG11" s="23"/>
      <c r="AH11" s="23">
        <v>1</v>
      </c>
      <c r="AI11" s="23">
        <v>1</v>
      </c>
      <c r="AJ11" s="27">
        <v>30</v>
      </c>
      <c r="AK11" s="37" t="s">
        <v>85</v>
      </c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190</v>
      </c>
      <c r="F12" s="5" t="s">
        <v>201</v>
      </c>
      <c r="G12" s="6">
        <v>8000</v>
      </c>
      <c r="H12" s="6">
        <v>0</v>
      </c>
      <c r="I12" s="45">
        <v>0</v>
      </c>
      <c r="J12" s="18">
        <f t="shared" si="2"/>
        <v>42500</v>
      </c>
      <c r="K12" s="5" t="s">
        <v>200</v>
      </c>
      <c r="L12" s="6">
        <v>-2000</v>
      </c>
      <c r="M12" s="6"/>
      <c r="N12" s="45">
        <v>0</v>
      </c>
      <c r="O12" s="18">
        <f t="shared" si="8"/>
        <v>34800</v>
      </c>
      <c r="P12" s="5" t="s">
        <v>200</v>
      </c>
      <c r="Q12" s="6">
        <v>-4000</v>
      </c>
      <c r="R12" s="6"/>
      <c r="S12" s="45">
        <v>0</v>
      </c>
      <c r="T12" s="18">
        <f t="shared" si="3"/>
        <v>-4300</v>
      </c>
      <c r="U12" s="5" t="s">
        <v>200</v>
      </c>
      <c r="V12" s="6">
        <v>-2000</v>
      </c>
      <c r="W12" s="6"/>
      <c r="X12" s="45">
        <v>0</v>
      </c>
      <c r="Y12" s="18">
        <f t="shared" si="4"/>
        <v>27000</v>
      </c>
      <c r="Z12" s="50">
        <f>IF($J12="","",ROUND(($J12-30000)/1000,1)+(2.5-_xlfn.RANK.AVG($J12,($J12,$O12,$T12,$Y12)))*20+IF(_xlfn.RANK.EQ($J12,($J12,$O12,$T12,$Y12))=1,20/((_xlfn.RANK.AVG($J12,($J12,$O12,$T12,$Y12))-1)*2+1),0))</f>
        <v>62.5</v>
      </c>
      <c r="AA12" s="51">
        <f>IF($O12="","",ROUND(($O12-30000)/1000,1)+(2.5-_xlfn.RANK.AVG($O12,($J12,$O12,$T12,$Y12)))*20+IF(_xlfn.RANK.EQ($O12,($J12,$O12,$T12,$Y12))=1,20/((_xlfn.RANK.AVG($O12,($J12,$O12,$T12,$Y12))-1)*2+1),0))</f>
        <v>14.8</v>
      </c>
      <c r="AB12" s="51">
        <f>IF($T12="","",ROUND(($T12-30000)/1000,1)+(2.5-_xlfn.RANK.AVG($T12,($J12,$O12,$T12,$Y12)))*20+IF(_xlfn.RANK.EQ($T12,($J12,$O12,$T12,$Y12))=1,20/((_xlfn.RANK.AVG($T12,($J12,$O12,$T12,$Y12))-1)*2+1),0))</f>
        <v>-64.3</v>
      </c>
      <c r="AC12" s="52">
        <f>IF($Y12="","",ROUND(($Y12-30000)/1000,1)+(2.5-_xlfn.RANK.AVG($Y12,($J12,$O12,$T12,$Y12)))*20+IF(_xlfn.RANK.EQ($Y12,($J12,$O12,$T12,$Y12))=1,20/((_xlfn.RANK.AVG($Y12,($J12,$O12,$T12,$Y12))-1)*2+1),0))</f>
        <v>-13</v>
      </c>
      <c r="AE12" s="5"/>
      <c r="AF12" s="31"/>
      <c r="AG12" s="23">
        <v>1</v>
      </c>
      <c r="AH12" s="23"/>
      <c r="AI12" s="23">
        <v>4</v>
      </c>
      <c r="AJ12" s="27">
        <v>30</v>
      </c>
      <c r="AK12" s="37" t="s">
        <v>198</v>
      </c>
      <c r="AL12" s="38" t="s">
        <v>81</v>
      </c>
      <c r="AM12" s="38" t="s">
        <v>95</v>
      </c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1C1AA42-9959-4386-AFE8-2C66042E8D37}">
      <formula1>"福澤大地
大池陸斗
小林嶺
佃佳佑
蒲生麗
山﨑柊
上條友暉
北沢蓮太郎
髙橋桜
滝沢悠人
松澤亮太
矢ヶ崎健
依田幸憲
高野源太
多田洋輔
角田創
木角有希
近藤隼
鷲野翼
石澤巧望
岩崎凌汰
松澤大地
水澤良平
小林郁斗
佐藤成浩
,"</formula1>
    </dataValidation>
    <dataValidation type="list" showInputMessage="1" showErrorMessage="1" sqref="K4:K30 P4:P30 F4:F30 U4:U30" xr:uid="{752381D8-5043-4476-AB45-73DA1079C3BF}">
      <formula1>"ロン,ツモ,放銃,ツモ支払,流局,チョンボ"</formula1>
    </dataValidation>
    <dataValidation type="list" allowBlank="1" showInputMessage="1" showErrorMessage="1" sqref="E4:E30" xr:uid="{09755531-624C-4B72-A191-0F8CD109782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55000000000000004"/>
  <cols>
    <col min="1" max="1" width="9" style="33" customWidth="1"/>
    <col min="2" max="2" width="6.5" style="33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5500000000000000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5500000000000000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5500000000000000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5500000000000000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5500000000000000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5500000000000000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5500000000000000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5500000000000000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5500000000000000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5500000000000000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5500000000000000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5500000000000000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5500000000000000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5500000000000000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5500000000000000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5500000000000000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5500000000000000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5500000000000000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55000000000000004">
      <c r="A44" s="33" t="s">
        <v>118</v>
      </c>
      <c r="C44" s="12" t="s">
        <v>68</v>
      </c>
      <c r="D44" s="12">
        <v>13</v>
      </c>
    </row>
    <row r="45" spans="1:5" x14ac:dyDescent="0.5500000000000000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5500000000000000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5500000000000000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55000000000000004">
      <c r="A48" s="33" t="s">
        <v>122</v>
      </c>
      <c r="C48" s="12" t="s">
        <v>72</v>
      </c>
      <c r="D48" s="12">
        <v>13</v>
      </c>
    </row>
    <row r="49" spans="1:5" x14ac:dyDescent="0.55000000000000004">
      <c r="A49" s="33" t="s">
        <v>123</v>
      </c>
      <c r="C49" s="12" t="s">
        <v>73</v>
      </c>
      <c r="D49" s="12">
        <v>13</v>
      </c>
    </row>
    <row r="50" spans="1:5" x14ac:dyDescent="0.55000000000000004">
      <c r="A50" s="33" t="s">
        <v>124</v>
      </c>
      <c r="C50" s="12" t="s">
        <v>74</v>
      </c>
      <c r="D50" s="12">
        <v>13</v>
      </c>
    </row>
    <row r="51" spans="1:5" x14ac:dyDescent="0.55000000000000004">
      <c r="A51" s="33" t="s">
        <v>125</v>
      </c>
      <c r="C51" s="12" t="s">
        <v>75</v>
      </c>
      <c r="D51" s="12">
        <v>13</v>
      </c>
    </row>
    <row r="52" spans="1:5" x14ac:dyDescent="0.55000000000000004">
      <c r="A52" s="33" t="s">
        <v>133</v>
      </c>
      <c r="C52" s="12" t="s">
        <v>134</v>
      </c>
      <c r="D52" s="12">
        <v>2</v>
      </c>
    </row>
    <row r="53" spans="1:5" x14ac:dyDescent="0.5500000000000000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5500000000000000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" max="12" width="9" style="29"/>
    <col min="13" max="13" width="9" style="29" customWidth="1"/>
    <col min="14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55000000000000004">
      <c r="A3" s="12">
        <v>20</v>
      </c>
      <c r="E3" s="29">
        <v>3900</v>
      </c>
      <c r="F3" s="29">
        <v>7700</v>
      </c>
    </row>
    <row r="4" spans="1:13" x14ac:dyDescent="0.5500000000000000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5500000000000000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5500000000000000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5500000000000000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5500000000000000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5500000000000000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5500000000000000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5500000000000000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5500000000000000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5500000000000000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5500000000000000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5500000000000000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5500000000000000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5500000000000000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5500000000000000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5500000000000000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5500000000000000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5500000000000000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5500000000000000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5500000000000000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5500000000000000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5500000000000000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5500000000000000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5500000000000000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5500000000000000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5500000000000000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5500000000000000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5500000000000000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5500000000000000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5500000000000000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5500000000000000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5500000000000000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5500000000000000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5500000000000000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5500000000000000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5500000000000000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5500000000000000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5500000000000000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5500000000000000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5500000000000000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5500000000000000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5500000000000000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5500000000000000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5500000000000000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5500000000000000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5500000000000000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5500000000000000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5500000000000000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5500000000000000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5500000000000000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5500000000000000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5500000000000000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5500000000000000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5500000000000000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5500000000000000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5500000000000000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5500000000000000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5500000000000000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5500000000000000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cp:lastPrinted>2018-10-03T09:15:05Z</cp:lastPrinted>
  <dcterms:created xsi:type="dcterms:W3CDTF">2018-10-02T11:54:05Z</dcterms:created>
  <dcterms:modified xsi:type="dcterms:W3CDTF">2019-12-06T10:36:44Z</dcterms:modified>
</cp:coreProperties>
</file>