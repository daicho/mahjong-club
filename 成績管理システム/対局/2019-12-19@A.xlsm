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A9AE18BE-B4D2-4636-874D-08E8C3E157D4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<sst xmlns="http://schemas.openxmlformats.org/spreadsheetml/2006/main" count="570" uniqueCount="192">
  <si>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</si>
  <si>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</si>
  <si>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</si>
  <si>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</si>
  <si>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</si>
  <si>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</si>
  <si>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</si>
  <si>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</si>
  <si>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</si>
  <si>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</si>
  <si>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</si>
  <si>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</si>
  <si>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</si>
  <si>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</si>
  <si>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</si>
  <si>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</si>
  <si>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</si>
  <si>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</si>
  <si>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</si>
  <si>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</si>
  <si>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</si>
  <si>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</si>
  <si>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</si>
  <si>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</si>
  <si>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</si>
  <si>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</si>
  <si>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</si>
  <si>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</si>
  <si>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</si>
  <si>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</si>
  <si>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</si>
  <si>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</si>
  <si>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</si>
  <si>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</si>
  <si>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</si>
  <si>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</si>
  <si>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</si>
  <si>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</si>
  <si>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</si>
  <si>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</si>
  <si>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</si>
  <si>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</si>
  <si>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</si>
  <si>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</si>
  <si>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</si>
  <si>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</si>
  <si>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</si>
  <si>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</si>
  <si>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</si>
  <si>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</si>
  <si>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</si>
  <si>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</si>
  <si>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</si>
  <si>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</si>
  <si>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</si>
  <si>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</si>
  <si>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</si>
  <si>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</si>
  <si>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</si>
  <si>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</si>
  <si>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</si>
  <si>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</si>
  <si>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</si>
  <si>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</si>
  <si>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</si>
  <si>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</si>
  <si>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</si>
  <si>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</si>
  <si>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</si>
  <si>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</si>
  <si>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</si>
  <si>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</si>
  <si>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</si>
  <si>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</si>
  <si>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</si>
  <si>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</si>
  <si>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</si>
  <si>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</si>
  <si>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</si>
  <si>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</si>
  <si>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</si>
  <si>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</si>
  <si>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</si>
  <si>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</si>
  <si>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</si>
  <si>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</si>
  <si>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</si>
  <si>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</si>
  <si>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</si>
  <si>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</si>
  <si>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</si>
  <si>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</si>
  <si>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</si>
  <si>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</si>
  <si>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</si>
  <si>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</si>
  <si>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</si>
  <si>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</si>
  <si>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</si>
  <si>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</si>
  <si>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</si>
  <si>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</si>
  <si>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</si>
  <si>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</si>
  <si>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</si>
  <si>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</si>
  <si>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</si>
  <si>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</si>
  <si>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</si>
  <si>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</si>
  <si>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</si>
  <si>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</si>
  <si>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</si>
  <si>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</si>
  <si>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</si>
  <si>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</si>
  <si>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</si>
  <si>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</si>
  <si>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</si>
  <si>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</si>
  <si>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</si>
  <si>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</si>
  <si>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</si>
  <si>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</si>
  <si>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</si>
  <si>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</si>
  <si>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</si>
  <si>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</si>
  <si>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</si>
  <si>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</si>
  <si>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</si>
  <si>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</si>
  <si>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</si>
  <si>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</si>
  <si>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</si>
  <si>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</si>
  <si>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</si>
  <si>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</si>
  <si>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</si>
  <si>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</si>
  <si>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</si>
  <si>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</si>
  <si>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</si>
  <si>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</si>
  <si>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</si>
  <si>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</si>
  <si>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</si>
  <si>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</si>
  <si>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</si>
  <si>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</si>
  <si>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</si>
  <si>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</si>
  <si>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</si>
  <si>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</si>
  <si>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</si>
  <si>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</si>
  <si>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</si>
  <si>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</si>
  <si>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</si>
  <si>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</si>
  <si>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</si>
  <si>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</si>
  <si>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</si>
  <si>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</si>
  <si>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</si>
  <si>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</si>
  <si>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</si>
  <si>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</si>
  <si>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</si>
  <si>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</si>
  <si>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</si>
  <si>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</si>
  <si>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</si>
  <si>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</si>
  <si>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</si>
  <si>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</si>
  <si>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</si>
  <si>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</si>
  <si>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</si>
  <si>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</si>
  <si>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</si>
  <si>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a</t>
  </si>
  <si>
    <t>a</t>
    <phoneticPr fontId="1"/>
  </si>
  <si>
    <t>b</t>
  </si>
  <si>
    <t>b</t>
    <phoneticPr fontId="1"/>
  </si>
  <si>
    <t>c</t>
    <phoneticPr fontId="1"/>
  </si>
  <si>
    <t>d</t>
    <phoneticPr fontId="1"/>
  </si>
  <si>
    <t>ツモ</t>
  </si>
  <si>
    <t>ツモ支払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</si>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</sst>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182</v>
      </c>
      <c r="G1" s="67"/>
      <c r="H1" s="67"/>
      <c r="I1" s="70"/>
      <c r="J1" s="68"/>
      <c r="K1" s="65" t="s">
        <v>184</v>
      </c>
      <c r="L1" s="67"/>
      <c r="M1" s="67"/>
      <c r="N1" s="70"/>
      <c r="O1" s="68"/>
      <c r="P1" s="65" t="s">
        <v>185</v>
      </c>
      <c r="Q1" s="67"/>
      <c r="R1" s="67"/>
      <c r="S1" s="70"/>
      <c r="T1" s="68"/>
      <c r="U1" s="65" t="s">
        <v>186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a</v>
      </c>
      <c r="AF1" s="66" t="str">
        <f t="shared" ref="AF1:AY1" si="0">$F$1</f>
        <v>a</v>
      </c>
      <c r="AG1" s="67" t="str">
        <f t="shared" si="0"/>
        <v>a</v>
      </c>
      <c r="AH1" s="67" t="str">
        <f t="shared" si="0"/>
        <v>a</v>
      </c>
      <c r="AI1" s="67" t="str">
        <f t="shared" si="0"/>
        <v>a</v>
      </c>
      <c r="AJ1" s="67" t="str">
        <f t="shared" si="0"/>
        <v>a</v>
      </c>
      <c r="AK1" s="67" t="str">
        <f t="shared" si="0"/>
        <v>a</v>
      </c>
      <c r="AL1" s="67" t="str">
        <f t="shared" si="0"/>
        <v>a</v>
      </c>
      <c r="AM1" s="67" t="str">
        <f t="shared" si="0"/>
        <v>a</v>
      </c>
      <c r="AN1" s="67" t="str">
        <f t="shared" si="0"/>
        <v>a</v>
      </c>
      <c r="AO1" s="67" t="str">
        <f t="shared" si="0"/>
        <v>a</v>
      </c>
      <c r="AP1" s="67" t="str">
        <f t="shared" si="0"/>
        <v>a</v>
      </c>
      <c r="AQ1" s="67" t="str">
        <f t="shared" si="0"/>
        <v>a</v>
      </c>
      <c r="AR1" s="67" t="str">
        <f t="shared" si="0"/>
        <v>a</v>
      </c>
      <c r="AS1" s="67" t="str">
        <f t="shared" si="0"/>
        <v>a</v>
      </c>
      <c r="AT1" s="67" t="str">
        <f t="shared" si="0"/>
        <v>a</v>
      </c>
      <c r="AU1" s="67" t="str">
        <f t="shared" si="0"/>
        <v>a</v>
      </c>
      <c r="AV1" s="67" t="str">
        <f t="shared" si="0"/>
        <v>a</v>
      </c>
      <c r="AW1" s="67" t="str">
        <f t="shared" si="0"/>
        <v>a</v>
      </c>
      <c r="AX1" s="67" t="str">
        <f t="shared" si="0"/>
        <v>a</v>
      </c>
      <c r="AY1" s="68" t="str">
        <f t="shared" si="0"/>
        <v>a</v>
      </c>
      <c r="AZ1" s="65" t="str">
        <f>IF($K$1="","",$K$1)</f>
        <v>b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c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d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a</v>
      </c>
      <c r="AA2" s="61" t="str">
        <f>IF($K$1="","",$K$1)</f>
        <v>b</v>
      </c>
      <c r="AB2" s="61" t="str">
        <f>IF($P$1="","",$P$1)</f>
        <v>c</v>
      </c>
      <c r="AC2" s="13" t="str">
        <f>IF($U$1="","",$U$1)</f>
        <v>d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a</v>
      </c>
      <c r="F4" s="5" t="s">
        <v>187</v>
      </c>
      <c r="G4" s="6">
        <v>1500</v>
      </c>
      <c r="H4" s="6"/>
      <c r="I4" s="45">
        <v>0</v>
      </c>
      <c r="J4" s="18">
        <f>IF(COUNTA($F4,$K4,$P4,$U4)&gt;0,J3+SUM(G4:I4),"")</f>
        <v>26500</v>
      </c>
      <c r="K4" s="5" t="s">
        <v>188</v>
      </c>
      <c r="L4" s="6">
        <v>-500</v>
      </c>
      <c r="M4" s="6"/>
      <c r="N4" s="45">
        <v>0</v>
      </c>
      <c r="O4" s="18">
        <f>IF(COUNTA($F4,$K4,$P4,$U4)&gt;0,O3+SUM(L4:N4),"")</f>
        <v>24500</v>
      </c>
      <c r="P4" s="5" t="s">
        <v>188</v>
      </c>
      <c r="Q4" s="6">
        <v>-500</v>
      </c>
      <c r="R4" s="6"/>
      <c r="S4" s="45">
        <v>0</v>
      </c>
      <c r="T4" s="18">
        <f>IF(COUNTA($F4,$K4,$P4,$U4)&gt;0,T3+SUM(Q4:S4),"")</f>
        <v>24500</v>
      </c>
      <c r="U4" s="5" t="s">
        <v>188</v>
      </c>
      <c r="V4" s="6">
        <v>-500</v>
      </c>
      <c r="W4" s="6"/>
      <c r="X4" s="45">
        <v>0</v>
      </c>
      <c r="Y4" s="18">
        <f>IF(COUNTA($F4,$K4,$P4,$U4)&gt;0,Y3+SUM(V4:X4),"")</f>
        <v>24500</v>
      </c>
      <c r="Z4" s="50">
        <f>IF($J4="","",ROUND(($J4-30000)/1000,1)+(2.5-_xlfn.RANK.AVG($J4,($J4,$O4,$T4,$Y4)))*20+IF(_xlfn.RANK.EQ($J4,($J4,$O4,$T4,$Y4))=1,20/((_xlfn.RANK.AVG($J4,($J4,$O4,$T4,$Y4))-1)*2+1),0))</f>
        <v>46.5</v>
      </c>
      <c r="AA4" s="51">
        <f>IF($O4="","",ROUND(($O4-30000)/1000,1)+(2.5-_xlfn.RANK.AVG($O4,($J4,$O4,$T4,$Y4)))*20+IF(_xlfn.RANK.EQ($O4,($J4,$O4,$T4,$Y4))=1,20/((_xlfn.RANK.AVG($O4,($J4,$O4,$T4,$Y4))-1)*2+1),0))</f>
        <v>-15.5</v>
      </c>
      <c r="AB4" s="51">
        <f>IF($T4="","",ROUND(($T4-30000)/1000,1)+(2.5-_xlfn.RANK.AVG($T4,($J4,$O4,$T4,$Y4)))*20+IF(_xlfn.RANK.EQ($T4,($J4,$O4,$T4,$Y4))=1,20/((_xlfn.RANK.AVG($T4,($J4,$O4,$T4,$Y4))-1)*2+1),0))</f>
        <v>-15.5</v>
      </c>
      <c r="AC4" s="52">
        <f>IF($Y4="","",ROUND(($Y4-30000)/1000,1)+(2.5-_xlfn.RANK.AVG($Y4,($J4,$O4,$T4,$Y4)))*20+IF(_xlfn.RANK.EQ($Y4,($J4,$O4,$T4,$Y4))=1,20/((_xlfn.RANK.AVG($Y4,($J4,$O4,$T4,$Y4))-1)*2+1),0))</f>
        <v>-15.5</v>
      </c>
      <c r="AE4" s="5"/>
      <c r="AF4" s="31"/>
      <c r="AG4" s="23"/>
      <c r="AH4" s="23"/>
      <c r="AI4" s="23">
        <v>1</v>
      </c>
      <c r="AJ4" s="27">
        <v>30</v>
      </c>
      <c r="AK4" s="37" t="s">
        <v>81</v>
      </c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">
        <v>181</v>
      </c>
      <c r="F5" s="5" t="s">
        <v>191</v>
      </c>
      <c r="G5" s="6">
        <v>3000</v>
      </c>
      <c r="H5" s="6">
        <v>-1000</v>
      </c>
      <c r="I5" s="45"/>
      <c r="J5" s="18">
        <f t="shared" ref="J5:J30" si="2">IF(COUNTA($F5,$K5,$P5,$U5)&gt;0,J4+SUM(G5:I5),"")</f>
        <v>28500</v>
      </c>
      <c r="K5" s="5" t="s">
        <v>191</v>
      </c>
      <c r="L5" s="6">
        <v>-1000</v>
      </c>
      <c r="M5" s="6"/>
      <c r="N5" s="45"/>
      <c r="O5" s="18">
        <f>IF(COUNTA($F5,$K5,$P5,$U5)&gt;0,O4+SUM(L5:N5),"")</f>
        <v>23500</v>
      </c>
      <c r="P5" s="5" t="s">
        <v>191</v>
      </c>
      <c r="Q5" s="6">
        <v>-1000</v>
      </c>
      <c r="R5" s="6"/>
      <c r="S5" s="45"/>
      <c r="T5" s="18">
        <f t="shared" ref="T5:T30" si="3">IF(COUNTA($F5,$K5,$P5,$U5)&gt;0,T4+SUM(Q5:S5),"")</f>
        <v>23500</v>
      </c>
      <c r="U5" s="5" t="s">
        <v>191</v>
      </c>
      <c r="V5" s="6">
        <v>-1000</v>
      </c>
      <c r="W5" s="6"/>
      <c r="X5" s="45"/>
      <c r="Y5" s="18">
        <f t="shared" ref="Y5:Y30" si="4">IF(COUNTA($F5,$K5,$P5,$U5)&gt;0,Y4+SUM(V5:X5),"")</f>
        <v>23500</v>
      </c>
      <c r="Z5" s="50">
        <f>IF($J5="","",ROUND(($J5-30000)/1000,1)+(2.5-_xlfn.RANK.AVG($J5,($J5,$O5,$T5,$Y5)))*20+IF(_xlfn.RANK.EQ($J5,($J5,$O5,$T5,$Y5))=1,20/((_xlfn.RANK.AVG($J5,($J5,$O5,$T5,$Y5))-1)*2+1),0))</f>
        <v>48.5</v>
      </c>
      <c r="AA5" s="51">
        <f>IF($O5="","",ROUND(($O5-30000)/1000,1)+(2.5-_xlfn.RANK.AVG($O5,($J5,$O5,$T5,$Y5)))*20+IF(_xlfn.RANK.EQ($O5,($J5,$O5,$T5,$Y5))=1,20/((_xlfn.RANK.AVG($O5,($J5,$O5,$T5,$Y5))-1)*2+1),0))</f>
        <v>-16.5</v>
      </c>
      <c r="AB5" s="51">
        <f>IF($T5="","",ROUND(($T5-30000)/1000,1)+(2.5-_xlfn.RANK.AVG($T5,($J5,$O5,$T5,$Y5)))*20+IF(_xlfn.RANK.EQ($T5,($J5,$O5,$T5,$Y5))=1,20/((_xlfn.RANK.AVG($T5,($J5,$O5,$T5,$Y5))-1)*2+1),0))</f>
        <v>-16.5</v>
      </c>
      <c r="AC5" s="52">
        <f>IF($Y5="","",ROUND(($Y5-30000)/1000,1)+(2.5-_xlfn.RANK.AVG($Y5,($J5,$O5,$T5,$Y5)))*20+IF(_xlfn.RANK.EQ($Y5,($J5,$O5,$T5,$Y5))=1,20/((_xlfn.RANK.AVG($Y5,($J5,$O5,$T5,$Y5))-1)*2+1),0))</f>
        <v>-16.5</v>
      </c>
      <c r="AE5" s="5" t="s">
        <v>189</v>
      </c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190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190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190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63" t="s">
        <v>181</v>
      </c>
      <c r="F6" s="5" t="s">
        <v>191</v>
      </c>
      <c r="G6" s="6">
        <v>3000</v>
      </c>
      <c r="H6" s="6">
        <v>-1000</v>
      </c>
      <c r="I6" s="45"/>
      <c r="J6" s="18">
        <f t="shared" si="2"/>
        <v>30500</v>
      </c>
      <c r="K6" s="5" t="s">
        <v>191</v>
      </c>
      <c r="L6" s="6">
        <v>-1000</v>
      </c>
      <c r="M6" s="6"/>
      <c r="N6" s="45"/>
      <c r="O6" s="18">
        <f t="shared" ref="O6:O30" si="8">IF(COUNTA($F6,$K6,$P6,$U6)&gt;0,O5+SUM(L6:N6),"")</f>
        <v>22500</v>
      </c>
      <c r="P6" s="5" t="s">
        <v>191</v>
      </c>
      <c r="Q6" s="6">
        <v>-1000</v>
      </c>
      <c r="R6" s="6"/>
      <c r="S6" s="45"/>
      <c r="T6" s="18">
        <f t="shared" si="3"/>
        <v>22500</v>
      </c>
      <c r="U6" s="5" t="s">
        <v>191</v>
      </c>
      <c r="V6" s="6">
        <v>-1000</v>
      </c>
      <c r="W6" s="6"/>
      <c r="X6" s="45"/>
      <c r="Y6" s="18">
        <f t="shared" si="4"/>
        <v>22500</v>
      </c>
      <c r="Z6" s="50">
        <f>IF($J6="","",ROUND(($J6-30000)/1000,1)+(2.5-_xlfn.RANK.AVG($J6,($J6,$O6,$T6,$Y6)))*20+IF(_xlfn.RANK.EQ($J6,($J6,$O6,$T6,$Y6))=1,20/((_xlfn.RANK.AVG($J6,($J6,$O6,$T6,$Y6))-1)*2+1),0))</f>
        <v>50.5</v>
      </c>
      <c r="AA6" s="51">
        <f>IF($O6="","",ROUND(($O6-30000)/1000,1)+(2.5-_xlfn.RANK.AVG($O6,($J6,$O6,$T6,$Y6)))*20+IF(_xlfn.RANK.EQ($O6,($J6,$O6,$T6,$Y6))=1,20/((_xlfn.RANK.AVG($O6,($J6,$O6,$T6,$Y6))-1)*2+1),0))</f>
        <v>-17.5</v>
      </c>
      <c r="AB6" s="51">
        <f>IF($T6="","",ROUND(($T6-30000)/1000,1)+(2.5-_xlfn.RANK.AVG($T6,($J6,$O6,$T6,$Y6)))*20+IF(_xlfn.RANK.EQ($T6,($J6,$O6,$T6,$Y6))=1,20/((_xlfn.RANK.AVG($T6,($J6,$O6,$T6,$Y6))-1)*2+1),0))</f>
        <v>-17.5</v>
      </c>
      <c r="AC6" s="52">
        <f>IF($Y6="","",ROUND(($Y6-30000)/1000,1)+(2.5-_xlfn.RANK.AVG($Y6,($J6,$O6,$T6,$Y6)))*20+IF(_xlfn.RANK.EQ($Y6,($J6,$O6,$T6,$Y6))=1,20/((_xlfn.RANK.AVG($Y6,($J6,$O6,$T6,$Y6))-1)*2+1),0))</f>
        <v>-17.5</v>
      </c>
      <c r="AE6" s="5" t="s">
        <v>189</v>
      </c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190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190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190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1</v>
      </c>
      <c r="C7" s="15">
        <f t="shared" si="6"/>
        <v>3</v>
      </c>
      <c r="D7" s="15">
        <f t="shared" si="7"/>
        <v>2</v>
      </c>
      <c r="E7" s="63" t="s">
        <v>181</v>
      </c>
      <c r="F7" s="5" t="s">
        <v>191</v>
      </c>
      <c r="G7" s="6">
        <v>-3000</v>
      </c>
      <c r="H7" s="6"/>
      <c r="I7" s="45"/>
      <c r="J7" s="18">
        <f t="shared" si="2"/>
        <v>27500</v>
      </c>
      <c r="K7" s="5" t="s">
        <v>191</v>
      </c>
      <c r="L7" s="6">
        <v>1000</v>
      </c>
      <c r="M7" s="6"/>
      <c r="N7" s="45"/>
      <c r="O7" s="18">
        <f t="shared" si="8"/>
        <v>23500</v>
      </c>
      <c r="P7" s="5" t="s">
        <v>191</v>
      </c>
      <c r="Q7" s="6">
        <v>1000</v>
      </c>
      <c r="R7" s="6"/>
      <c r="S7" s="45"/>
      <c r="T7" s="18">
        <f t="shared" si="3"/>
        <v>23500</v>
      </c>
      <c r="U7" s="5" t="s">
        <v>191</v>
      </c>
      <c r="V7" s="6">
        <v>1000</v>
      </c>
      <c r="W7" s="6"/>
      <c r="X7" s="45"/>
      <c r="Y7" s="18">
        <f t="shared" si="4"/>
        <v>23500</v>
      </c>
      <c r="Z7" s="50">
        <f>IF($J7="","",ROUND(($J7-30000)/1000,1)+(2.5-_xlfn.RANK.AVG($J7,($J7,$O7,$T7,$Y7)))*20+IF(_xlfn.RANK.EQ($J7,($J7,$O7,$T7,$Y7))=1,20/((_xlfn.RANK.AVG($J7,($J7,$O7,$T7,$Y7))-1)*2+1),0))</f>
        <v>47.5</v>
      </c>
      <c r="AA7" s="51">
        <f>IF($O7="","",ROUND(($O7-30000)/1000,1)+(2.5-_xlfn.RANK.AVG($O7,($J7,$O7,$T7,$Y7)))*20+IF(_xlfn.RANK.EQ($O7,($J7,$O7,$T7,$Y7))=1,20/((_xlfn.RANK.AVG($O7,($J7,$O7,$T7,$Y7))-1)*2+1),0))</f>
        <v>-16.5</v>
      </c>
      <c r="AB7" s="51">
        <f>IF($T7="","",ROUND(($T7-30000)/1000,1)+(2.5-_xlfn.RANK.AVG($T7,($J7,$O7,$T7,$Y7)))*20+IF(_xlfn.RANK.EQ($T7,($J7,$O7,$T7,$Y7))=1,20/((_xlfn.RANK.AVG($T7,($J7,$O7,$T7,$Y7))-1)*2+1),0))</f>
        <v>-16.5</v>
      </c>
      <c r="AC7" s="52">
        <f>IF($Y7="","",ROUND(($Y7-30000)/1000,1)+(2.5-_xlfn.RANK.AVG($Y7,($J7,$O7,$T7,$Y7)))*20+IF(_xlfn.RANK.EQ($Y7,($J7,$O7,$T7,$Y7))=1,20/((_xlfn.RANK.AVG($Y7,($J7,$O7,$T7,$Y7))-1)*2+1),0))</f>
        <v>-16.5</v>
      </c>
      <c r="AE7" s="5" t="s">
        <v>190</v>
      </c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 t="s">
        <v>189</v>
      </c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 t="s">
        <v>189</v>
      </c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 t="s">
        <v>189</v>
      </c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4</v>
      </c>
      <c r="D8" s="15">
        <f>IF($E8="","",IF(OR($F7="流局",$F7="チョンボ"),D7+($H7+$M7+$R7+$W7)/-1000,0))</f>
        <v>2</v>
      </c>
      <c r="E8" s="63" t="s">
        <v>183</v>
      </c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06DF0AE-53D1-4D29-87F4-8E6EB74E0C38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2019-12-19T08:24:25Z</dcterms:modified>
</cp:coreProperties>
</file>