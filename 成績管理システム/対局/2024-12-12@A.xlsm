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E6C19B8-431A-40F7-9C94-25733B17484B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D9" i="28" s="1"/>
  <c r="E8" i="28"/>
  <c r="D8" i="28" s="1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C7" i="28"/>
  <c r="D7" i="28"/>
  <c r="Y6" i="28"/>
  <c r="Y7" i="28" s="1"/>
  <c r="D6" i="28"/>
  <c r="C6" i="28"/>
  <c r="Y5" i="28"/>
  <c r="T5" i="28"/>
  <c r="T6" i="28" s="1"/>
  <c r="O5" i="28"/>
  <c r="O6" i="28" s="1"/>
  <c r="J5" i="28"/>
  <c r="J6" i="28" s="1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C9" i="28" l="1"/>
  <c r="AC5" i="28"/>
  <c r="D5" i="28"/>
  <c r="B5" i="28"/>
  <c r="A5" i="28" s="1"/>
  <c r="Z4" i="28"/>
  <c r="AA4" i="28"/>
  <c r="AB4" i="28"/>
  <c r="AC4" i="28"/>
  <c r="B6" i="28"/>
  <c r="A6" i="28" s="1"/>
  <c r="Y8" i="28"/>
  <c r="J7" i="28"/>
  <c r="Z6" i="28"/>
  <c r="AA6" i="28"/>
  <c r="O7" i="28"/>
  <c r="AB6" i="28"/>
  <c r="T7" i="28"/>
  <c r="Z5" i="28"/>
  <c r="AC6" i="28"/>
  <c r="C8" i="28"/>
  <c r="AA5" i="28"/>
  <c r="AB5" i="28"/>
  <c r="B7" i="28"/>
  <c r="A7" i="28" s="1"/>
  <c r="B8" i="28"/>
  <c r="B9" i="28" s="1"/>
  <c r="E4" i="27"/>
  <c r="AA7" i="28" l="1"/>
  <c r="O8" i="28"/>
  <c r="J8" i="28"/>
  <c r="Z7" i="28"/>
  <c r="AC7" i="28"/>
  <c r="T8" i="28"/>
  <c r="AB7" i="28"/>
  <c r="Y9" i="28"/>
  <c r="A8" i="28"/>
  <c r="A9" i="28"/>
  <c r="O5" i="27"/>
  <c r="AC3" i="27"/>
  <c r="AA3" i="27"/>
  <c r="AB3" i="27"/>
  <c r="Z3" i="27"/>
  <c r="AC8" i="28" l="1"/>
  <c r="T9" i="28"/>
  <c r="AB8" i="28"/>
  <c r="Z8" i="28"/>
  <c r="J9" i="28"/>
  <c r="O9" i="28"/>
  <c r="AA9" i="28" s="1"/>
  <c r="AA8" i="28"/>
  <c r="CP1" i="27"/>
  <c r="AC2" i="27"/>
  <c r="BU1" i="27"/>
  <c r="AB2" i="27"/>
  <c r="AZ1" i="27"/>
  <c r="AA2" i="27"/>
  <c r="AE1" i="27"/>
  <c r="Z2" i="27"/>
  <c r="AC9" i="28" l="1"/>
  <c r="Z9" i="28"/>
  <c r="AB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<sst xmlns="http://schemas.openxmlformats.org/spreadsheetml/2006/main" count="640" uniqueCount="176">
  <si>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</si>
  <si>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</si>
  <si>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</si>
  <si>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</si>
  <si>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</si>
  <si>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</si>
  <si>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</si>
  <si>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</si>
  <si>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</si>
  <si>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</si>
  <si>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</si>
  <si>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</si>
  <si>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</si>
  <si>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</si>
  <si>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</si>
  <si>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</si>
  <si>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</si>
  <si>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</si>
  <si>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</si>
  <si>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</si>
  <si>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</si>
  <si>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</si>
  <si>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</si>
  <si>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</si>
  <si>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</si>
  <si>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</si>
  <si>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</si>
  <si>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</si>
  <si>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</si>
  <si>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</si>
  <si>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</si>
  <si>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</si>
  <si>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</si>
  <si>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</si>
  <si>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</si>
  <si>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</si>
  <si>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</si>
  <si>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</si>
  <si>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</si>
  <si>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</si>
  <si>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</si>
  <si>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</si>
  <si>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</si>
  <si>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</si>
  <si>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</si>
  <si>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</si>
  <si>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</si>
  <si>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</si>
  <si>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</si>
  <si>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</si>
  <si>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</si>
  <si>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</si>
  <si>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</si>
  <si>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</si>
  <si>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</si>
  <si>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</si>
  <si>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</si>
  <si>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</si>
  <si>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</si>
  <si>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</si>
  <si>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</si>
  <si>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</si>
  <si>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</si>
  <si>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</si>
  <si>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</si>
  <si>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</si>
  <si>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</si>
  <si>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</si>
  <si>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</si>
  <si>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</si>
  <si>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</si>
  <si>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</si>
  <si>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</si>
  <si>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</si>
  <si>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</si>
  <si>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</si>
  <si>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</si>
  <si>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</si>
  <si>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</si>
  <si>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</si>
  <si>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</si>
  <si>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</si>
  <si>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</si>
  <si>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</si>
  <si>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</si>
  <si>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</si>
  <si>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</si>
  <si>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</si>
  <si>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</si>
  <si>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</si>
  <si>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</si>
  <si>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</si>
  <si>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</si>
  <si>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</si>
  <si>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</si>
  <si>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</si>
  <si>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</si>
  <si>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</si>
  <si>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</si>
  <si>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</si>
  <si>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</si>
  <si>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</si>
  <si>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</si>
  <si>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</si>
  <si>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</si>
  <si>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</si>
  <si>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</si>
  <si>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</si>
  <si>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</si>
  <si>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</si>
  <si>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</si>
  <si>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</si>
  <si>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</si>
  <si>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</si>
  <si>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</si>
  <si>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</si>
  <si>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</si>
  <si>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</si>
  <si>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</si>
  <si>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</si>
  <si>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</si>
  <si>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</si>
  <si>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</si>
  <si>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</si>
  <si>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</si>
  <si>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</si>
  <si>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</si>
  <si>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</si>
  <si>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</si>
  <si>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</si>
  <si>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</si>
  <si>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</si>
  <si>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</si>
  <si>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</si>
  <si>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</si>
  <si>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</si>
  <si>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</si>
  <si>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</si>
  <si>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</si>
  <si>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</si>
  <si>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</si>
  <si>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</si>
  <si>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</si>
  <si>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</si>
  <si>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</si>
  <si>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</si>
  <si>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</si>
  <si>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</si>
  <si>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</si>
  <si>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</si>
  <si>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</si>
  <si>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</si>
  <si>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</si>
  <si>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</si>
  <si>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</si>
  <si>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</si>
  <si>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</si>
  <si>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</si>
  <si>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</si>
  <si>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</si>
  <si>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</si>
  <si>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</si>
  <si>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長野柊馬</t>
  </si>
  <si>
    <t>高橋英将</t>
  </si>
  <si>
    <t>清水常緑</t>
  </si>
  <si>
    <t>西野修世</t>
  </si>
  <si>
    <t>ロン</t>
  </si>
  <si>
    <t>放銃</t>
  </si>
  <si>
    <t>ツモ支払</t>
  </si>
  <si>
    <t>ツモ</t>
  </si>
  <si>
    <t>52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</si>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</sst>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高橋英将</v>
      </c>
      <c r="AB2" s="56" t="str">
        <f>IF($P$1="","",$P$1)</f>
        <v>清水常緑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2600</v>
      </c>
      <c r="M4" s="6">
        <v>1000</v>
      </c>
      <c r="N4" s="6">
        <v>0</v>
      </c>
      <c r="O4" s="18">
        <f>IF(COUNTA($F4,$K4,$P4,$U4)&gt;0,O3+SUM(L4:N4),"")</f>
        <v>28600</v>
      </c>
      <c r="P4" s="5" t="s">
        <v>167</v>
      </c>
      <c r="Q4" s="6">
        <v>-2600</v>
      </c>
      <c r="R4" s="6"/>
      <c r="S4" s="6">
        <v>0</v>
      </c>
      <c r="T4" s="18">
        <f>IF(COUNTA($F4,$K4,$P4,$U4)&gt;0,T3+SUM(Q4:S4),"")</f>
        <v>22400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</v>
      </c>
      <c r="AA4" s="46">
        <f>IF($O4="","",ROUND(($O4-30000)/1000,1)+(2.5-_xlfn.RANK.AVG($O4,($J4,$O4,$T4,$Y4)))*20+IF(_xlfn.RANK.EQ($O4,($J4,$O4,$T4,$Y4))=1,20/((_xlfn.RANK.AVG($O4,($J4,$O4,$T4,$Y4))-1)*2+1),0))</f>
        <v>48.6</v>
      </c>
      <c r="AB4" s="46">
        <f>IF($T4="","",ROUND(($T4-30000)/1000,1)+(2.5-_xlfn.RANK.AVG($T4,($J4,$O4,$T4,$Y4)))*20+IF(_xlfn.RANK.EQ($T4,($J4,$O4,$T4,$Y4))=1,20/((_xlfn.RANK.AVG($T4,($J4,$O4,$T4,$Y4))-1)*2+1),0))</f>
        <v>-37.6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2</v>
      </c>
      <c r="BE4" s="27">
        <v>40</v>
      </c>
      <c r="BF4" s="36" t="s">
        <v>83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168</v>
      </c>
      <c r="G5" s="6">
        <v>-500</v>
      </c>
      <c r="H5" s="6"/>
      <c r="I5" s="6">
        <v>0</v>
      </c>
      <c r="J5" s="18">
        <f t="shared" ref="J5:J30" si="2">IF(COUNTA($F5,$K5,$P5,$U5)&gt;0,J4+SUM(G5:I5),"")</f>
        <v>24500</v>
      </c>
      <c r="K5" s="5" t="s">
        <v>168</v>
      </c>
      <c r="L5" s="6">
        <v>-1000</v>
      </c>
      <c r="M5" s="6"/>
      <c r="N5" s="6">
        <v>0</v>
      </c>
      <c r="O5" s="18">
        <f>IF(COUNTA($F5,$K5,$P5,$U5)&gt;0,O4+SUM(L5:N5),"")</f>
        <v>27600</v>
      </c>
      <c r="P5" s="5" t="s">
        <v>168</v>
      </c>
      <c r="Q5" s="6">
        <v>-500</v>
      </c>
      <c r="R5" s="6">
        <v>-1000</v>
      </c>
      <c r="S5" s="6">
        <v>0</v>
      </c>
      <c r="T5" s="18">
        <f t="shared" ref="T5:T30" si="3">IF(COUNTA($F5,$K5,$P5,$U5)&gt;0,T4+SUM(Q5:S5),"")</f>
        <v>20900</v>
      </c>
      <c r="U5" s="5" t="s">
        <v>169</v>
      </c>
      <c r="V5" s="6">
        <v>2000</v>
      </c>
      <c r="W5" s="6">
        <v>1000</v>
      </c>
      <c r="X5" s="6">
        <v>0</v>
      </c>
      <c r="Y5" s="18">
        <f t="shared" ref="Y5:Y30" si="4">IF(COUNTA($F5,$K5,$P5,$U5)&gt;0,Y4+SUM(V5:X5),"")</f>
        <v>27000</v>
      </c>
      <c r="Z5" s="45">
        <f>IF($J5="","",ROUND(($J5-30000)/1000,1)+(2.5-_xlfn.RANK.AVG($J5,($J5,$O5,$T5,$Y5)))*20+IF(_xlfn.RANK.EQ($J5,($J5,$O5,$T5,$Y5))=1,20/((_xlfn.RANK.AVG($J5,($J5,$O5,$T5,$Y5))-1)*2+1),0))</f>
        <v>-15.5</v>
      </c>
      <c r="AA5" s="46">
        <f>IF($O5="","",ROUND(($O5-30000)/1000,1)+(2.5-_xlfn.RANK.AVG($O5,($J5,$O5,$T5,$Y5)))*20+IF(_xlfn.RANK.EQ($O5,($J5,$O5,$T5,$Y5))=1,20/((_xlfn.RANK.AVG($O5,($J5,$O5,$T5,$Y5))-1)*2+1),0))</f>
        <v>47.6</v>
      </c>
      <c r="AB5" s="46">
        <f>IF($T5="","",ROUND(($T5-30000)/1000,1)+(2.5-_xlfn.RANK.AVG($T5,($J5,$O5,$T5,$Y5)))*20+IF(_xlfn.RANK.EQ($T5,($J5,$O5,$T5,$Y5))=1,20/((_xlfn.RANK.AVG($T5,($J5,$O5,$T5,$Y5))-1)*2+1),0))</f>
        <v>-39.1</v>
      </c>
      <c r="AC5" s="47">
        <f>IF($Y5="","",ROUND(($Y5-30000)/1000,1)+(2.5-_xlfn.RANK.AVG($Y5,($J5,$O5,$T5,$Y5)))*20+IF(_xlfn.RANK.EQ($Y5,($J5,$O5,$T5,$Y5))=1,20/((_xlfn.RANK.AVG($Y5,($J5,$O5,$T5,$Y5))-1)*2+1),0))</f>
        <v>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2</v>
      </c>
      <c r="CU5" s="27">
        <v>30</v>
      </c>
      <c r="CV5" s="36" t="s">
        <v>77</v>
      </c>
      <c r="CW5" s="37" t="s">
        <v>170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167</v>
      </c>
      <c r="G6" s="6">
        <v>-2000</v>
      </c>
      <c r="H6" s="6"/>
      <c r="I6" s="6">
        <v>0</v>
      </c>
      <c r="J6" s="18">
        <f t="shared" si="2"/>
        <v>22500</v>
      </c>
      <c r="K6" s="5"/>
      <c r="L6" s="6"/>
      <c r="M6" s="6"/>
      <c r="N6" s="6"/>
      <c r="O6" s="18">
        <f t="shared" ref="O6:O30" si="8">IF(COUNTA($F6,$K6,$P6,$U6)&gt;0,O5+SUM(L6:N6),"")</f>
        <v>27600</v>
      </c>
      <c r="P6" s="5"/>
      <c r="Q6" s="6"/>
      <c r="R6" s="6"/>
      <c r="S6" s="6"/>
      <c r="T6" s="18">
        <f t="shared" si="3"/>
        <v>20900</v>
      </c>
      <c r="U6" s="5" t="s">
        <v>166</v>
      </c>
      <c r="V6" s="6">
        <v>2000</v>
      </c>
      <c r="W6" s="6"/>
      <c r="X6" s="6">
        <v>0</v>
      </c>
      <c r="Y6" s="18">
        <f t="shared" si="4"/>
        <v>29000</v>
      </c>
      <c r="Z6" s="45">
        <f>IF($J6="","",ROUND(($J6-30000)/1000,1)+(2.5-_xlfn.RANK.AVG($J6,($J6,$O6,$T6,$Y6)))*20+IF(_xlfn.RANK.EQ($J6,($J6,$O6,$T6,$Y6))=1,20/((_xlfn.RANK.AVG($J6,($J6,$O6,$T6,$Y6))-1)*2+1),0))</f>
        <v>-17.5</v>
      </c>
      <c r="AA6" s="46">
        <f>IF($O6="","",ROUND(($O6-30000)/1000,1)+(2.5-_xlfn.RANK.AVG($O6,($J6,$O6,$T6,$Y6)))*20+IF(_xlfn.RANK.EQ($O6,($J6,$O6,$T6,$Y6))=1,20/((_xlfn.RANK.AVG($O6,($J6,$O6,$T6,$Y6))-1)*2+1),0))</f>
        <v>7.6</v>
      </c>
      <c r="AB6" s="46">
        <f>IF($T6="","",ROUND(($T6-30000)/1000,1)+(2.5-_xlfn.RANK.AVG($T6,($J6,$O6,$T6,$Y6)))*20+IF(_xlfn.RANK.EQ($T6,($J6,$O6,$T6,$Y6))=1,20/((_xlfn.RANK.AVG($T6,($J6,$O6,$T6,$Y6))-1)*2+1),0))</f>
        <v>-39.1</v>
      </c>
      <c r="AC6" s="47">
        <f>IF($Y6="","",ROUND(($Y6-30000)/1000,1)+(2.5-_xlfn.RANK.AVG($Y6,($J6,$O6,$T6,$Y6)))*20+IF(_xlfn.RANK.EQ($Y6,($J6,$O6,$T6,$Y6))=1,20/((_xlfn.RANK.AVG($Y6,($J6,$O6,$T6,$Y6))-1)*2+1),0))</f>
        <v>49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30</v>
      </c>
      <c r="CV6" s="36" t="s">
        <v>76</v>
      </c>
      <c r="CW6" s="37" t="s">
        <v>170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西野修世</v>
      </c>
      <c r="F7" s="5"/>
      <c r="G7" s="6"/>
      <c r="H7" s="6"/>
      <c r="I7" s="6"/>
      <c r="J7" s="18">
        <f t="shared" si="2"/>
        <v>22500</v>
      </c>
      <c r="K7" s="5"/>
      <c r="L7" s="6"/>
      <c r="M7" s="6"/>
      <c r="N7" s="6"/>
      <c r="O7" s="18">
        <f t="shared" si="8"/>
        <v>27600</v>
      </c>
      <c r="P7" s="5" t="s">
        <v>166</v>
      </c>
      <c r="Q7" s="6">
        <v>3900</v>
      </c>
      <c r="R7" s="6"/>
      <c r="S7" s="6">
        <v>0</v>
      </c>
      <c r="T7" s="18">
        <f t="shared" si="3"/>
        <v>24800</v>
      </c>
      <c r="U7" s="5" t="s">
        <v>167</v>
      </c>
      <c r="V7" s="6">
        <v>-3900</v>
      </c>
      <c r="W7" s="6"/>
      <c r="X7" s="6">
        <v>0</v>
      </c>
      <c r="Y7" s="18">
        <f t="shared" si="4"/>
        <v>25100</v>
      </c>
      <c r="Z7" s="45">
        <f>IF($J7="","",ROUND(($J7-30000)/1000,1)+(2.5-_xlfn.RANK.AVG($J7,($J7,$O7,$T7,$Y7)))*20+IF(_xlfn.RANK.EQ($J7,($J7,$O7,$T7,$Y7))=1,20/((_xlfn.RANK.AVG($J7,($J7,$O7,$T7,$Y7))-1)*2+1),0))</f>
        <v>-37.5</v>
      </c>
      <c r="AA7" s="46">
        <f>IF($O7="","",ROUND(($O7-30000)/1000,1)+(2.5-_xlfn.RANK.AVG($O7,($J7,$O7,$T7,$Y7)))*20+IF(_xlfn.RANK.EQ($O7,($J7,$O7,$T7,$Y7))=1,20/((_xlfn.RANK.AVG($O7,($J7,$O7,$T7,$Y7))-1)*2+1),0))</f>
        <v>47.6</v>
      </c>
      <c r="AB7" s="46">
        <f>IF($T7="","",ROUND(($T7-30000)/1000,1)+(2.5-_xlfn.RANK.AVG($T7,($J7,$O7,$T7,$Y7)))*20+IF(_xlfn.RANK.EQ($T7,($J7,$O7,$T7,$Y7))=1,20/((_xlfn.RANK.AVG($T7,($J7,$O7,$T7,$Y7))-1)*2+1),0))</f>
        <v>-15.2</v>
      </c>
      <c r="AC7" s="47">
        <f>IF($Y7="","",ROUND(($Y7-30000)/1000,1)+(2.5-_xlfn.RANK.AVG($Y7,($J7,$O7,$T7,$Y7)))*20+IF(_xlfn.RANK.EQ($Y7,($J7,$O7,$T7,$Y7))=1,20/((_xlfn.RANK.AVG($Y7,($J7,$O7,$T7,$Y7))-1)*2+1),0))</f>
        <v>5.0999999999999996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30</v>
      </c>
      <c r="CA7" s="36" t="s">
        <v>171</v>
      </c>
      <c r="CB7" s="37" t="s">
        <v>74</v>
      </c>
      <c r="CC7" s="37" t="s">
        <v>172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167</v>
      </c>
      <c r="G8" s="6">
        <v>-8000</v>
      </c>
      <c r="H8" s="6">
        <v>-1000</v>
      </c>
      <c r="I8" s="6">
        <v>0</v>
      </c>
      <c r="J8" s="18">
        <f t="shared" si="2"/>
        <v>13500</v>
      </c>
      <c r="K8" s="5"/>
      <c r="L8" s="6"/>
      <c r="M8" s="6"/>
      <c r="N8" s="6"/>
      <c r="O8" s="18">
        <f t="shared" si="8"/>
        <v>27600</v>
      </c>
      <c r="P8" s="5" t="s">
        <v>166</v>
      </c>
      <c r="Q8" s="6">
        <v>8000</v>
      </c>
      <c r="R8" s="6">
        <v>1000</v>
      </c>
      <c r="S8" s="6">
        <v>0</v>
      </c>
      <c r="T8" s="18">
        <f t="shared" si="3"/>
        <v>33800</v>
      </c>
      <c r="U8" s="5"/>
      <c r="V8" s="6"/>
      <c r="W8" s="6"/>
      <c r="X8" s="6"/>
      <c r="Y8" s="18">
        <f t="shared" si="4"/>
        <v>25100</v>
      </c>
      <c r="Z8" s="45">
        <f>IF($J8="","",ROUND(($J8-30000)/1000,1)+(2.5-_xlfn.RANK.AVG($J8,($J8,$O8,$T8,$Y8)))*20+IF(_xlfn.RANK.EQ($J8,($J8,$O8,$T8,$Y8))=1,20/((_xlfn.RANK.AVG($J8,($J8,$O8,$T8,$Y8))-1)*2+1),0))</f>
        <v>-46.5</v>
      </c>
      <c r="AA8" s="46">
        <f>IF($O8="","",ROUND(($O8-30000)/1000,1)+(2.5-_xlfn.RANK.AVG($O8,($J8,$O8,$T8,$Y8)))*20+IF(_xlfn.RANK.EQ($O8,($J8,$O8,$T8,$Y8))=1,20/((_xlfn.RANK.AVG($O8,($J8,$O8,$T8,$Y8))-1)*2+1),0))</f>
        <v>7.6</v>
      </c>
      <c r="AB8" s="46">
        <f>IF($T8="","",ROUND(($T8-30000)/1000,1)+(2.5-_xlfn.RANK.AVG($T8,($J8,$O8,$T8,$Y8)))*20+IF(_xlfn.RANK.EQ($T8,($J8,$O8,$T8,$Y8))=1,20/((_xlfn.RANK.AVG($T8,($J8,$O8,$T8,$Y8))-1)*2+1),0))</f>
        <v>53.8</v>
      </c>
      <c r="AC8" s="47">
        <f>IF($Y8="","",ROUND(($Y8-30000)/1000,1)+(2.5-_xlfn.RANK.AVG($Y8,($J8,$O8,$T8,$Y8)))*20+IF(_xlfn.RANK.EQ($Y8,($J8,$O8,$T8,$Y8))=1,20/((_xlfn.RANK.AVG($Y8,($J8,$O8,$T8,$Y8))-1)*2+1),0))</f>
        <v>-14.9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171</v>
      </c>
      <c r="CB8" s="37" t="s">
        <v>74</v>
      </c>
      <c r="CC8" s="37" t="s">
        <v>70</v>
      </c>
      <c r="CD8" s="37" t="s">
        <v>71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高橋英将</v>
      </c>
      <c r="F9" s="5" t="s">
        <v>168</v>
      </c>
      <c r="G9" s="6">
        <v>-1300</v>
      </c>
      <c r="H9" s="6"/>
      <c r="I9" s="6">
        <v>0</v>
      </c>
      <c r="J9" s="18">
        <f t="shared" si="2"/>
        <v>12200</v>
      </c>
      <c r="K9" s="5" t="s">
        <v>168</v>
      </c>
      <c r="L9" s="6">
        <v>-2600</v>
      </c>
      <c r="M9" s="6"/>
      <c r="N9" s="6">
        <v>0</v>
      </c>
      <c r="O9" s="18">
        <f t="shared" si="8"/>
        <v>25000</v>
      </c>
      <c r="P9" s="5" t="s">
        <v>169</v>
      </c>
      <c r="Q9" s="6">
        <v>5200</v>
      </c>
      <c r="R9" s="6">
        <v>0</v>
      </c>
      <c r="S9" s="6">
        <v>0</v>
      </c>
      <c r="T9" s="18">
        <f t="shared" si="3"/>
        <v>39000</v>
      </c>
      <c r="U9" s="5" t="s">
        <v>168</v>
      </c>
      <c r="V9" s="6">
        <v>-1300</v>
      </c>
      <c r="W9" s="6"/>
      <c r="X9" s="6">
        <v>0</v>
      </c>
      <c r="Y9" s="18">
        <f t="shared" si="4"/>
        <v>23800</v>
      </c>
      <c r="Z9" s="45">
        <f>IF($J9="","",ROUND(($J9-30000)/1000,1)+(2.5-_xlfn.RANK.AVG($J9,($J9,$O9,$T9,$Y9)))*20+IF(_xlfn.RANK.EQ($J9,($J9,$O9,$T9,$Y9))=1,20/((_xlfn.RANK.AVG($J9,($J9,$O9,$T9,$Y9))-1)*2+1),0))</f>
        <v>-47.8</v>
      </c>
      <c r="AA9" s="46">
        <f>IF($O9="","",ROUND(($O9-30000)/1000,1)+(2.5-_xlfn.RANK.AVG($O9,($J9,$O9,$T9,$Y9)))*20+IF(_xlfn.RANK.EQ($O9,($J9,$O9,$T9,$Y9))=1,20/((_xlfn.RANK.AVG($O9,($J9,$O9,$T9,$Y9))-1)*2+1),0))</f>
        <v>5</v>
      </c>
      <c r="AB9" s="46">
        <f>IF($T9="","",ROUND(($T9-30000)/1000,1)+(2.5-_xlfn.RANK.AVG($T9,($J9,$O9,$T9,$Y9)))*20+IF(_xlfn.RANK.EQ($T9,($J9,$O9,$T9,$Y9))=1,20/((_xlfn.RANK.AVG($T9,($J9,$O9,$T9,$Y9))-1)*2+1),0))</f>
        <v>59</v>
      </c>
      <c r="AC9" s="47">
        <f>IF($Y9="","",ROUND(($Y9-30000)/1000,1)+(2.5-_xlfn.RANK.AVG($Y9,($J9,$O9,$T9,$Y9)))*20+IF(_xlfn.RANK.EQ($Y9,($J9,$O9,$T9,$Y9))=1,20/((_xlfn.RANK.AVG($Y9,($J9,$O9,$T9,$Y9))-1)*2+1),0))</f>
        <v>-16.2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40</v>
      </c>
      <c r="CA9" s="36" t="s">
        <v>77</v>
      </c>
      <c r="CB9" s="37" t="s">
        <v>77</v>
      </c>
      <c r="CC9" s="37" t="s">
        <v>170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8F967AD-1568-4EFC-B19B-D678BBD01829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72D6F-F629-4AD9-BB45-3F76E8BB547F}">
  <sheetPr codeName="Sheet10">
    <pageSetUpPr fitToPage="1"/>
  </sheetPr>
  <dimension ref="A1:DJ30"/>
  <sheetViews>
    <sheetView tabSelected="1" topLeftCell="D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165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2000</v>
      </c>
      <c r="M4" s="6"/>
      <c r="N4" s="6">
        <v>0</v>
      </c>
      <c r="O4" s="18">
        <f>IF(COUNTA($F4,$K4,$P4,$U4)&gt;0,O3+SUM(L4:N4),"")</f>
        <v>27000</v>
      </c>
      <c r="P4" s="5" t="s">
        <v>167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-37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2</v>
      </c>
      <c r="BE4" s="27">
        <v>30</v>
      </c>
      <c r="BF4" s="36" t="s">
        <v>76</v>
      </c>
      <c r="BG4" s="37" t="s">
        <v>70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175</v>
      </c>
      <c r="G5" s="6">
        <v>-1000</v>
      </c>
      <c r="H5" s="6"/>
      <c r="I5" s="6"/>
      <c r="J5" s="18">
        <f t="shared" ref="J5:J30" si="2">IF(COUNTA($F5,$K5,$P5,$U5)&gt;0,J4+SUM(G5:I5),"")</f>
        <v>24000</v>
      </c>
      <c r="K5" s="5" t="s">
        <v>175</v>
      </c>
      <c r="L5" s="6">
        <v>-1000</v>
      </c>
      <c r="M5" s="6"/>
      <c r="N5" s="6"/>
      <c r="O5" s="18">
        <f>IF(COUNTA($F5,$K5,$P5,$U5)&gt;0,O4+SUM(L5:N5),"")</f>
        <v>26000</v>
      </c>
      <c r="P5" s="5" t="s">
        <v>175</v>
      </c>
      <c r="Q5" s="6">
        <v>3000</v>
      </c>
      <c r="R5" s="6"/>
      <c r="S5" s="6"/>
      <c r="T5" s="18">
        <f t="shared" ref="T5:T30" si="3">IF(COUNTA($F5,$K5,$P5,$U5)&gt;0,T4+SUM(Q5:S5),"")</f>
        <v>26000</v>
      </c>
      <c r="U5" s="5" t="s">
        <v>175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-26</v>
      </c>
      <c r="AA5" s="46">
        <f>IF($O5="","",ROUND(($O5-30000)/1000,1)+(2.5-_xlfn.RANK.AVG($O5,($J5,$O5,$T5,$Y5)))*20+IF(_xlfn.RANK.EQ($O5,($J5,$O5,$T5,$Y5))=1,20/((_xlfn.RANK.AVG($O5,($J5,$O5,$T5,$Y5))-1)*2+1),0))</f>
        <v>26</v>
      </c>
      <c r="AB5" s="46">
        <f>IF($T5="","",ROUND(($T5-30000)/1000,1)+(2.5-_xlfn.RANK.AVG($T5,($J5,$O5,$T5,$Y5)))*20+IF(_xlfn.RANK.EQ($T5,($J5,$O5,$T5,$Y5))=1,20/((_xlfn.RANK.AVG($T5,($J5,$O5,$T5,$Y5))-1)*2+1),0))</f>
        <v>26</v>
      </c>
      <c r="AC5" s="47">
        <f>IF($Y5="","",ROUND(($Y5-30000)/1000,1)+(2.5-_xlfn.RANK.AVG($Y5,($J5,$O5,$T5,$Y5)))*20+IF(_xlfn.RANK.EQ($Y5,($J5,$O5,$T5,$Y5))=1,20/((_xlfn.RANK.AVG($Y5,($J5,$O5,$T5,$Y5))-1)*2+1),0))</f>
        <v>-26</v>
      </c>
      <c r="AE5" s="5" t="s">
        <v>173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173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174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173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/>
      <c r="G6" s="6"/>
      <c r="H6" s="6"/>
      <c r="I6" s="6"/>
      <c r="J6" s="18">
        <f t="shared" si="2"/>
        <v>24000</v>
      </c>
      <c r="K6" s="5" t="s">
        <v>167</v>
      </c>
      <c r="L6" s="6">
        <v>-12000</v>
      </c>
      <c r="M6" s="6">
        <v>-1000</v>
      </c>
      <c r="N6" s="6">
        <v>-300</v>
      </c>
      <c r="O6" s="18">
        <f t="shared" ref="O6:O30" si="8">IF(COUNTA($F6,$K6,$P6,$U6)&gt;0,O5+SUM(L6:N6),"")</f>
        <v>12700</v>
      </c>
      <c r="P6" s="5" t="s">
        <v>166</v>
      </c>
      <c r="Q6" s="6">
        <v>12000</v>
      </c>
      <c r="R6" s="6">
        <v>1000</v>
      </c>
      <c r="S6" s="6">
        <v>300</v>
      </c>
      <c r="T6" s="18">
        <f t="shared" si="3"/>
        <v>39300</v>
      </c>
      <c r="U6" s="5"/>
      <c r="V6" s="6"/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-6</v>
      </c>
      <c r="AA6" s="46">
        <f>IF($O6="","",ROUND(($O6-30000)/1000,1)+(2.5-_xlfn.RANK.AVG($O6,($J6,$O6,$T6,$Y6)))*20+IF(_xlfn.RANK.EQ($O6,($J6,$O6,$T6,$Y6))=1,20/((_xlfn.RANK.AVG($O6,($J6,$O6,$T6,$Y6))-1)*2+1),0))</f>
        <v>-47.3</v>
      </c>
      <c r="AB6" s="46">
        <f>IF($T6="","",ROUND(($T6-30000)/1000,1)+(2.5-_xlfn.RANK.AVG($T6,($J6,$O6,$T6,$Y6)))*20+IF(_xlfn.RANK.EQ($T6,($J6,$O6,$T6,$Y6))=1,20/((_xlfn.RANK.AVG($T6,($J6,$O6,$T6,$Y6))-1)*2+1),0))</f>
        <v>59.3</v>
      </c>
      <c r="AC6" s="47">
        <f>IF($Y6="","",ROUND(($Y6-30000)/1000,1)+(2.5-_xlfn.RANK.AVG($Y6,($J6,$O6,$T6,$Y6)))*20+IF(_xlfn.RANK.EQ($Y6,($J6,$O6,$T6,$Y6))=1,20/((_xlfn.RANK.AVG($Y6,($J6,$O6,$T6,$Y6))-1)*2+1),0))</f>
        <v>-6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171</v>
      </c>
      <c r="CB6" s="37" t="s">
        <v>172</v>
      </c>
      <c r="CC6" s="37" t="s">
        <v>71</v>
      </c>
      <c r="CD6" s="37" t="s">
        <v>74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58" t="str">
        <f>IF($P$1="","",$P$1)</f>
        <v>所附快和</v>
      </c>
      <c r="F7" s="5" t="s">
        <v>166</v>
      </c>
      <c r="G7" s="6">
        <v>2000</v>
      </c>
      <c r="H7" s="6"/>
      <c r="I7" s="6">
        <v>600</v>
      </c>
      <c r="J7" s="18">
        <f t="shared" si="2"/>
        <v>26600</v>
      </c>
      <c r="K7" s="5"/>
      <c r="L7" s="6"/>
      <c r="M7" s="6"/>
      <c r="N7" s="6"/>
      <c r="O7" s="18">
        <f t="shared" si="8"/>
        <v>12700</v>
      </c>
      <c r="P7" s="5"/>
      <c r="Q7" s="6"/>
      <c r="R7" s="6"/>
      <c r="S7" s="6"/>
      <c r="T7" s="18">
        <f t="shared" si="3"/>
        <v>39300</v>
      </c>
      <c r="U7" s="5" t="s">
        <v>167</v>
      </c>
      <c r="V7" s="6">
        <v>-2000</v>
      </c>
      <c r="W7" s="6"/>
      <c r="X7" s="6">
        <v>-600</v>
      </c>
      <c r="Y7" s="18">
        <f t="shared" si="4"/>
        <v>21400</v>
      </c>
      <c r="Z7" s="45">
        <f>IF($J7="","",ROUND(($J7-30000)/1000,1)+(2.5-_xlfn.RANK.AVG($J7,($J7,$O7,$T7,$Y7)))*20+IF(_xlfn.RANK.EQ($J7,($J7,$O7,$T7,$Y7))=1,20/((_xlfn.RANK.AVG($J7,($J7,$O7,$T7,$Y7))-1)*2+1),0))</f>
        <v>6.6</v>
      </c>
      <c r="AA7" s="46">
        <f>IF($O7="","",ROUND(($O7-30000)/1000,1)+(2.5-_xlfn.RANK.AVG($O7,($J7,$O7,$T7,$Y7)))*20+IF(_xlfn.RANK.EQ($O7,($J7,$O7,$T7,$Y7))=1,20/((_xlfn.RANK.AVG($O7,($J7,$O7,$T7,$Y7))-1)*2+1),0))</f>
        <v>-47.3</v>
      </c>
      <c r="AB7" s="46">
        <f>IF($T7="","",ROUND(($T7-30000)/1000,1)+(2.5-_xlfn.RANK.AVG($T7,($J7,$O7,$T7,$Y7)))*20+IF(_xlfn.RANK.EQ($T7,($J7,$O7,$T7,$Y7))=1,20/((_xlfn.RANK.AVG($T7,($J7,$O7,$T7,$Y7))-1)*2+1),0))</f>
        <v>59.3</v>
      </c>
      <c r="AC7" s="47">
        <f>IF($Y7="","",ROUND(($Y7-30000)/1000,1)+(2.5-_xlfn.RANK.AVG($Y7,($J7,$O7,$T7,$Y7)))*20+IF(_xlfn.RANK.EQ($Y7,($J7,$O7,$T7,$Y7))=1,20/((_xlfn.RANK.AVG($Y7,($J7,$O7,$T7,$Y7))-1)*2+1),0))</f>
        <v>-18.600000000000001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170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/>
      <c r="G8" s="6"/>
      <c r="H8" s="6"/>
      <c r="I8" s="6"/>
      <c r="J8" s="18">
        <f t="shared" si="2"/>
        <v>26600</v>
      </c>
      <c r="K8" s="5"/>
      <c r="L8" s="6"/>
      <c r="M8" s="6"/>
      <c r="N8" s="6"/>
      <c r="O8" s="18">
        <f t="shared" si="8"/>
        <v>12700</v>
      </c>
      <c r="P8" s="5" t="s">
        <v>166</v>
      </c>
      <c r="Q8" s="6">
        <v>3900</v>
      </c>
      <c r="R8" s="6"/>
      <c r="S8" s="6">
        <v>0</v>
      </c>
      <c r="T8" s="18">
        <f t="shared" si="3"/>
        <v>43200</v>
      </c>
      <c r="U8" s="5" t="s">
        <v>167</v>
      </c>
      <c r="V8" s="6">
        <v>-3900</v>
      </c>
      <c r="W8" s="6"/>
      <c r="X8" s="6">
        <v>0</v>
      </c>
      <c r="Y8" s="18">
        <f t="shared" si="4"/>
        <v>17500</v>
      </c>
      <c r="Z8" s="45">
        <f>IF($J8="","",ROUND(($J8-30000)/1000,1)+(2.5-_xlfn.RANK.AVG($J8,($J8,$O8,$T8,$Y8)))*20+IF(_xlfn.RANK.EQ($J8,($J8,$O8,$T8,$Y8))=1,20/((_xlfn.RANK.AVG($J8,($J8,$O8,$T8,$Y8))-1)*2+1),0))</f>
        <v>6.6</v>
      </c>
      <c r="AA8" s="46">
        <f>IF($O8="","",ROUND(($O8-30000)/1000,1)+(2.5-_xlfn.RANK.AVG($O8,($J8,$O8,$T8,$Y8)))*20+IF(_xlfn.RANK.EQ($O8,($J8,$O8,$T8,$Y8))=1,20/((_xlfn.RANK.AVG($O8,($J8,$O8,$T8,$Y8))-1)*2+1),0))</f>
        <v>-47.3</v>
      </c>
      <c r="AB8" s="46">
        <f>IF($T8="","",ROUND(($T8-30000)/1000,1)+(2.5-_xlfn.RANK.AVG($T8,($J8,$O8,$T8,$Y8)))*20+IF(_xlfn.RANK.EQ($T8,($J8,$O8,$T8,$Y8))=1,20/((_xlfn.RANK.AVG($T8,($J8,$O8,$T8,$Y8))-1)*2+1),0))</f>
        <v>63.2</v>
      </c>
      <c r="AC8" s="47">
        <f>IF($Y8="","",ROUND(($Y8-30000)/1000,1)+(2.5-_xlfn.RANK.AVG($Y8,($J8,$O8,$T8,$Y8)))*20+IF(_xlfn.RANK.EQ($Y8,($J8,$O8,$T8,$Y8))=1,20/((_xlfn.RANK.AVG($Y8,($J8,$O8,$T8,$Y8))-1)*2+1),0))</f>
        <v>-22.5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77</v>
      </c>
      <c r="CB8" s="37" t="s">
        <v>70</v>
      </c>
      <c r="CC8" s="37" t="s">
        <v>170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西野修世</v>
      </c>
      <c r="F9" s="5"/>
      <c r="G9" s="6"/>
      <c r="H9" s="6"/>
      <c r="I9" s="6"/>
      <c r="J9" s="18">
        <f t="shared" si="2"/>
        <v>26600</v>
      </c>
      <c r="K9" s="5" t="s">
        <v>167</v>
      </c>
      <c r="L9" s="6">
        <v>-8000</v>
      </c>
      <c r="M9" s="6"/>
      <c r="N9" s="6">
        <v>0</v>
      </c>
      <c r="O9" s="18">
        <f t="shared" si="8"/>
        <v>4700</v>
      </c>
      <c r="P9" s="5" t="s">
        <v>166</v>
      </c>
      <c r="Q9" s="6">
        <v>8000</v>
      </c>
      <c r="R9" s="6">
        <v>0</v>
      </c>
      <c r="S9" s="6">
        <v>0</v>
      </c>
      <c r="T9" s="18">
        <f t="shared" si="3"/>
        <v>51200</v>
      </c>
      <c r="U9" s="5"/>
      <c r="V9" s="6"/>
      <c r="W9" s="6"/>
      <c r="X9" s="6"/>
      <c r="Y9" s="18">
        <f t="shared" si="4"/>
        <v>17500</v>
      </c>
      <c r="Z9" s="45">
        <f>IF($J9="","",ROUND(($J9-30000)/1000,1)+(2.5-_xlfn.RANK.AVG($J9,($J9,$O9,$T9,$Y9)))*20+IF(_xlfn.RANK.EQ($J9,($J9,$O9,$T9,$Y9))=1,20/((_xlfn.RANK.AVG($J9,($J9,$O9,$T9,$Y9))-1)*2+1),0))</f>
        <v>6.6</v>
      </c>
      <c r="AA9" s="46">
        <f>IF($O9="","",ROUND(($O9-30000)/1000,1)+(2.5-_xlfn.RANK.AVG($O9,($J9,$O9,$T9,$Y9)))*20+IF(_xlfn.RANK.EQ($O9,($J9,$O9,$T9,$Y9))=1,20/((_xlfn.RANK.AVG($O9,($J9,$O9,$T9,$Y9))-1)*2+1),0))</f>
        <v>-55.3</v>
      </c>
      <c r="AB9" s="46">
        <f>IF($T9="","",ROUND(($T9-30000)/1000,1)+(2.5-_xlfn.RANK.AVG($T9,($J9,$O9,$T9,$Y9)))*20+IF(_xlfn.RANK.EQ($T9,($J9,$O9,$T9,$Y9))=1,20/((_xlfn.RANK.AVG($T9,($J9,$O9,$T9,$Y9))-1)*2+1),0))</f>
        <v>71.2</v>
      </c>
      <c r="AC9" s="47">
        <f>IF($Y9="","",ROUND(($Y9-30000)/1000,1)+(2.5-_xlfn.RANK.AVG($Y9,($J9,$O9,$T9,$Y9)))*20+IF(_xlfn.RANK.EQ($Y9,($J9,$O9,$T9,$Y9))=1,20/((_xlfn.RANK.AVG($Y9,($J9,$O9,$T9,$Y9))-1)*2+1),0))</f>
        <v>-22.5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>
        <v>4</v>
      </c>
      <c r="BZ9" s="27">
        <v>30</v>
      </c>
      <c r="CA9" s="36" t="s">
        <v>74</v>
      </c>
      <c r="CB9" s="37" t="s">
        <v>170</v>
      </c>
      <c r="CC9" s="37" t="s">
        <v>70</v>
      </c>
      <c r="CD9" s="37" t="s">
        <v>70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E4765AC-64FC-4427-92A4-2A975B4F16D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8BA4F8E9-DACA-42C9-84E9-74562CE87B82}">
      <formula1>"ロン,ツモ,放銃,ツモ支払,流局,チョンボ"</formula1>
    </dataValidation>
    <dataValidation type="list" allowBlank="1" showInputMessage="1" showErrorMessage="1" sqref="E4:E30" xr:uid="{E497E080-EA5A-4306-B9C0-04C8CD8EEEC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2024-12-12T09:23:34Z</dcterms:modified>
</cp:coreProperties>
</file>