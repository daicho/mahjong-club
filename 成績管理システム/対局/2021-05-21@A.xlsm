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Club\mahjong-club\成績管理システム\対局\"/>
    </mc:Choice>
  </mc:AlternateContent>
  <xr:revisionPtr revIDLastSave="0" documentId="13_ncr:1_{012C55A6-E5F7-4A27-81DB-C3CAE5DD0423}" xr6:coauthVersionLast="46" xr6:coauthVersionMax="46" xr10:uidLastSave="{00000000-0000-0000-0000-000000000000}"/>
  <bookViews>
    <workbookView xWindow="-120" yWindow="-120" windowWidth="29040" windowHeight="1584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<sst xmlns="http://schemas.openxmlformats.org/spreadsheetml/2006/main" count="550" uniqueCount="174">
  <si>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</si>
  <si>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</si>
  <si>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</si>
  <si>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</si>
  <si>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</si>
  <si>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</si>
  <si>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</si>
  <si>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</si>
  <si>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</si>
  <si>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</si>
  <si>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</si>
  <si>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</si>
  <si>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</si>
  <si>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</si>
  <si>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</si>
  <si>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</si>
  <si>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</si>
  <si>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</si>
  <si>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</si>
  <si>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</si>
  <si>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</si>
  <si>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</si>
  <si>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</si>
  <si>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</si>
  <si>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</si>
  <si>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</si>
  <si>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</si>
  <si>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</si>
  <si>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</si>
  <si>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</si>
  <si>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</si>
  <si>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</si>
  <si>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</si>
  <si>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</si>
  <si>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</si>
  <si>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</si>
  <si>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</si>
  <si>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</si>
  <si>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</si>
  <si>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</si>
  <si>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</si>
  <si>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</si>
  <si>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</si>
  <si>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</si>
  <si>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</si>
  <si>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</si>
  <si>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</si>
  <si>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</si>
  <si>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</si>
  <si>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</si>
  <si>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</si>
  <si>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</si>
  <si>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</si>
  <si>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</si>
  <si>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</si>
  <si>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</si>
  <si>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</si>
  <si>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</si>
  <si>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</si>
  <si>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</si>
  <si>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</si>
  <si>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</si>
  <si>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</si>
  <si>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</si>
  <si>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</si>
  <si>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</si>
  <si>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</si>
  <si>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</si>
  <si>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</si>
  <si>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</si>
  <si>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</si>
  <si>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</si>
  <si>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</si>
  <si>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</si>
  <si>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</si>
  <si>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</si>
  <si>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</si>
  <si>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</si>
  <si>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</si>
  <si>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</si>
  <si>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</si>
  <si>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</si>
  <si>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</si>
  <si>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</si>
  <si>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</si>
  <si>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</si>
  <si>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</si>
  <si>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</si>
  <si>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</si>
  <si>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</si>
  <si>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</si>
  <si>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</si>
  <si>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</si>
  <si>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</si>
  <si>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</si>
  <si>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</si>
  <si>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</si>
  <si>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</si>
  <si>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</si>
  <si>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</si>
  <si>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</si>
  <si>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</si>
  <si>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</si>
  <si>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</si>
  <si>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</si>
  <si>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</si>
  <si>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</si>
  <si>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</si>
  <si>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</si>
  <si>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</si>
  <si>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</si>
  <si>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</si>
  <si>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</si>
  <si>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</si>
  <si>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</si>
  <si>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</si>
  <si>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</si>
  <si>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</si>
  <si>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</si>
  <si>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</si>
  <si>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</si>
  <si>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</si>
  <si>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</si>
  <si>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</si>
  <si>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</si>
  <si>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</si>
  <si>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</si>
  <si>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</si>
  <si>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</si>
  <si>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</si>
  <si>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</si>
  <si>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</si>
  <si>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</si>
  <si>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</si>
  <si>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</si>
  <si>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</si>
  <si>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</si>
  <si>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</si>
  <si>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</si>
  <si>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</si>
  <si>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</si>
  <si>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</si>
  <si>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</si>
  <si>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</si>
  <si>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</si>
  <si>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</si>
  <si>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</si>
  <si>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</si>
  <si>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</si>
  <si>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</si>
  <si>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</si>
  <si>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</si>
  <si>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</si>
  <si>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</si>
  <si>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</si>
  <si>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</si>
  <si>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</si>
  <si>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</si>
  <si>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</si>
  <si>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</si>
  <si>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</si>
  <si>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</si>
  <si>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柳澤颯吾</t>
  </si>
  <si>
    <t>山崎葵</t>
    <rPh sb="0" eb="2">
      <t>ヤマザキ</t>
    </rPh>
    <rPh sb="2" eb="3">
      <t>アオイ</t>
    </rPh>
    <phoneticPr fontId="1"/>
  </si>
  <si>
    <t>関谷洸佑</t>
    <rPh sb="0" eb="2">
      <t>セキヤ</t>
    </rPh>
    <rPh sb="2" eb="3">
      <t>コウ</t>
    </rPh>
    <rPh sb="3" eb="4">
      <t>スケ</t>
    </rPh>
    <phoneticPr fontId="1"/>
  </si>
  <si>
    <t>ロン</t>
  </si>
  <si>
    <t>放銃</t>
  </si>
  <si>
    <t>01</t>
  </si>
  <si>
    <t>52</t>
  </si>
  <si>
    <t>N</t>
  </si>
  <si>
    <t>T</t>
  </si>
  <si>
    <t>流局</t>
    <phoneticPr fontId="1"/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</si>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</sst>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佐藤成浩</v>
      </c>
      <c r="AF1" s="75" t="str">
        <f t="shared" ref="AF1:AY1" si="0">$F$1</f>
        <v>佐藤成浩</v>
      </c>
      <c r="AG1" s="66" t="str">
        <f t="shared" si="0"/>
        <v>佐藤成浩</v>
      </c>
      <c r="AH1" s="66" t="str">
        <f t="shared" si="0"/>
        <v>佐藤成浩</v>
      </c>
      <c r="AI1" s="66" t="str">
        <f t="shared" si="0"/>
        <v>佐藤成浩</v>
      </c>
      <c r="AJ1" s="66" t="str">
        <f t="shared" si="0"/>
        <v>佐藤成浩</v>
      </c>
      <c r="AK1" s="66" t="str">
        <f t="shared" si="0"/>
        <v>佐藤成浩</v>
      </c>
      <c r="AL1" s="66" t="str">
        <f t="shared" si="0"/>
        <v>佐藤成浩</v>
      </c>
      <c r="AM1" s="66" t="str">
        <f t="shared" si="0"/>
        <v>佐藤成浩</v>
      </c>
      <c r="AN1" s="66" t="str">
        <f t="shared" si="0"/>
        <v>佐藤成浩</v>
      </c>
      <c r="AO1" s="66" t="str">
        <f t="shared" si="0"/>
        <v>佐藤成浩</v>
      </c>
      <c r="AP1" s="66" t="str">
        <f t="shared" si="0"/>
        <v>佐藤成浩</v>
      </c>
      <c r="AQ1" s="66" t="str">
        <f t="shared" si="0"/>
        <v>佐藤成浩</v>
      </c>
      <c r="AR1" s="66" t="str">
        <f t="shared" si="0"/>
        <v>佐藤成浩</v>
      </c>
      <c r="AS1" s="66" t="str">
        <f t="shared" si="0"/>
        <v>佐藤成浩</v>
      </c>
      <c r="AT1" s="66" t="str">
        <f t="shared" si="0"/>
        <v>佐藤成浩</v>
      </c>
      <c r="AU1" s="66" t="str">
        <f t="shared" si="0"/>
        <v>佐藤成浩</v>
      </c>
      <c r="AV1" s="66" t="str">
        <f t="shared" si="0"/>
        <v>佐藤成浩</v>
      </c>
      <c r="AW1" s="66" t="str">
        <f t="shared" si="0"/>
        <v>佐藤成浩</v>
      </c>
      <c r="AX1" s="66" t="str">
        <f t="shared" si="0"/>
        <v>佐藤成浩</v>
      </c>
      <c r="AY1" s="68" t="str">
        <f t="shared" si="0"/>
        <v>佐藤成浩</v>
      </c>
      <c r="AZ1" s="65" t="str">
        <f>IF($K$1="","",$K$1)</f>
        <v>柳澤颯吾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山崎葵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関谷洸佑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佐藤成浩</v>
      </c>
      <c r="AA2" s="61" t="str">
        <f>IF($K$1="","",$K$1)</f>
        <v>柳澤颯吾</v>
      </c>
      <c r="AB2" s="61" t="str">
        <f>IF($P$1="","",$P$1)</f>
        <v>山崎葵</v>
      </c>
      <c r="AC2" s="13" t="str">
        <f>IF($U$1="","",$U$1)</f>
        <v>関谷洸佑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/>
      <c r="G4" s="6"/>
      <c r="H4" s="6"/>
      <c r="I4" s="45"/>
      <c r="J4" s="18">
        <f>IF(COUNTA($F4,$K4,$P4,$U4)&gt;0,J3+SUM(G4:I4),"")</f>
        <v>25000</v>
      </c>
      <c r="K4" s="5" t="s">
        <v>165</v>
      </c>
      <c r="L4" s="6">
        <v>3900</v>
      </c>
      <c r="M4" s="6"/>
      <c r="N4" s="45">
        <v>0</v>
      </c>
      <c r="O4" s="18">
        <f>IF(COUNTA($F4,$K4,$P4,$U4)&gt;0,O3+SUM(L4:N4),"")</f>
        <v>28900</v>
      </c>
      <c r="P4" s="5" t="s">
        <v>166</v>
      </c>
      <c r="Q4" s="6">
        <v>-3900</v>
      </c>
      <c r="R4" s="6"/>
      <c r="S4" s="45">
        <v>0</v>
      </c>
      <c r="T4" s="18">
        <f>IF(COUNTA($F4,$K4,$P4,$U4)&gt;0,T3+SUM(Q4:S4),"")</f>
        <v>21100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48.9</v>
      </c>
      <c r="AB4" s="51">
        <f>IF($T4="","",ROUND(($T4-30000)/1000,1)+(2.5-_xlfn.RANK.AVG($T4,($J4,$O4,$T4,$Y4)))*20+IF(_xlfn.RANK.EQ($T4,($J4,$O4,$T4,$Y4))=1,20/((_xlfn.RANK.AVG($T4,($J4,$O4,$T4,$Y4))-1)*2+1),0))</f>
        <v>-38.9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>
        <v>3</v>
      </c>
      <c r="BE4" s="27">
        <v>30</v>
      </c>
      <c r="BF4" s="37" t="s">
        <v>77</v>
      </c>
      <c r="BG4" s="38" t="s">
        <v>70</v>
      </c>
      <c r="BH4" s="38" t="s">
        <v>70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柳澤颯吾</v>
      </c>
      <c r="F5" s="5" t="s">
        <v>165</v>
      </c>
      <c r="G5" s="6">
        <v>3900</v>
      </c>
      <c r="H5" s="6">
        <v>1000</v>
      </c>
      <c r="I5" s="45">
        <v>0</v>
      </c>
      <c r="J5" s="18">
        <f t="shared" ref="J5:J30" si="2">IF(COUNTA($F5,$K5,$P5,$U5)&gt;0,J4+SUM(G5:I5),"")</f>
        <v>29900</v>
      </c>
      <c r="K5" s="5" t="s">
        <v>166</v>
      </c>
      <c r="L5" s="6">
        <v>-3900</v>
      </c>
      <c r="M5" s="6">
        <v>-1000</v>
      </c>
      <c r="N5" s="45">
        <v>0</v>
      </c>
      <c r="O5" s="18">
        <f>IF(COUNTA($F5,$K5,$P5,$U5)&gt;0,O4+SUM(L5:N5),"")</f>
        <v>24000</v>
      </c>
      <c r="P5" s="5"/>
      <c r="Q5" s="6"/>
      <c r="R5" s="6"/>
      <c r="S5" s="45"/>
      <c r="T5" s="18">
        <f t="shared" ref="T5:T30" si="3">IF(COUNTA($F5,$K5,$P5,$U5)&gt;0,T4+SUM(Q5:S5),"")</f>
        <v>21100</v>
      </c>
      <c r="U5" s="5"/>
      <c r="V5" s="6"/>
      <c r="W5" s="6"/>
      <c r="X5" s="45"/>
      <c r="Y5" s="18">
        <f t="shared" ref="Y5:Y30" si="4">IF(COUNTA($F5,$K5,$P5,$U5)&gt;0,Y4+SUM(V5:X5),"")</f>
        <v>25000</v>
      </c>
      <c r="Z5" s="50">
        <f>IF($J5="","",ROUND(($J5-30000)/1000,1)+(2.5-_xlfn.RANK.AVG($J5,($J5,$O5,$T5,$Y5)))*20+IF(_xlfn.RANK.EQ($J5,($J5,$O5,$T5,$Y5))=1,20/((_xlfn.RANK.AVG($J5,($J5,$O5,$T5,$Y5))-1)*2+1),0))</f>
        <v>49.9</v>
      </c>
      <c r="AA5" s="51">
        <f>IF($O5="","",ROUND(($O5-30000)/1000,1)+(2.5-_xlfn.RANK.AVG($O5,($J5,$O5,$T5,$Y5)))*20+IF(_xlfn.RANK.EQ($O5,($J5,$O5,$T5,$Y5))=1,20/((_xlfn.RANK.AVG($O5,($J5,$O5,$T5,$Y5))-1)*2+1),0))</f>
        <v>-16</v>
      </c>
      <c r="AB5" s="51">
        <f>IF($T5="","",ROUND(($T5-30000)/1000,1)+(2.5-_xlfn.RANK.AVG($T5,($J5,$O5,$T5,$Y5)))*20+IF(_xlfn.RANK.EQ($T5,($J5,$O5,$T5,$Y5))=1,20/((_xlfn.RANK.AVG($T5,($J5,$O5,$T5,$Y5))-1)*2+1),0))</f>
        <v>-38.9</v>
      </c>
      <c r="AC5" s="52">
        <f>IF($Y5="","",ROUND(($Y5-30000)/1000,1)+(2.5-_xlfn.RANK.AVG($Y5,($J5,$O5,$T5,$Y5)))*20+IF(_xlfn.RANK.EQ($Y5,($J5,$O5,$T5,$Y5))=1,20/((_xlfn.RANK.AVG($Y5,($J5,$O5,$T5,$Y5))-1)*2+1),0))</f>
        <v>5</v>
      </c>
      <c r="AE5" s="5"/>
      <c r="AF5" s="31"/>
      <c r="AG5" s="23">
        <v>1</v>
      </c>
      <c r="AH5" s="23"/>
      <c r="AI5" s="23">
        <v>3</v>
      </c>
      <c r="AJ5" s="27">
        <v>30</v>
      </c>
      <c r="AK5" s="37" t="s">
        <v>167</v>
      </c>
      <c r="AL5" s="38" t="s">
        <v>74</v>
      </c>
      <c r="AM5" s="38" t="s">
        <v>168</v>
      </c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山崎葵</v>
      </c>
      <c r="F6" s="5" t="s">
        <v>171</v>
      </c>
      <c r="G6" s="6">
        <v>-1500</v>
      </c>
      <c r="H6" s="6"/>
      <c r="I6" s="45"/>
      <c r="J6" s="18">
        <f t="shared" si="2"/>
        <v>28400</v>
      </c>
      <c r="K6" s="5" t="s">
        <v>171</v>
      </c>
      <c r="L6" s="6">
        <v>1500</v>
      </c>
      <c r="M6" s="6"/>
      <c r="N6" s="45"/>
      <c r="O6" s="18">
        <f t="shared" ref="O6:O30" si="8">IF(COUNTA($F6,$K6,$P6,$U6)&gt;0,O5+SUM(L6:N6),"")</f>
        <v>25500</v>
      </c>
      <c r="P6" s="5" t="s">
        <v>171</v>
      </c>
      <c r="Q6" s="6">
        <v>1500</v>
      </c>
      <c r="R6" s="6">
        <v>-1000</v>
      </c>
      <c r="S6" s="45"/>
      <c r="T6" s="18">
        <f t="shared" si="3"/>
        <v>21600</v>
      </c>
      <c r="U6" s="5" t="s">
        <v>171</v>
      </c>
      <c r="V6" s="6">
        <v>-1500</v>
      </c>
      <c r="W6" s="6"/>
      <c r="X6" s="45"/>
      <c r="Y6" s="18">
        <f t="shared" si="4"/>
        <v>23500</v>
      </c>
      <c r="Z6" s="50">
        <f>IF($J6="","",ROUND(($J6-30000)/1000,1)+(2.5-_xlfn.RANK.AVG($J6,($J6,$O6,$T6,$Y6)))*20+IF(_xlfn.RANK.EQ($J6,($J6,$O6,$T6,$Y6))=1,20/((_xlfn.RANK.AVG($J6,($J6,$O6,$T6,$Y6))-1)*2+1),0))</f>
        <v>48.4</v>
      </c>
      <c r="AA6" s="51">
        <f>IF($O6="","",ROUND(($O6-30000)/1000,1)+(2.5-_xlfn.RANK.AVG($O6,($J6,$O6,$T6,$Y6)))*20+IF(_xlfn.RANK.EQ($O6,($J6,$O6,$T6,$Y6))=1,20/((_xlfn.RANK.AVG($O6,($J6,$O6,$T6,$Y6))-1)*2+1),0))</f>
        <v>5.5</v>
      </c>
      <c r="AB6" s="51">
        <f>IF($T6="","",ROUND(($T6-30000)/1000,1)+(2.5-_xlfn.RANK.AVG($T6,($J6,$O6,$T6,$Y6)))*20+IF(_xlfn.RANK.EQ($T6,($J6,$O6,$T6,$Y6))=1,20/((_xlfn.RANK.AVG($T6,($J6,$O6,$T6,$Y6))-1)*2+1),0))</f>
        <v>-38.4</v>
      </c>
      <c r="AC6" s="52">
        <f>IF($Y6="","",ROUND(($Y6-30000)/1000,1)+(2.5-_xlfn.RANK.AVG($Y6,($J6,$O6,$T6,$Y6)))*20+IF(_xlfn.RANK.EQ($Y6,($J6,$O6,$T6,$Y6))=1,20/((_xlfn.RANK.AVG($Y6,($J6,$O6,$T6,$Y6))-1)*2+1),0))</f>
        <v>-16.5</v>
      </c>
      <c r="AE6" s="5" t="s">
        <v>169</v>
      </c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170</v>
      </c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170</v>
      </c>
      <c r="BV6" s="31"/>
      <c r="BW6" s="23">
        <v>1</v>
      </c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169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1</v>
      </c>
      <c r="E7" s="63" t="str">
        <f>IF($P$1="","",$P$1)</f>
        <v>山崎葵</v>
      </c>
      <c r="F7" s="5"/>
      <c r="G7" s="6"/>
      <c r="H7" s="6"/>
      <c r="I7" s="45"/>
      <c r="J7" s="18">
        <f t="shared" si="2"/>
        <v>28400</v>
      </c>
      <c r="K7" s="5"/>
      <c r="L7" s="6"/>
      <c r="M7" s="6"/>
      <c r="N7" s="45"/>
      <c r="O7" s="18">
        <f t="shared" si="8"/>
        <v>25500</v>
      </c>
      <c r="P7" s="5" t="s">
        <v>165</v>
      </c>
      <c r="Q7" s="6">
        <v>3900</v>
      </c>
      <c r="R7" s="6">
        <v>2000</v>
      </c>
      <c r="S7" s="45">
        <v>300</v>
      </c>
      <c r="T7" s="18">
        <f t="shared" si="3"/>
        <v>27800</v>
      </c>
      <c r="U7" s="5" t="s">
        <v>166</v>
      </c>
      <c r="V7" s="6">
        <v>-3900</v>
      </c>
      <c r="W7" s="6">
        <v>-1000</v>
      </c>
      <c r="X7" s="45">
        <v>-300</v>
      </c>
      <c r="Y7" s="18">
        <f t="shared" si="4"/>
        <v>18300</v>
      </c>
      <c r="Z7" s="50">
        <f>IF($J7="","",ROUND(($J7-30000)/1000,1)+(2.5-_xlfn.RANK.AVG($J7,($J7,$O7,$T7,$Y7)))*20+IF(_xlfn.RANK.EQ($J7,($J7,$O7,$T7,$Y7))=1,20/((_xlfn.RANK.AVG($J7,($J7,$O7,$T7,$Y7))-1)*2+1),0))</f>
        <v>48.4</v>
      </c>
      <c r="AA7" s="51">
        <f>IF($O7="","",ROUND(($O7-30000)/1000,1)+(2.5-_xlfn.RANK.AVG($O7,($J7,$O7,$T7,$Y7)))*20+IF(_xlfn.RANK.EQ($O7,($J7,$O7,$T7,$Y7))=1,20/((_xlfn.RANK.AVG($O7,($J7,$O7,$T7,$Y7))-1)*2+1),0))</f>
        <v>-14.5</v>
      </c>
      <c r="AB7" s="51">
        <f>IF($T7="","",ROUND(($T7-30000)/1000,1)+(2.5-_xlfn.RANK.AVG($T7,($J7,$O7,$T7,$Y7)))*20+IF(_xlfn.RANK.EQ($T7,($J7,$O7,$T7,$Y7))=1,20/((_xlfn.RANK.AVG($T7,($J7,$O7,$T7,$Y7))-1)*2+1),0))</f>
        <v>7.8</v>
      </c>
      <c r="AC7" s="52">
        <f>IF($Y7="","",ROUND(($Y7-30000)/1000,1)+(2.5-_xlfn.RANK.AVG($Y7,($J7,$O7,$T7,$Y7)))*20+IF(_xlfn.RANK.EQ($Y7,($J7,$O7,$T7,$Y7))=1,20/((_xlfn.RANK.AVG($Y7,($J7,$O7,$T7,$Y7))-1)*2+1),0))</f>
        <v>-41.7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2</v>
      </c>
      <c r="BZ7" s="27">
        <v>40</v>
      </c>
      <c r="CA7" s="37" t="s">
        <v>77</v>
      </c>
      <c r="CB7" s="38" t="s">
        <v>77</v>
      </c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>
        <v>1</v>
      </c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2</v>
      </c>
      <c r="D8" s="15">
        <f>IF($E8="","",IF(OR($F7="流局",$F7="チョンボ"),D7+($H7+$M7+$R7+$W7)/-1000,0))</f>
        <v>0</v>
      </c>
      <c r="E8" s="63" t="str">
        <f>IF($P$1="","",$P$1)</f>
        <v>山崎葵</v>
      </c>
      <c r="F8" s="5" t="s">
        <v>172</v>
      </c>
      <c r="G8" s="6">
        <v>2000</v>
      </c>
      <c r="H8" s="6">
        <v>1000</v>
      </c>
      <c r="I8" s="45">
        <v>600</v>
      </c>
      <c r="J8" s="18">
        <f t="shared" si="2"/>
        <v>32000</v>
      </c>
      <c r="K8" s="5" t="s">
        <v>173</v>
      </c>
      <c r="L8" s="6">
        <v>-500</v>
      </c>
      <c r="M8" s="6"/>
      <c r="N8" s="45">
        <v>-200</v>
      </c>
      <c r="O8" s="18">
        <f t="shared" si="8"/>
        <v>24800</v>
      </c>
      <c r="P8" s="5" t="s">
        <v>173</v>
      </c>
      <c r="Q8" s="6">
        <v>-1000</v>
      </c>
      <c r="R8" s="6">
        <v>-1000</v>
      </c>
      <c r="S8" s="45">
        <v>-200</v>
      </c>
      <c r="T8" s="18">
        <f t="shared" si="3"/>
        <v>25600</v>
      </c>
      <c r="U8" s="5" t="s">
        <v>173</v>
      </c>
      <c r="V8" s="6">
        <v>-500</v>
      </c>
      <c r="W8" s="6"/>
      <c r="X8" s="45">
        <v>-200</v>
      </c>
      <c r="Y8" s="18">
        <f t="shared" si="4"/>
        <v>17600</v>
      </c>
      <c r="Z8" s="50">
        <f>IF($J8="","",ROUND(($J8-30000)/1000,1)+(2.5-_xlfn.RANK.AVG($J8,($J8,$O8,$T8,$Y8)))*20+IF(_xlfn.RANK.EQ($J8,($J8,$O8,$T8,$Y8))=1,20/((_xlfn.RANK.AVG($J8,($J8,$O8,$T8,$Y8))-1)*2+1),0))</f>
        <v>52</v>
      </c>
      <c r="AA8" s="51">
        <f>IF($O8="","",ROUND(($O8-30000)/1000,1)+(2.5-_xlfn.RANK.AVG($O8,($J8,$O8,$T8,$Y8)))*20+IF(_xlfn.RANK.EQ($O8,($J8,$O8,$T8,$Y8))=1,20/((_xlfn.RANK.AVG($O8,($J8,$O8,$T8,$Y8))-1)*2+1),0))</f>
        <v>-15.2</v>
      </c>
      <c r="AB8" s="51">
        <f>IF($T8="","",ROUND(($T8-30000)/1000,1)+(2.5-_xlfn.RANK.AVG($T8,($J8,$O8,$T8,$Y8)))*20+IF(_xlfn.RANK.EQ($T8,($J8,$O8,$T8,$Y8))=1,20/((_xlfn.RANK.AVG($T8,($J8,$O8,$T8,$Y8))-1)*2+1),0))</f>
        <v>5.6</v>
      </c>
      <c r="AC8" s="52">
        <f>IF($Y8="","",ROUND(($Y8-30000)/1000,1)+(2.5-_xlfn.RANK.AVG($Y8,($J8,$O8,$T8,$Y8)))*20+IF(_xlfn.RANK.EQ($Y8,($J8,$O8,$T8,$Y8))=1,20/((_xlfn.RANK.AVG($Y8,($J8,$O8,$T8,$Y8))-1)*2+1),0))</f>
        <v>-42.4</v>
      </c>
      <c r="AE8" s="5"/>
      <c r="AF8" s="31"/>
      <c r="AG8" s="23"/>
      <c r="AH8" s="23">
        <v>1</v>
      </c>
      <c r="AI8" s="23">
        <v>2</v>
      </c>
      <c r="AJ8" s="27">
        <v>30</v>
      </c>
      <c r="AK8" s="37" t="s">
        <v>77</v>
      </c>
      <c r="AL8" s="38" t="s">
        <v>70</v>
      </c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>
        <v>1</v>
      </c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関谷洸佑</v>
      </c>
      <c r="F9" s="5"/>
      <c r="G9" s="6"/>
      <c r="H9" s="6">
        <v>0</v>
      </c>
      <c r="I9" s="45"/>
      <c r="J9" s="18">
        <f t="shared" si="2"/>
        <v>32000</v>
      </c>
      <c r="K9" s="5" t="s">
        <v>165</v>
      </c>
      <c r="L9" s="6">
        <v>5200</v>
      </c>
      <c r="M9" s="6"/>
      <c r="N9" s="45">
        <v>0</v>
      </c>
      <c r="O9" s="18">
        <f t="shared" si="8"/>
        <v>30000</v>
      </c>
      <c r="P9" s="5"/>
      <c r="Q9" s="6"/>
      <c r="R9" s="6"/>
      <c r="S9" s="45"/>
      <c r="T9" s="18">
        <f t="shared" si="3"/>
        <v>25600</v>
      </c>
      <c r="U9" s="5" t="s">
        <v>166</v>
      </c>
      <c r="V9" s="6">
        <v>-5200</v>
      </c>
      <c r="W9" s="6"/>
      <c r="X9" s="45">
        <v>0</v>
      </c>
      <c r="Y9" s="18">
        <f t="shared" si="4"/>
        <v>12400</v>
      </c>
      <c r="Z9" s="50">
        <f>IF($J9="","",ROUND(($J9-30000)/1000,1)+(2.5-_xlfn.RANK.AVG($J9,($J9,$O9,$T9,$Y9)))*20+IF(_xlfn.RANK.EQ($J9,($J9,$O9,$T9,$Y9))=1,20/((_xlfn.RANK.AVG($J9,($J9,$O9,$T9,$Y9))-1)*2+1),0))</f>
        <v>52</v>
      </c>
      <c r="AA9" s="51">
        <f>IF($O9="","",ROUND(($O9-30000)/1000,1)+(2.5-_xlfn.RANK.AVG($O9,($J9,$O9,$T9,$Y9)))*20+IF(_xlfn.RANK.EQ($O9,($J9,$O9,$T9,$Y9))=1,20/((_xlfn.RANK.AVG($O9,($J9,$O9,$T9,$Y9))-1)*2+1),0))</f>
        <v>10</v>
      </c>
      <c r="AB9" s="51">
        <f>IF($T9="","",ROUND(($T9-30000)/1000,1)+(2.5-_xlfn.RANK.AVG($T9,($J9,$O9,$T9,$Y9)))*20+IF(_xlfn.RANK.EQ($T9,($J9,$O9,$T9,$Y9))=1,20/((_xlfn.RANK.AVG($T9,($J9,$O9,$T9,$Y9))-1)*2+1),0))</f>
        <v>-14.4</v>
      </c>
      <c r="AC9" s="52">
        <f>IF($Y9="","",ROUND(($Y9-30000)/1000,1)+(2.5-_xlfn.RANK.AVG($Y9,($J9,$O9,$T9,$Y9)))*20+IF(_xlfn.RANK.EQ($Y9,($J9,$O9,$T9,$Y9))=1,20/((_xlfn.RANK.AVG($Y9,($J9,$O9,$T9,$Y9))-1)*2+1),0))</f>
        <v>-47.6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>
        <v>3</v>
      </c>
      <c r="BE9" s="27">
        <v>40</v>
      </c>
      <c r="BF9" s="37" t="s">
        <v>167</v>
      </c>
      <c r="BG9" s="38" t="s">
        <v>75</v>
      </c>
      <c r="BH9" s="38" t="s">
        <v>70</v>
      </c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9944926-A93B-4D68-8CA8-40812AC09FDA}">
      <formula1>"百瀬成空,滝沢悠人,大池陸斗,佐藤成浩,柳澤颯吾,石澤巧望,小林郁斗,川上翔大,中川弘崇,小原陸哉,近藤隼,鷲野翼,松澤大地,水澤良平,"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Nqpycs XD</cp:lastModifiedBy>
  <cp:lastPrinted>2018-10-03T09:15:05Z</cp:lastPrinted>
  <dcterms:created xsi:type="dcterms:W3CDTF">2018-10-02T11:54:05Z</dcterms:created>
  <dcterms:modified xsi:type="dcterms:W3CDTF">2021-05-21T08:41:40Z</dcterms:modified>
</cp:coreProperties>
</file>