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6EDC5B33-AD99-4319-B78C-BADEA0BD01E5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8" l="1"/>
  <c r="J5" i="28"/>
  <c r="O5" i="28"/>
  <c r="T5" i="28"/>
  <c r="C12" i="28"/>
  <c r="E11" i="28"/>
  <c r="D11" i="28" s="1"/>
  <c r="E10" i="28"/>
  <c r="E9" i="28"/>
  <c r="E8" i="28"/>
  <c r="D8" i="28" s="1"/>
  <c r="E7" i="28"/>
  <c r="D7" i="28" s="1"/>
  <c r="E6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Y4" i="28"/>
  <c r="Y5" i="28" s="1"/>
  <c r="AC5" i="28" s="1"/>
  <c r="T4" i="28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AB5" i="28" l="1"/>
  <c r="AA5" i="28"/>
  <c r="Z5" i="28"/>
  <c r="C5" i="28"/>
  <c r="C6" i="28" s="1"/>
  <c r="C7" i="28" s="1"/>
  <c r="D5" i="28"/>
  <c r="D6" i="28" s="1"/>
  <c r="B5" i="28"/>
  <c r="A5" i="28" s="1"/>
  <c r="T6" i="28"/>
  <c r="T7" i="28" s="1"/>
  <c r="O6" i="28"/>
  <c r="O7" i="28" s="1"/>
  <c r="D12" i="28"/>
  <c r="B12" i="28"/>
  <c r="A12" i="28" s="1"/>
  <c r="C11" i="28"/>
  <c r="D9" i="28"/>
  <c r="D10" i="28" s="1"/>
  <c r="Z4" i="28"/>
  <c r="AA4" i="28"/>
  <c r="AB4" i="28"/>
  <c r="AC4" i="28"/>
  <c r="C8" i="28"/>
  <c r="J6" i="28"/>
  <c r="E4" i="27"/>
  <c r="C9" i="28" l="1"/>
  <c r="C10" i="28" s="1"/>
  <c r="B6" i="28"/>
  <c r="O8" i="28"/>
  <c r="J7" i="28"/>
  <c r="Y6" i="28"/>
  <c r="T8" i="28"/>
  <c r="O5" i="27"/>
  <c r="AC3" i="27"/>
  <c r="AA3" i="27"/>
  <c r="AB3" i="27"/>
  <c r="Z3" i="27"/>
  <c r="B7" i="28" l="1"/>
  <c r="Y7" i="28"/>
  <c r="Z7" i="28" s="1"/>
  <c r="AC6" i="28"/>
  <c r="AB6" i="28"/>
  <c r="A6" i="28"/>
  <c r="J8" i="28"/>
  <c r="AA6" i="28"/>
  <c r="Z6" i="28"/>
  <c r="O9" i="28"/>
  <c r="T9" i="28"/>
  <c r="CP1" i="27"/>
  <c r="AC2" i="27"/>
  <c r="BU1" i="27"/>
  <c r="AB2" i="27"/>
  <c r="AZ1" i="27"/>
  <c r="AA2" i="27"/>
  <c r="AE1" i="27"/>
  <c r="Z2" i="27"/>
  <c r="B8" i="28" l="1"/>
  <c r="A7" i="28"/>
  <c r="J9" i="28"/>
  <c r="T10" i="28"/>
  <c r="T11" i="28" s="1"/>
  <c r="O10" i="28"/>
  <c r="O11" i="28" s="1"/>
  <c r="AC7" i="28"/>
  <c r="Y8" i="28"/>
  <c r="Z8" i="28" s="1"/>
  <c r="AA7" i="28"/>
  <c r="AB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8" i="28" l="1"/>
  <c r="AB8" i="28"/>
  <c r="B9" i="28"/>
  <c r="Y9" i="28"/>
  <c r="AC8" i="28"/>
  <c r="AA8" i="28"/>
  <c r="J10" i="28"/>
  <c r="J11" i="28" s="1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9" i="28" l="1"/>
  <c r="Z9" i="28"/>
  <c r="B10" i="28"/>
  <c r="Y10" i="28"/>
  <c r="Y11" i="28" s="1"/>
  <c r="AC9" i="28"/>
  <c r="AA9" i="28"/>
  <c r="AB9" i="28"/>
  <c r="Z5" i="27"/>
  <c r="AB5" i="27"/>
  <c r="AA5" i="27"/>
  <c r="AC5" i="27"/>
  <c r="Y7" i="27"/>
  <c r="O8" i="27"/>
  <c r="T6" i="27"/>
  <c r="A10" i="28" l="1"/>
  <c r="B11" i="28"/>
  <c r="AC11" i="28"/>
  <c r="AA11" i="28"/>
  <c r="AB11" i="28"/>
  <c r="Z11" i="28"/>
  <c r="AC10" i="28"/>
  <c r="AB10" i="28"/>
  <c r="AA10" i="28"/>
  <c r="Z10" i="28"/>
  <c r="AC6" i="27"/>
  <c r="AB6" i="27"/>
  <c r="Z6" i="27"/>
  <c r="AA6" i="27"/>
  <c r="Y8" i="27"/>
  <c r="T7" i="27"/>
  <c r="A11" i="28" l="1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<sst xmlns="http://schemas.openxmlformats.org/spreadsheetml/2006/main" count="665" uniqueCount="179">
  <si>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</si>
  <si>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</si>
  <si>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</si>
  <si>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</si>
  <si>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</si>
  <si>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</si>
  <si>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</si>
  <si>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</si>
  <si>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</si>
  <si>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</si>
  <si>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</si>
  <si>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</si>
  <si>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</si>
  <si>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</si>
  <si>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</si>
  <si>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</si>
  <si>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</si>
  <si>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</si>
  <si>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</si>
  <si>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</si>
  <si>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</si>
  <si>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</si>
  <si>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</si>
  <si>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</si>
  <si>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</si>
  <si>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</si>
  <si>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</si>
  <si>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</si>
  <si>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</si>
  <si>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</si>
  <si>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</si>
  <si>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</si>
  <si>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</si>
  <si>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</si>
  <si>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</si>
  <si>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</si>
  <si>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</si>
  <si>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</si>
  <si>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</si>
  <si>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</si>
  <si>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</si>
  <si>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</si>
  <si>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</si>
  <si>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</si>
  <si>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</si>
  <si>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</si>
  <si>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</si>
  <si>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</si>
  <si>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</si>
  <si>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</si>
  <si>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</si>
  <si>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</si>
  <si>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</si>
  <si>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</si>
  <si>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</si>
  <si>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</si>
  <si>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</si>
  <si>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</si>
  <si>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</si>
  <si>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</si>
  <si>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</si>
  <si>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</si>
  <si>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</si>
  <si>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</si>
  <si>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</si>
  <si>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</si>
  <si>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</si>
  <si>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</si>
  <si>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</si>
  <si>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</si>
  <si>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</si>
  <si>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</si>
  <si>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</si>
  <si>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</si>
  <si>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</si>
  <si>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</si>
  <si>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</si>
  <si>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</si>
  <si>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</si>
  <si>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</si>
  <si>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</si>
  <si>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</si>
  <si>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</si>
  <si>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</si>
  <si>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</si>
  <si>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</si>
  <si>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</si>
  <si>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</si>
  <si>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</si>
  <si>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</si>
  <si>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</si>
  <si>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</si>
  <si>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</si>
  <si>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</si>
  <si>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</si>
  <si>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</si>
  <si>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</si>
  <si>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</si>
  <si>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</si>
  <si>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</si>
  <si>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</si>
  <si>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</si>
  <si>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</si>
  <si>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</si>
  <si>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</si>
  <si>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</si>
  <si>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</si>
  <si>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</si>
  <si>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</si>
  <si>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</si>
  <si>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</si>
  <si>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</si>
  <si>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</si>
  <si>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</si>
  <si>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</si>
  <si>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</si>
  <si>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</si>
  <si>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</si>
  <si>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</si>
  <si>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</si>
  <si>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</si>
  <si>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</si>
  <si>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</si>
  <si>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</si>
  <si>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</si>
  <si>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</si>
  <si>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</si>
  <si>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</si>
  <si>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</si>
  <si>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</si>
  <si>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</si>
  <si>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</si>
  <si>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</si>
  <si>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</si>
  <si>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</si>
  <si>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</si>
  <si>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</si>
  <si>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</si>
  <si>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</si>
  <si>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</si>
  <si>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</si>
  <si>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</si>
  <si>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</si>
  <si>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</si>
  <si>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</si>
  <si>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</si>
  <si>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</si>
  <si>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</si>
  <si>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</si>
  <si>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</si>
  <si>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</si>
  <si>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</si>
  <si>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</si>
  <si>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</si>
  <si>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</si>
  <si>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</si>
  <si>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</si>
  <si>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</si>
  <si>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</si>
  <si>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</si>
  <si>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</si>
  <si>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宮沢璃空</t>
  </si>
  <si>
    <t>笠原誠</t>
  </si>
  <si>
    <t>高山晶</t>
  </si>
  <si>
    <t>佐藤成浩</t>
  </si>
  <si>
    <t>ツモ</t>
  </si>
  <si>
    <t>ツモ支払</t>
  </si>
  <si>
    <t>*</t>
  </si>
  <si>
    <t>01</t>
  </si>
  <si>
    <t>52</t>
  </si>
  <si>
    <t>放銃</t>
  </si>
  <si>
    <t>ロン</t>
  </si>
  <si>
    <t>02</t>
  </si>
  <si>
    <t>T</t>
  </si>
  <si>
    <t>N</t>
  </si>
  <si>
    <t>流局</t>
    <phoneticPr fontId="1"/>
  </si>
  <si>
    <t>山田夏寿希</t>
  </si>
  <si>
    <t>清水遙斗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</si>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</sst>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S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宮沢璃空</v>
      </c>
      <c r="AF1" s="70" t="str">
        <f t="shared" ref="AF1:AY1" si="0">$F$1</f>
        <v>宮沢璃空</v>
      </c>
      <c r="AG1" s="61" t="str">
        <f t="shared" si="0"/>
        <v>宮沢璃空</v>
      </c>
      <c r="AH1" s="61" t="str">
        <f t="shared" si="0"/>
        <v>宮沢璃空</v>
      </c>
      <c r="AI1" s="61" t="str">
        <f t="shared" si="0"/>
        <v>宮沢璃空</v>
      </c>
      <c r="AJ1" s="61" t="str">
        <f t="shared" si="0"/>
        <v>宮沢璃空</v>
      </c>
      <c r="AK1" s="61" t="str">
        <f t="shared" si="0"/>
        <v>宮沢璃空</v>
      </c>
      <c r="AL1" s="61" t="str">
        <f t="shared" si="0"/>
        <v>宮沢璃空</v>
      </c>
      <c r="AM1" s="61" t="str">
        <f t="shared" si="0"/>
        <v>宮沢璃空</v>
      </c>
      <c r="AN1" s="61" t="str">
        <f t="shared" si="0"/>
        <v>宮沢璃空</v>
      </c>
      <c r="AO1" s="61" t="str">
        <f t="shared" si="0"/>
        <v>宮沢璃空</v>
      </c>
      <c r="AP1" s="61" t="str">
        <f t="shared" si="0"/>
        <v>宮沢璃空</v>
      </c>
      <c r="AQ1" s="61" t="str">
        <f t="shared" si="0"/>
        <v>宮沢璃空</v>
      </c>
      <c r="AR1" s="61" t="str">
        <f t="shared" si="0"/>
        <v>宮沢璃空</v>
      </c>
      <c r="AS1" s="61" t="str">
        <f t="shared" si="0"/>
        <v>宮沢璃空</v>
      </c>
      <c r="AT1" s="61" t="str">
        <f t="shared" si="0"/>
        <v>宮沢璃空</v>
      </c>
      <c r="AU1" s="61" t="str">
        <f t="shared" si="0"/>
        <v>宮沢璃空</v>
      </c>
      <c r="AV1" s="61" t="str">
        <f t="shared" si="0"/>
        <v>宮沢璃空</v>
      </c>
      <c r="AW1" s="61" t="str">
        <f t="shared" si="0"/>
        <v>宮沢璃空</v>
      </c>
      <c r="AX1" s="61" t="str">
        <f t="shared" si="0"/>
        <v>宮沢璃空</v>
      </c>
      <c r="AY1" s="63" t="str">
        <f t="shared" si="0"/>
        <v>宮沢璃空</v>
      </c>
      <c r="AZ1" s="60" t="str">
        <f>IF($K$1="","",$K$1)</f>
        <v>笠原誠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高山晶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宮沢璃空</v>
      </c>
      <c r="AA2" s="56" t="str">
        <f>IF($K$1="","",$K$1)</f>
        <v>笠原誠</v>
      </c>
      <c r="AB2" s="56" t="str">
        <f>IF($P$1="","",$P$1)</f>
        <v>高山晶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宮沢璃空</v>
      </c>
      <c r="F4" s="5" t="s">
        <v>165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 t="s">
        <v>166</v>
      </c>
      <c r="L4" s="6">
        <v>-4000</v>
      </c>
      <c r="M4" s="6"/>
      <c r="N4" s="6">
        <v>0</v>
      </c>
      <c r="O4" s="18">
        <f>IF(COUNTA($F4,$K4,$P4,$U4)&gt;0,O3+SUM(L4:N4),"")</f>
        <v>21000</v>
      </c>
      <c r="P4" s="5" t="s">
        <v>166</v>
      </c>
      <c r="Q4" s="6">
        <v>-4000</v>
      </c>
      <c r="R4" s="6"/>
      <c r="S4" s="6">
        <v>0</v>
      </c>
      <c r="T4" s="18">
        <f>IF(COUNTA($F4,$K4,$P4,$U4)&gt;0,T3+SUM(Q4:S4),"")</f>
        <v>21000</v>
      </c>
      <c r="U4" s="5" t="s">
        <v>166</v>
      </c>
      <c r="V4" s="6">
        <v>-4000</v>
      </c>
      <c r="W4" s="6"/>
      <c r="X4" s="6">
        <v>0</v>
      </c>
      <c r="Y4" s="18">
        <f>IF(COUNTA($F4,$K4,$P4,$U4)&gt;0,Y3+SUM(V4:X4),"")</f>
        <v>21000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-19</v>
      </c>
      <c r="AB4" s="46">
        <f>IF($T4="","",ROUND(($T4-30000)/1000,1)+(2.5-_xlfn.RANK.AVG($T4,($J4,$O4,$T4,$Y4)))*20+IF(_xlfn.RANK.EQ($T4,($J4,$O4,$T4,$Y4))=1,20/((_xlfn.RANK.AVG($T4,($J4,$O4,$T4,$Y4))-1)*2+1),0))</f>
        <v>-19</v>
      </c>
      <c r="AC4" s="47">
        <f>IF($Y4="","",ROUND(($Y4-30000)/1000,1)+(2.5-_xlfn.RANK.AVG($Y4,($J4,$O4,$T4,$Y4)))*20+IF(_xlfn.RANK.EQ($Y4,($J4,$O4,$T4,$Y4))=1,20/((_xlfn.RANK.AVG($Y4,($J4,$O4,$T4,$Y4))-1)*2+1),0))</f>
        <v>-19</v>
      </c>
      <c r="AE4" s="5"/>
      <c r="AF4" s="30"/>
      <c r="AG4" s="23">
        <v>1</v>
      </c>
      <c r="AH4" s="23"/>
      <c r="AI4" s="23">
        <v>5</v>
      </c>
      <c r="AJ4" s="27" t="s">
        <v>167</v>
      </c>
      <c r="AK4" s="36" t="s">
        <v>168</v>
      </c>
      <c r="AL4" s="37" t="s">
        <v>73</v>
      </c>
      <c r="AM4" s="37" t="s">
        <v>169</v>
      </c>
      <c r="AN4" s="37" t="s">
        <v>71</v>
      </c>
      <c r="AO4" s="37" t="s">
        <v>71</v>
      </c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宮沢璃空</v>
      </c>
      <c r="F5" s="5" t="s">
        <v>170</v>
      </c>
      <c r="G5" s="6">
        <v>-3900</v>
      </c>
      <c r="H5" s="6"/>
      <c r="I5" s="6">
        <v>-300</v>
      </c>
      <c r="J5" s="18">
        <f t="shared" ref="J5:J30" si="2">IF(COUNTA($F5,$K5,$P5,$U5)&gt;0,J4+SUM(G5:I5),"")</f>
        <v>32800</v>
      </c>
      <c r="K5" s="5"/>
      <c r="L5" s="6"/>
      <c r="M5" s="6"/>
      <c r="N5" s="6"/>
      <c r="O5" s="18">
        <f>IF(COUNTA($F5,$K5,$P5,$U5)&gt;0,O4+SUM(L5:N5),"")</f>
        <v>21000</v>
      </c>
      <c r="P5" s="5" t="s">
        <v>171</v>
      </c>
      <c r="Q5" s="6">
        <v>3900</v>
      </c>
      <c r="R5" s="6"/>
      <c r="S5" s="6">
        <v>300</v>
      </c>
      <c r="T5" s="18">
        <f t="shared" ref="T5:T30" si="3">IF(COUNTA($F5,$K5,$P5,$U5)&gt;0,T4+SUM(Q5:S5),"")</f>
        <v>25200</v>
      </c>
      <c r="U5" s="5"/>
      <c r="V5" s="6"/>
      <c r="W5" s="6"/>
      <c r="X5" s="6"/>
      <c r="Y5" s="18">
        <f t="shared" ref="Y5:Y30" si="4">IF(COUNTA($F5,$K5,$P5,$U5)&gt;0,Y4+SUM(V5:X5),"")</f>
        <v>21000</v>
      </c>
      <c r="Z5" s="45">
        <f>IF($J5="","",ROUND(($J5-30000)/1000,1)+(2.5-_xlfn.RANK.AVG($J5,($J5,$O5,$T5,$Y5)))*20+IF(_xlfn.RANK.EQ($J5,($J5,$O5,$T5,$Y5))=1,20/((_xlfn.RANK.AVG($J5,($J5,$O5,$T5,$Y5))-1)*2+1),0))</f>
        <v>52.8</v>
      </c>
      <c r="AA5" s="46">
        <f>IF($O5="","",ROUND(($O5-30000)/1000,1)+(2.5-_xlfn.RANK.AVG($O5,($J5,$O5,$T5,$Y5)))*20+IF(_xlfn.RANK.EQ($O5,($J5,$O5,$T5,$Y5))=1,20/((_xlfn.RANK.AVG($O5,($J5,$O5,$T5,$Y5))-1)*2+1),0))</f>
        <v>-29</v>
      </c>
      <c r="AB5" s="46">
        <f>IF($T5="","",ROUND(($T5-30000)/1000,1)+(2.5-_xlfn.RANK.AVG($T5,($J5,$O5,$T5,$Y5)))*20+IF(_xlfn.RANK.EQ($T5,($J5,$O5,$T5,$Y5))=1,20/((_xlfn.RANK.AVG($T5,($J5,$O5,$T5,$Y5))-1)*2+1),0))</f>
        <v>5.2</v>
      </c>
      <c r="AC5" s="47">
        <f>IF($Y5="","",ROUND(($Y5-30000)/1000,1)+(2.5-_xlfn.RANK.AVG($Y5,($J5,$O5,$T5,$Y5)))*20+IF(_xlfn.RANK.EQ($Y5,($J5,$O5,$T5,$Y5))=1,20/((_xlfn.RANK.AVG($Y5,($J5,$O5,$T5,$Y5))-1)*2+1),0))</f>
        <v>-29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3</v>
      </c>
      <c r="BZ5" s="27">
        <v>30</v>
      </c>
      <c r="CA5" s="36" t="s">
        <v>77</v>
      </c>
      <c r="CB5" s="37" t="s">
        <v>169</v>
      </c>
      <c r="CC5" s="37" t="s">
        <v>169</v>
      </c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笠原誠</v>
      </c>
      <c r="F6" s="5" t="s">
        <v>165</v>
      </c>
      <c r="G6" s="6">
        <v>12000</v>
      </c>
      <c r="H6" s="6">
        <v>1000</v>
      </c>
      <c r="I6" s="6">
        <v>0</v>
      </c>
      <c r="J6" s="18">
        <f t="shared" si="2"/>
        <v>45800</v>
      </c>
      <c r="K6" s="5" t="s">
        <v>166</v>
      </c>
      <c r="L6" s="6">
        <v>-6000</v>
      </c>
      <c r="M6" s="6"/>
      <c r="N6" s="6">
        <v>0</v>
      </c>
      <c r="O6" s="18">
        <f t="shared" ref="O6:O30" si="8">IF(COUNTA($F6,$K6,$P6,$U6)&gt;0,O5+SUM(L6:N6),"")</f>
        <v>15000</v>
      </c>
      <c r="P6" s="5" t="s">
        <v>166</v>
      </c>
      <c r="Q6" s="6">
        <v>-3000</v>
      </c>
      <c r="R6" s="6"/>
      <c r="S6" s="6">
        <v>0</v>
      </c>
      <c r="T6" s="18">
        <f t="shared" si="3"/>
        <v>22200</v>
      </c>
      <c r="U6" s="5" t="s">
        <v>166</v>
      </c>
      <c r="V6" s="6">
        <v>-3000</v>
      </c>
      <c r="W6" s="6">
        <v>-1000</v>
      </c>
      <c r="X6" s="6">
        <v>0</v>
      </c>
      <c r="Y6" s="18">
        <f t="shared" si="4"/>
        <v>17000</v>
      </c>
      <c r="Z6" s="45">
        <f>IF($J6="","",ROUND(($J6-30000)/1000,1)+(2.5-_xlfn.RANK.AVG($J6,($J6,$O6,$T6,$Y6)))*20+IF(_xlfn.RANK.EQ($J6,($J6,$O6,$T6,$Y6))=1,20/((_xlfn.RANK.AVG($J6,($J6,$O6,$T6,$Y6))-1)*2+1),0))</f>
        <v>65.8</v>
      </c>
      <c r="AA6" s="46">
        <f>IF($O6="","",ROUND(($O6-30000)/1000,1)+(2.5-_xlfn.RANK.AVG($O6,($J6,$O6,$T6,$Y6)))*20+IF(_xlfn.RANK.EQ($O6,($J6,$O6,$T6,$Y6))=1,20/((_xlfn.RANK.AVG($O6,($J6,$O6,$T6,$Y6))-1)*2+1),0))</f>
        <v>-45</v>
      </c>
      <c r="AB6" s="46">
        <f>IF($T6="","",ROUND(($T6-30000)/1000,1)+(2.5-_xlfn.RANK.AVG($T6,($J6,$O6,$T6,$Y6)))*20+IF(_xlfn.RANK.EQ($T6,($J6,$O6,$T6,$Y6))=1,20/((_xlfn.RANK.AVG($T6,($J6,$O6,$T6,$Y6))-1)*2+1),0))</f>
        <v>2.2000000000000002</v>
      </c>
      <c r="AC6" s="47">
        <f>IF($Y6="","",ROUND(($Y6-30000)/1000,1)+(2.5-_xlfn.RANK.AVG($Y6,($J6,$O6,$T6,$Y6)))*20+IF(_xlfn.RANK.EQ($Y6,($J6,$O6,$T6,$Y6))=1,20/((_xlfn.RANK.AVG($Y6,($J6,$O6,$T6,$Y6))-1)*2+1),0))</f>
        <v>-23</v>
      </c>
      <c r="AE6" s="5"/>
      <c r="AF6" s="30"/>
      <c r="AG6" s="23">
        <v>1</v>
      </c>
      <c r="AH6" s="23"/>
      <c r="AI6" s="23">
        <v>6</v>
      </c>
      <c r="AJ6" s="27" t="s">
        <v>167</v>
      </c>
      <c r="AK6" s="36" t="s">
        <v>168</v>
      </c>
      <c r="AL6" s="37" t="s">
        <v>74</v>
      </c>
      <c r="AM6" s="37" t="s">
        <v>73</v>
      </c>
      <c r="AN6" s="37" t="s">
        <v>172</v>
      </c>
      <c r="AO6" s="37" t="s">
        <v>169</v>
      </c>
      <c r="AP6" s="37" t="s">
        <v>71</v>
      </c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高山晶</v>
      </c>
      <c r="F7" s="5" t="s">
        <v>166</v>
      </c>
      <c r="G7" s="6">
        <v>-500</v>
      </c>
      <c r="H7" s="6"/>
      <c r="I7" s="6">
        <v>0</v>
      </c>
      <c r="J7" s="18">
        <f t="shared" si="2"/>
        <v>45300</v>
      </c>
      <c r="K7" s="5" t="s">
        <v>165</v>
      </c>
      <c r="L7" s="6">
        <v>2000</v>
      </c>
      <c r="M7" s="6"/>
      <c r="N7" s="6">
        <v>0</v>
      </c>
      <c r="O7" s="18">
        <f t="shared" si="8"/>
        <v>17000</v>
      </c>
      <c r="P7" s="5" t="s">
        <v>166</v>
      </c>
      <c r="Q7" s="6">
        <v>-1000</v>
      </c>
      <c r="R7" s="6"/>
      <c r="S7" s="6">
        <v>0</v>
      </c>
      <c r="T7" s="18">
        <f t="shared" si="3"/>
        <v>21200</v>
      </c>
      <c r="U7" s="5" t="s">
        <v>166</v>
      </c>
      <c r="V7" s="6">
        <v>-500</v>
      </c>
      <c r="W7" s="6"/>
      <c r="X7" s="6">
        <v>0</v>
      </c>
      <c r="Y7" s="18">
        <f t="shared" si="4"/>
        <v>16500</v>
      </c>
      <c r="Z7" s="45">
        <f>IF($J7="","",ROUND(($J7-30000)/1000,1)+(2.5-_xlfn.RANK.AVG($J7,($J7,$O7,$T7,$Y7)))*20+IF(_xlfn.RANK.EQ($J7,($J7,$O7,$T7,$Y7))=1,20/((_xlfn.RANK.AVG($J7,($J7,$O7,$T7,$Y7))-1)*2+1),0))</f>
        <v>65.3</v>
      </c>
      <c r="AA7" s="46">
        <f>IF($O7="","",ROUND(($O7-30000)/1000,1)+(2.5-_xlfn.RANK.AVG($O7,($J7,$O7,$T7,$Y7)))*20+IF(_xlfn.RANK.EQ($O7,($J7,$O7,$T7,$Y7))=1,20/((_xlfn.RANK.AVG($O7,($J7,$O7,$T7,$Y7))-1)*2+1),0))</f>
        <v>-23</v>
      </c>
      <c r="AB7" s="46">
        <f>IF($T7="","",ROUND(($T7-30000)/1000,1)+(2.5-_xlfn.RANK.AVG($T7,($J7,$O7,$T7,$Y7)))*20+IF(_xlfn.RANK.EQ($T7,($J7,$O7,$T7,$Y7))=1,20/((_xlfn.RANK.AVG($T7,($J7,$O7,$T7,$Y7))-1)*2+1),0))</f>
        <v>1.1999999999999993</v>
      </c>
      <c r="AC7" s="47">
        <f>IF($Y7="","",ROUND(($Y7-30000)/1000,1)+(2.5-_xlfn.RANK.AVG($Y7,($J7,$O7,$T7,$Y7)))*20+IF(_xlfn.RANK.EQ($Y7,($J7,$O7,$T7,$Y7))=1,20/((_xlfn.RANK.AVG($Y7,($J7,$O7,$T7,$Y7))-1)*2+1),0))</f>
        <v>-43.5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2</v>
      </c>
      <c r="BE7" s="27">
        <v>30</v>
      </c>
      <c r="BF7" s="36" t="s">
        <v>77</v>
      </c>
      <c r="BG7" s="37" t="s">
        <v>70</v>
      </c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佐藤成浩</v>
      </c>
      <c r="F8" s="5" t="s">
        <v>175</v>
      </c>
      <c r="G8" s="6">
        <v>1000</v>
      </c>
      <c r="H8" s="6"/>
      <c r="I8" s="6"/>
      <c r="J8" s="18">
        <f t="shared" si="2"/>
        <v>46300</v>
      </c>
      <c r="K8" s="5" t="s">
        <v>175</v>
      </c>
      <c r="L8" s="6">
        <v>-3000</v>
      </c>
      <c r="M8" s="6"/>
      <c r="N8" s="6"/>
      <c r="O8" s="18">
        <f t="shared" si="8"/>
        <v>14000</v>
      </c>
      <c r="P8" s="5" t="s">
        <v>175</v>
      </c>
      <c r="Q8" s="6">
        <v>1000</v>
      </c>
      <c r="R8" s="6"/>
      <c r="S8" s="6"/>
      <c r="T8" s="18">
        <f t="shared" si="3"/>
        <v>22200</v>
      </c>
      <c r="U8" s="5" t="s">
        <v>175</v>
      </c>
      <c r="V8" s="6">
        <v>1000</v>
      </c>
      <c r="W8" s="6"/>
      <c r="X8" s="6"/>
      <c r="Y8" s="18">
        <f t="shared" si="4"/>
        <v>17500</v>
      </c>
      <c r="Z8" s="45">
        <f>IF($J8="","",ROUND(($J8-30000)/1000,1)+(2.5-_xlfn.RANK.AVG($J8,($J8,$O8,$T8,$Y8)))*20+IF(_xlfn.RANK.EQ($J8,($J8,$O8,$T8,$Y8))=1,20/((_xlfn.RANK.AVG($J8,($J8,$O8,$T8,$Y8))-1)*2+1),0))</f>
        <v>66.3</v>
      </c>
      <c r="AA8" s="46">
        <f>IF($O8="","",ROUND(($O8-30000)/1000,1)+(2.5-_xlfn.RANK.AVG($O8,($J8,$O8,$T8,$Y8)))*20+IF(_xlfn.RANK.EQ($O8,($J8,$O8,$T8,$Y8))=1,20/((_xlfn.RANK.AVG($O8,($J8,$O8,$T8,$Y8))-1)*2+1),0))</f>
        <v>-46</v>
      </c>
      <c r="AB8" s="46">
        <f>IF($T8="","",ROUND(($T8-30000)/1000,1)+(2.5-_xlfn.RANK.AVG($T8,($J8,$O8,$T8,$Y8)))*20+IF(_xlfn.RANK.EQ($T8,($J8,$O8,$T8,$Y8))=1,20/((_xlfn.RANK.AVG($T8,($J8,$O8,$T8,$Y8))-1)*2+1),0))</f>
        <v>2.2000000000000002</v>
      </c>
      <c r="AC8" s="47">
        <f>IF($Y8="","",ROUND(($Y8-30000)/1000,1)+(2.5-_xlfn.RANK.AVG($Y8,($J8,$O8,$T8,$Y8)))*20+IF(_xlfn.RANK.EQ($Y8,($J8,$O8,$T8,$Y8))=1,20/((_xlfn.RANK.AVG($Y8,($J8,$O8,$T8,$Y8))-1)*2+1),0))</f>
        <v>-22.5</v>
      </c>
      <c r="AE8" s="5" t="s">
        <v>173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174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173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173</v>
      </c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佐藤成浩</v>
      </c>
      <c r="F9" s="5"/>
      <c r="G9" s="6"/>
      <c r="H9" s="6"/>
      <c r="I9" s="6"/>
      <c r="J9" s="18">
        <f t="shared" si="2"/>
        <v>46300</v>
      </c>
      <c r="K9" s="5"/>
      <c r="L9" s="6"/>
      <c r="M9" s="6"/>
      <c r="N9" s="6"/>
      <c r="O9" s="18">
        <f t="shared" si="8"/>
        <v>14000</v>
      </c>
      <c r="P9" s="5" t="s">
        <v>171</v>
      </c>
      <c r="Q9" s="6">
        <v>2000</v>
      </c>
      <c r="R9" s="6"/>
      <c r="S9" s="6">
        <v>300</v>
      </c>
      <c r="T9" s="18">
        <f t="shared" si="3"/>
        <v>24500</v>
      </c>
      <c r="U9" s="5" t="s">
        <v>170</v>
      </c>
      <c r="V9" s="6">
        <v>-2000</v>
      </c>
      <c r="W9" s="6"/>
      <c r="X9" s="6">
        <v>-300</v>
      </c>
      <c r="Y9" s="18">
        <f t="shared" si="4"/>
        <v>15200</v>
      </c>
      <c r="Z9" s="45">
        <f>IF($J9="","",ROUND(($J9-30000)/1000,1)+(2.5-_xlfn.RANK.AVG($J9,($J9,$O9,$T9,$Y9)))*20+IF(_xlfn.RANK.EQ($J9,($J9,$O9,$T9,$Y9))=1,20/((_xlfn.RANK.AVG($J9,($J9,$O9,$T9,$Y9))-1)*2+1),0))</f>
        <v>66.3</v>
      </c>
      <c r="AA9" s="46">
        <f>IF($O9="","",ROUND(($O9-30000)/1000,1)+(2.5-_xlfn.RANK.AVG($O9,($J9,$O9,$T9,$Y9)))*20+IF(_xlfn.RANK.EQ($O9,($J9,$O9,$T9,$Y9))=1,20/((_xlfn.RANK.AVG($O9,($J9,$O9,$T9,$Y9))-1)*2+1),0))</f>
        <v>-46</v>
      </c>
      <c r="AB9" s="46">
        <f>IF($T9="","",ROUND(($T9-30000)/1000,1)+(2.5-_xlfn.RANK.AVG($T9,($J9,$O9,$T9,$Y9)))*20+IF(_xlfn.RANK.EQ($T9,($J9,$O9,$T9,$Y9))=1,20/((_xlfn.RANK.AVG($T9,($J9,$O9,$T9,$Y9))-1)*2+1),0))</f>
        <v>4.5</v>
      </c>
      <c r="AC9" s="47">
        <f>IF($Y9="","",ROUND(($Y9-30000)/1000,1)+(2.5-_xlfn.RANK.AVG($Y9,($J9,$O9,$T9,$Y9)))*20+IF(_xlfn.RANK.EQ($Y9,($J9,$O9,$T9,$Y9))=1,20/((_xlfn.RANK.AVG($Y9,($J9,$O9,$T9,$Y9))-1)*2+1),0))</f>
        <v>-24.8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2</v>
      </c>
      <c r="BZ9" s="27">
        <v>30</v>
      </c>
      <c r="CA9" s="36" t="s">
        <v>77</v>
      </c>
      <c r="CB9" s="37" t="s">
        <v>70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宮沢璃空</v>
      </c>
      <c r="F10" s="5"/>
      <c r="G10" s="6"/>
      <c r="H10" s="6">
        <v>0</v>
      </c>
      <c r="I10" s="6"/>
      <c r="J10" s="18">
        <f t="shared" si="2"/>
        <v>46300</v>
      </c>
      <c r="K10" s="5"/>
      <c r="L10" s="6"/>
      <c r="M10" s="6"/>
      <c r="N10" s="6"/>
      <c r="O10" s="18">
        <f t="shared" si="8"/>
        <v>14000</v>
      </c>
      <c r="P10" s="5" t="s">
        <v>170</v>
      </c>
      <c r="Q10" s="6">
        <v>-2000</v>
      </c>
      <c r="R10" s="6"/>
      <c r="S10" s="6">
        <v>0</v>
      </c>
      <c r="T10" s="18">
        <f t="shared" si="3"/>
        <v>22500</v>
      </c>
      <c r="U10" s="5" t="s">
        <v>171</v>
      </c>
      <c r="V10" s="6">
        <v>2000</v>
      </c>
      <c r="W10" s="6"/>
      <c r="X10" s="6">
        <v>0</v>
      </c>
      <c r="Y10" s="18">
        <f t="shared" si="4"/>
        <v>17200</v>
      </c>
      <c r="Z10" s="45">
        <f>IF($J10="","",ROUND(($J10-30000)/1000,1)+(2.5-_xlfn.RANK.AVG($J10,($J10,$O10,$T10,$Y10)))*20+IF(_xlfn.RANK.EQ($J10,($J10,$O10,$T10,$Y10))=1,20/((_xlfn.RANK.AVG($J10,($J10,$O10,$T10,$Y10))-1)*2+1),0))</f>
        <v>66.3</v>
      </c>
      <c r="AA10" s="46">
        <f>IF($O10="","",ROUND(($O10-30000)/1000,1)+(2.5-_xlfn.RANK.AVG($O10,($J10,$O10,$T10,$Y10)))*20+IF(_xlfn.RANK.EQ($O10,($J10,$O10,$T10,$Y10))=1,20/((_xlfn.RANK.AVG($O10,($J10,$O10,$T10,$Y10))-1)*2+1),0))</f>
        <v>-46</v>
      </c>
      <c r="AB10" s="46">
        <f>IF($T10="","",ROUND(($T10-30000)/1000,1)+(2.5-_xlfn.RANK.AVG($T10,($J10,$O10,$T10,$Y10)))*20+IF(_xlfn.RANK.EQ($T10,($J10,$O10,$T10,$Y10))=1,20/((_xlfn.RANK.AVG($T10,($J10,$O10,$T10,$Y10))-1)*2+1),0))</f>
        <v>2.5</v>
      </c>
      <c r="AC10" s="47">
        <f>IF($Y10="","",ROUND(($Y10-30000)/1000,1)+(2.5-_xlfn.RANK.AVG($Y10,($J10,$O10,$T10,$Y10)))*20+IF(_xlfn.RANK.EQ($Y10,($J10,$O10,$T10,$Y10))=1,20/((_xlfn.RANK.AVG($Y10,($J10,$O10,$T10,$Y10))-1)*2+1),0))</f>
        <v>-22.8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2</v>
      </c>
      <c r="CU10" s="27">
        <v>30</v>
      </c>
      <c r="CV10" s="36" t="s">
        <v>70</v>
      </c>
      <c r="CW10" s="37" t="s">
        <v>76</v>
      </c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30AF92E-8376-4E29-BC89-C5B6E280CAB7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7B116-DA5E-4D05-A0F3-07F67B35A645}">
  <sheetPr codeName="Sheet10">
    <pageSetUpPr fitToPage="1"/>
  </sheetPr>
  <dimension ref="A1:DJ30"/>
  <sheetViews>
    <sheetView tabSelected="1" topLeftCell="BW1" zoomScaleNormal="100" workbookViewId="0">
      <selection activeCell="U5" sqref="U5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176</v>
      </c>
      <c r="Q1" s="61"/>
      <c r="R1" s="61"/>
      <c r="S1" s="62"/>
      <c r="T1" s="63"/>
      <c r="U1" s="60" t="s">
        <v>177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笠原誠</v>
      </c>
      <c r="AF1" s="70" t="str">
        <f t="shared" ref="AF1:AY1" si="0">$F$1</f>
        <v>笠原誠</v>
      </c>
      <c r="AG1" s="61" t="str">
        <f t="shared" si="0"/>
        <v>笠原誠</v>
      </c>
      <c r="AH1" s="61" t="str">
        <f t="shared" si="0"/>
        <v>笠原誠</v>
      </c>
      <c r="AI1" s="61" t="str">
        <f t="shared" si="0"/>
        <v>笠原誠</v>
      </c>
      <c r="AJ1" s="61" t="str">
        <f t="shared" si="0"/>
        <v>笠原誠</v>
      </c>
      <c r="AK1" s="61" t="str">
        <f t="shared" si="0"/>
        <v>笠原誠</v>
      </c>
      <c r="AL1" s="61" t="str">
        <f t="shared" si="0"/>
        <v>笠原誠</v>
      </c>
      <c r="AM1" s="61" t="str">
        <f t="shared" si="0"/>
        <v>笠原誠</v>
      </c>
      <c r="AN1" s="61" t="str">
        <f t="shared" si="0"/>
        <v>笠原誠</v>
      </c>
      <c r="AO1" s="61" t="str">
        <f t="shared" si="0"/>
        <v>笠原誠</v>
      </c>
      <c r="AP1" s="61" t="str">
        <f t="shared" si="0"/>
        <v>笠原誠</v>
      </c>
      <c r="AQ1" s="61" t="str">
        <f t="shared" si="0"/>
        <v>笠原誠</v>
      </c>
      <c r="AR1" s="61" t="str">
        <f t="shared" si="0"/>
        <v>笠原誠</v>
      </c>
      <c r="AS1" s="61" t="str">
        <f t="shared" si="0"/>
        <v>笠原誠</v>
      </c>
      <c r="AT1" s="61" t="str">
        <f t="shared" si="0"/>
        <v>笠原誠</v>
      </c>
      <c r="AU1" s="61" t="str">
        <f t="shared" si="0"/>
        <v>笠原誠</v>
      </c>
      <c r="AV1" s="61" t="str">
        <f t="shared" si="0"/>
        <v>笠原誠</v>
      </c>
      <c r="AW1" s="61" t="str">
        <f t="shared" si="0"/>
        <v>笠原誠</v>
      </c>
      <c r="AX1" s="61" t="str">
        <f t="shared" si="0"/>
        <v>笠原誠</v>
      </c>
      <c r="AY1" s="63" t="str">
        <f t="shared" si="0"/>
        <v>笠原誠</v>
      </c>
      <c r="AZ1" s="60" t="str">
        <f>IF($K$1="","",$K$1)</f>
        <v>宮沢璃空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山田夏寿希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清水遙斗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笠原誠</v>
      </c>
      <c r="AA2" s="56" t="str">
        <f>IF($K$1="","",$K$1)</f>
        <v>宮沢璃空</v>
      </c>
      <c r="AB2" s="56" t="str">
        <f>IF($P$1="","",$P$1)</f>
        <v>山田夏寿希</v>
      </c>
      <c r="AC2" s="13" t="str">
        <f>IF($U$1="","",$U$1)</f>
        <v>清水遙斗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笠原誠</v>
      </c>
      <c r="F4" s="5"/>
      <c r="G4" s="6"/>
      <c r="H4" s="6"/>
      <c r="I4" s="6"/>
      <c r="J4" s="18">
        <f>IF(COUNTA($F4,$K4,$P4,$U4)&gt;0,J3+SUM(G4:I4),"")</f>
        <v>25000</v>
      </c>
      <c r="K4" s="5" t="s">
        <v>170</v>
      </c>
      <c r="L4" s="6">
        <v>-3900</v>
      </c>
      <c r="M4" s="6"/>
      <c r="N4" s="6">
        <v>0</v>
      </c>
      <c r="O4" s="18">
        <f t="shared" ref="O4:O5" si="1">IF(COUNTA($F4,$K4,$P4,$U4)&gt;0,O3+SUM(L4:N4),"")</f>
        <v>21100</v>
      </c>
      <c r="P4" s="5"/>
      <c r="Q4" s="6"/>
      <c r="R4" s="6"/>
      <c r="S4" s="6"/>
      <c r="T4" s="18">
        <f>IF(COUNTA($F4,$K4,$P4,$U4)&gt;0,T3+SUM(Q4:S4),"")</f>
        <v>25000</v>
      </c>
      <c r="U4" s="5" t="s">
        <v>171</v>
      </c>
      <c r="V4" s="6">
        <v>3900</v>
      </c>
      <c r="W4" s="6"/>
      <c r="X4" s="6">
        <v>0</v>
      </c>
      <c r="Y4" s="18">
        <f>IF(COUNTA($F4,$K4,$P4,$U4)&gt;0,Y3+SUM(V4:X4),"")</f>
        <v>28900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-38.9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48.9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3</v>
      </c>
      <c r="CU4" s="27">
        <v>30</v>
      </c>
      <c r="CV4" s="36" t="s">
        <v>168</v>
      </c>
      <c r="CW4" s="37" t="s">
        <v>70</v>
      </c>
      <c r="CX4" s="37" t="s">
        <v>74</v>
      </c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" si="2">IF($E5="","",IF(AND(B4=4,B5=1),_xlfn.SWITCH(A4,"東","南","南","西","西","北","北","東"),A4))</f>
        <v>東</v>
      </c>
      <c r="B5" s="15">
        <f t="shared" ref="B5" si="3">IF($E5="","",IF($E4=$E5,B4,IF(B4=4,1,B4+1)))</f>
        <v>2</v>
      </c>
      <c r="C5" s="15">
        <f t="shared" ref="C5" si="4">IF($E5="","",IF($F4="チョンボ",C4,IF(OR($E4=$E5,$F4="流局"),C4+1,0)))</f>
        <v>0</v>
      </c>
      <c r="D5" s="15">
        <f t="shared" ref="D5" si="5">IF($E5="","",IF(OR($F4="流局",$F4="チョンボ"),D4+($H4+$M4+$R4+$W4)/-1000,0))</f>
        <v>0</v>
      </c>
      <c r="E5" s="58" t="str">
        <f>IF($K$1="","",$K$1)</f>
        <v>宮沢璃空</v>
      </c>
      <c r="F5" s="5" t="s">
        <v>178</v>
      </c>
      <c r="G5" s="6"/>
      <c r="H5" s="6"/>
      <c r="I5" s="6"/>
      <c r="J5" s="18">
        <f t="shared" ref="J5:J30" si="6">IF(COUNTA($F5,$K5,$P5,$U5)&gt;0,J4+SUM(G5:I5),"")</f>
        <v>25000</v>
      </c>
      <c r="K5" s="5" t="s">
        <v>178</v>
      </c>
      <c r="L5" s="6"/>
      <c r="M5" s="6"/>
      <c r="N5" s="6"/>
      <c r="O5" s="18">
        <f t="shared" si="1"/>
        <v>21100</v>
      </c>
      <c r="P5" s="5" t="s">
        <v>178</v>
      </c>
      <c r="Q5" s="6"/>
      <c r="R5" s="6"/>
      <c r="S5" s="6"/>
      <c r="T5" s="18">
        <f t="shared" ref="T5:T30" si="7">IF(COUNTA($F5,$K5,$P5,$U5)&gt;0,T4+SUM(Q5:S5),"")</f>
        <v>25000</v>
      </c>
      <c r="U5" s="5" t="s">
        <v>178</v>
      </c>
      <c r="V5" s="6">
        <v>0</v>
      </c>
      <c r="W5" s="6"/>
      <c r="X5" s="6"/>
      <c r="Y5" s="18">
        <f t="shared" ref="Y5:Y30" si="8">IF(COUNTA($F5,$K5,$P5,$U5)&gt;0,Y4+SUM(V5:X5),"")</f>
        <v>28900</v>
      </c>
      <c r="Z5" s="45">
        <f>IF($J5="","",ROUND(($J5-30000)/1000,1)+(2.5-_xlfn.RANK.AVG($J5,($J5,$O5,$T5,$Y5)))*20+IF(_xlfn.RANK.EQ($J5,($J5,$O5,$T5,$Y5))=1,20/((_xlfn.RANK.AVG($J5,($J5,$O5,$T5,$Y5))-1)*2+1),0))</f>
        <v>-5</v>
      </c>
      <c r="AA5" s="46">
        <f>IF($O5="","",ROUND(($O5-30000)/1000,1)+(2.5-_xlfn.RANK.AVG($O5,($J5,$O5,$T5,$Y5)))*20+IF(_xlfn.RANK.EQ($O5,($J5,$O5,$T5,$Y5))=1,20/((_xlfn.RANK.AVG($O5,($J5,$O5,$T5,$Y5))-1)*2+1),0))</f>
        <v>-38.9</v>
      </c>
      <c r="AB5" s="46">
        <f>IF($T5="","",ROUND(($T5-30000)/1000,1)+(2.5-_xlfn.RANK.AVG($T5,($J5,$O5,$T5,$Y5)))*20+IF(_xlfn.RANK.EQ($T5,($J5,$O5,$T5,$Y5))=1,20/((_xlfn.RANK.AVG($T5,($J5,$O5,$T5,$Y5))-1)*2+1),0))</f>
        <v>-5</v>
      </c>
      <c r="AC5" s="47">
        <f>IF($Y5="","",ROUND(($Y5-30000)/1000,1)+(2.5-_xlfn.RANK.AVG($Y5,($J5,$O5,$T5,$Y5)))*20+IF(_xlfn.RANK.EQ($Y5,($J5,$O5,$T5,$Y5))=1,20/((_xlfn.RANK.AVG($Y5,($J5,$O5,$T5,$Y5))-1)*2+1),0))</f>
        <v>48.9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>IF($E6="","",IF(AND(B5=4,B6=1),_xlfn.SWITCH(A5,"東","南","南","西","西","北","北","東"),A5))</f>
        <v>東</v>
      </c>
      <c r="B6" s="15">
        <f>IF($E6="","",IF($E5=$E6,B5,IF(B5=4,1,B5+1)))</f>
        <v>2</v>
      </c>
      <c r="C6" s="15">
        <f>IF($E6="","",IF($F5="チョンボ",C5,IF(OR($E5=$E6,$F5="流局"),C5+1,0)))</f>
        <v>0</v>
      </c>
      <c r="D6" s="15">
        <f>IF($E6="","",IF(OR($F5="流局",$F5="チョンボ"),D5+($H5+$M5+$R5+$W5)/-1000,0))</f>
        <v>0</v>
      </c>
      <c r="E6" s="58" t="str">
        <f>IF($K$1="","",$K$1)</f>
        <v>宮沢璃空</v>
      </c>
      <c r="F6" s="5"/>
      <c r="G6" s="6"/>
      <c r="H6" s="6"/>
      <c r="I6" s="6"/>
      <c r="J6" s="18">
        <f>IF(COUNTA($F6,$K6,$P6,$U6)&gt;0,J5+SUM(G6:I6),"")</f>
        <v>25000</v>
      </c>
      <c r="K6" s="5" t="s">
        <v>171</v>
      </c>
      <c r="L6" s="6">
        <v>18000</v>
      </c>
      <c r="M6" s="6"/>
      <c r="N6" s="6">
        <v>0</v>
      </c>
      <c r="O6" s="18">
        <f>IF(COUNTA($F6,$K6,$P6,$U6)&gt;0,O5+SUM(L6:N6),"")</f>
        <v>39100</v>
      </c>
      <c r="P6" s="5"/>
      <c r="Q6" s="6"/>
      <c r="R6" s="6"/>
      <c r="S6" s="6"/>
      <c r="T6" s="18">
        <f>IF(COUNTA($F6,$K6,$P6,$U6)&gt;0,T5+SUM(Q6:S6),"")</f>
        <v>25000</v>
      </c>
      <c r="U6" s="5" t="s">
        <v>170</v>
      </c>
      <c r="V6" s="6">
        <v>-18000</v>
      </c>
      <c r="W6" s="6"/>
      <c r="X6" s="6">
        <v>0</v>
      </c>
      <c r="Y6" s="18">
        <f>IF(COUNTA($F6,$K6,$P6,$U6)&gt;0,Y5+SUM(V6:X6),"")</f>
        <v>10900</v>
      </c>
      <c r="Z6" s="45">
        <f>IF($J6="","",ROUND(($J6-30000)/1000,1)+(2.5-_xlfn.RANK.AVG($J6,($J6,$O6,$T6,$Y6)))*20+IF(_xlfn.RANK.EQ($J6,($J6,$O6,$T6,$Y6))=1,20/((_xlfn.RANK.AVG($J6,($J6,$O6,$T6,$Y6))-1)*2+1),0))</f>
        <v>-5</v>
      </c>
      <c r="AA6" s="46">
        <f>IF($O6="","",ROUND(($O6-30000)/1000,1)+(2.5-_xlfn.RANK.AVG($O6,($J6,$O6,$T6,$Y6)))*20+IF(_xlfn.RANK.EQ($O6,($J6,$O6,$T6,$Y6))=1,20/((_xlfn.RANK.AVG($O6,($J6,$O6,$T6,$Y6))-1)*2+1),0))</f>
        <v>59.1</v>
      </c>
      <c r="AB6" s="46">
        <f>IF($T6="","",ROUND(($T6-30000)/1000,1)+(2.5-_xlfn.RANK.AVG($T6,($J6,$O6,$T6,$Y6)))*20+IF(_xlfn.RANK.EQ($T6,($J6,$O6,$T6,$Y6))=1,20/((_xlfn.RANK.AVG($T6,($J6,$O6,$T6,$Y6))-1)*2+1),0))</f>
        <v>-5</v>
      </c>
      <c r="AC6" s="47">
        <f>IF($Y6="","",ROUND(($Y6-30000)/1000,1)+(2.5-_xlfn.RANK.AVG($Y6,($J6,$O6,$T6,$Y6)))*20+IF(_xlfn.RANK.EQ($Y6,($J6,$O6,$T6,$Y6))=1,20/((_xlfn.RANK.AVG($Y6,($J6,$O6,$T6,$Y6))-1)*2+1),0))</f>
        <v>-49.1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6</v>
      </c>
      <c r="BE6" s="27" t="s">
        <v>167</v>
      </c>
      <c r="BF6" s="36" t="s">
        <v>169</v>
      </c>
      <c r="BG6" s="37" t="s">
        <v>76</v>
      </c>
      <c r="BH6" s="37" t="s">
        <v>70</v>
      </c>
      <c r="BI6" s="37" t="s">
        <v>70</v>
      </c>
      <c r="BJ6" s="37" t="s">
        <v>70</v>
      </c>
      <c r="BK6" s="37" t="s">
        <v>169</v>
      </c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>IF($E7="","",IF(AND(B6=4,B7=1),_xlfn.SWITCH(A6,"東","南","南","西","西","北","北","東"),A6))</f>
        <v>東</v>
      </c>
      <c r="B7" s="15">
        <f>IF($E7="","",IF($E6=$E7,B6,IF(B6=4,1,B6+1)))</f>
        <v>2</v>
      </c>
      <c r="C7" s="15">
        <f>IF($E7="","",IF($F6="チョンボ",C6,IF(OR($E6=$E7,$F6="流局"),C6+1,0)))</f>
        <v>1</v>
      </c>
      <c r="D7" s="15">
        <f>IF($E7="","",IF(OR($F6="流局",$F6="チョンボ"),D6+($H6+$M6+$R6+$W6)/-1000,0))</f>
        <v>0</v>
      </c>
      <c r="E7" s="58" t="str">
        <f>IF($K$1="","",$K$1)</f>
        <v>宮沢璃空</v>
      </c>
      <c r="F7" s="5" t="s">
        <v>170</v>
      </c>
      <c r="G7" s="6">
        <v>-2600</v>
      </c>
      <c r="H7" s="6"/>
      <c r="I7" s="6">
        <v>-300</v>
      </c>
      <c r="J7" s="18">
        <f>IF(COUNTA($F7,$K7,$P7,$U7)&gt;0,J6+SUM(G7:I7),"")</f>
        <v>22100</v>
      </c>
      <c r="K7" s="5"/>
      <c r="L7" s="6"/>
      <c r="M7" s="6"/>
      <c r="N7" s="6"/>
      <c r="O7" s="18">
        <f>IF(COUNTA($F7,$K7,$P7,$U7)&gt;0,O6+SUM(L7:N7),"")</f>
        <v>39100</v>
      </c>
      <c r="P7" s="5" t="s">
        <v>171</v>
      </c>
      <c r="Q7" s="6">
        <v>2600</v>
      </c>
      <c r="R7" s="6"/>
      <c r="S7" s="6">
        <v>300</v>
      </c>
      <c r="T7" s="18">
        <f>IF(COUNTA($F7,$K7,$P7,$U7)&gt;0,T6+SUM(Q7:S7),"")</f>
        <v>27900</v>
      </c>
      <c r="U7" s="5"/>
      <c r="V7" s="6"/>
      <c r="W7" s="6"/>
      <c r="X7" s="6"/>
      <c r="Y7" s="18">
        <f>IF(COUNTA($F7,$K7,$P7,$U7)&gt;0,Y6+SUM(V7:X7),"")</f>
        <v>10900</v>
      </c>
      <c r="Z7" s="45">
        <f>IF($J7="","",ROUND(($J7-30000)/1000,1)+(2.5-_xlfn.RANK.AVG($J7,($J7,$O7,$T7,$Y7)))*20+IF(_xlfn.RANK.EQ($J7,($J7,$O7,$T7,$Y7))=1,20/((_xlfn.RANK.AVG($J7,($J7,$O7,$T7,$Y7))-1)*2+1),0))</f>
        <v>-17.899999999999999</v>
      </c>
      <c r="AA7" s="46">
        <f>IF($O7="","",ROUND(($O7-30000)/1000,1)+(2.5-_xlfn.RANK.AVG($O7,($J7,$O7,$T7,$Y7)))*20+IF(_xlfn.RANK.EQ($O7,($J7,$O7,$T7,$Y7))=1,20/((_xlfn.RANK.AVG($O7,($J7,$O7,$T7,$Y7))-1)*2+1),0))</f>
        <v>59.1</v>
      </c>
      <c r="AB7" s="46">
        <f>IF($T7="","",ROUND(($T7-30000)/1000,1)+(2.5-_xlfn.RANK.AVG($T7,($J7,$O7,$T7,$Y7)))*20+IF(_xlfn.RANK.EQ($T7,($J7,$O7,$T7,$Y7))=1,20/((_xlfn.RANK.AVG($T7,($J7,$O7,$T7,$Y7))-1)*2+1),0))</f>
        <v>7.9</v>
      </c>
      <c r="AC7" s="47">
        <f>IF($Y7="","",ROUND(($Y7-30000)/1000,1)+(2.5-_xlfn.RANK.AVG($Y7,($J7,$O7,$T7,$Y7)))*20+IF(_xlfn.RANK.EQ($Y7,($J7,$O7,$T7,$Y7))=1,20/((_xlfn.RANK.AVG($Y7,($J7,$O7,$T7,$Y7))-1)*2+1),0))</f>
        <v>-49.1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2</v>
      </c>
      <c r="BZ7" s="27">
        <v>40</v>
      </c>
      <c r="CA7" s="36" t="s">
        <v>168</v>
      </c>
      <c r="CB7" s="37" t="s">
        <v>71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>IF($E8="","",IF(AND(B7=4,B8=1),_xlfn.SWITCH(A7,"東","南","南","西","西","北","北","東"),A7))</f>
        <v>東</v>
      </c>
      <c r="B8" s="15">
        <f>IF($E8="","",IF($E7=$E8,B7,IF(B7=4,1,B7+1)))</f>
        <v>3</v>
      </c>
      <c r="C8" s="15">
        <f>IF($E8="","",IF($F7="チョンボ",C7,IF(OR($E7=$E8,$F7="流局"),C7+1,0)))</f>
        <v>0</v>
      </c>
      <c r="D8" s="15">
        <f>IF($E8="","",IF(OR($F7="流局",$F7="チョンボ"),D7+($H7+$M7+$R7+$W7)/-1000,0))</f>
        <v>0</v>
      </c>
      <c r="E8" s="58" t="str">
        <f>IF($P$1="","",$P$1)</f>
        <v>山田夏寿希</v>
      </c>
      <c r="F8" s="5"/>
      <c r="G8" s="6"/>
      <c r="H8" s="6"/>
      <c r="I8" s="6"/>
      <c r="J8" s="18">
        <f>IF(COUNTA($F8,$K8,$P8,$U8)&gt;0,J7+SUM(G8:I8),"")</f>
        <v>22100</v>
      </c>
      <c r="K8" s="5"/>
      <c r="L8" s="6"/>
      <c r="M8" s="6"/>
      <c r="N8" s="6"/>
      <c r="O8" s="18">
        <f>IF(COUNTA($F8,$K8,$P8,$U8)&gt;0,O7+SUM(L8:N8),"")</f>
        <v>39100</v>
      </c>
      <c r="P8" s="5" t="s">
        <v>170</v>
      </c>
      <c r="Q8" s="6">
        <v>-3900</v>
      </c>
      <c r="R8" s="6"/>
      <c r="S8" s="6">
        <v>0</v>
      </c>
      <c r="T8" s="18">
        <f>IF(COUNTA($F8,$K8,$P8,$U8)&gt;0,T7+SUM(Q8:S8),"")</f>
        <v>24000</v>
      </c>
      <c r="U8" s="5" t="s">
        <v>171</v>
      </c>
      <c r="V8" s="6">
        <v>3900</v>
      </c>
      <c r="W8" s="6"/>
      <c r="X8" s="6">
        <v>0</v>
      </c>
      <c r="Y8" s="18">
        <f>IF(COUNTA($F8,$K8,$P8,$U8)&gt;0,Y7+SUM(V8:X8),"")</f>
        <v>14800</v>
      </c>
      <c r="Z8" s="45">
        <f>IF($J8="","",ROUND(($J8-30000)/1000,1)+(2.5-_xlfn.RANK.AVG($J8,($J8,$O8,$T8,$Y8)))*20+IF(_xlfn.RANK.EQ($J8,($J8,$O8,$T8,$Y8))=1,20/((_xlfn.RANK.AVG($J8,($J8,$O8,$T8,$Y8))-1)*2+1),0))</f>
        <v>-17.899999999999999</v>
      </c>
      <c r="AA8" s="46">
        <f>IF($O8="","",ROUND(($O8-30000)/1000,1)+(2.5-_xlfn.RANK.AVG($O8,($J8,$O8,$T8,$Y8)))*20+IF(_xlfn.RANK.EQ($O8,($J8,$O8,$T8,$Y8))=1,20/((_xlfn.RANK.AVG($O8,($J8,$O8,$T8,$Y8))-1)*2+1),0))</f>
        <v>59.1</v>
      </c>
      <c r="AB8" s="46">
        <f>IF($T8="","",ROUND(($T8-30000)/1000,1)+(2.5-_xlfn.RANK.AVG($T8,($J8,$O8,$T8,$Y8)))*20+IF(_xlfn.RANK.EQ($T8,($J8,$O8,$T8,$Y8))=1,20/((_xlfn.RANK.AVG($T8,($J8,$O8,$T8,$Y8))-1)*2+1),0))</f>
        <v>4</v>
      </c>
      <c r="AC8" s="47">
        <f>IF($Y8="","",ROUND(($Y8-30000)/1000,1)+(2.5-_xlfn.RANK.AVG($Y8,($J8,$O8,$T8,$Y8)))*20+IF(_xlfn.RANK.EQ($Y8,($J8,$O8,$T8,$Y8))=1,20/((_xlfn.RANK.AVG($Y8,($J8,$O8,$T8,$Y8))-1)*2+1),0))</f>
        <v>-45.2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>
        <v>3</v>
      </c>
      <c r="CU8" s="27">
        <v>30</v>
      </c>
      <c r="CV8" s="36" t="s">
        <v>70</v>
      </c>
      <c r="CW8" s="37" t="s">
        <v>169</v>
      </c>
      <c r="CX8" s="37" t="s">
        <v>77</v>
      </c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>IF($E9="","",IF(AND(B8=4,B9=1),_xlfn.SWITCH(A8,"東","南","南","西","西","北","北","東"),A8))</f>
        <v>東</v>
      </c>
      <c r="B9" s="15">
        <f>IF($E9="","",IF($E8=$E9,B8,IF(B8=4,1,B8+1)))</f>
        <v>4</v>
      </c>
      <c r="C9" s="15">
        <f>IF($E9="","",IF($F8="チョンボ",C8,IF(OR($E8=$E9,$F8="流局"),C8+1,0)))</f>
        <v>0</v>
      </c>
      <c r="D9" s="15">
        <f>IF($E9="","",IF(OR($F8="流局",$F8="チョンボ"),D8+($H8+$M8+$R8+$W8)/-1000,0))</f>
        <v>0</v>
      </c>
      <c r="E9" s="58" t="str">
        <f>IF($U$1="","",$U$1)</f>
        <v>清水遙斗</v>
      </c>
      <c r="F9" s="5" t="s">
        <v>178</v>
      </c>
      <c r="G9" s="6"/>
      <c r="H9" s="6"/>
      <c r="I9" s="6"/>
      <c r="J9" s="18">
        <f>IF(COUNTA($F9,$K9,$P9,$U9)&gt;0,J8+SUM(G9:I9),"")</f>
        <v>22100</v>
      </c>
      <c r="K9" s="5" t="s">
        <v>178</v>
      </c>
      <c r="L9" s="6"/>
      <c r="M9" s="6"/>
      <c r="N9" s="6"/>
      <c r="O9" s="18">
        <f>IF(COUNTA($F9,$K9,$P9,$U9)&gt;0,O8+SUM(L9:N9),"")</f>
        <v>39100</v>
      </c>
      <c r="P9" s="5" t="s">
        <v>178</v>
      </c>
      <c r="Q9" s="6">
        <v>-10000</v>
      </c>
      <c r="R9" s="6"/>
      <c r="S9" s="6"/>
      <c r="T9" s="18">
        <f>IF(COUNTA($F9,$K9,$P9,$U9)&gt;0,T8+SUM(Q9:S9),"")</f>
        <v>14000</v>
      </c>
      <c r="U9" s="5" t="s">
        <v>178</v>
      </c>
      <c r="V9" s="6"/>
      <c r="W9" s="6"/>
      <c r="X9" s="6"/>
      <c r="Y9" s="18">
        <f>IF(COUNTA($F9,$K9,$P9,$U9)&gt;0,Y8+SUM(V9:X9),"")</f>
        <v>14800</v>
      </c>
      <c r="Z9" s="45">
        <f>IF($J9="","",ROUND(($J9-30000)/1000,1)+(2.5-_xlfn.RANK.AVG($J9,($J9,$O9,$T9,$Y9)))*20+IF(_xlfn.RANK.EQ($J9,($J9,$O9,$T9,$Y9))=1,20/((_xlfn.RANK.AVG($J9,($J9,$O9,$T9,$Y9))-1)*2+1),0))</f>
        <v>2.0999999999999996</v>
      </c>
      <c r="AA9" s="46">
        <f>IF($O9="","",ROUND(($O9-30000)/1000,1)+(2.5-_xlfn.RANK.AVG($O9,($J9,$O9,$T9,$Y9)))*20+IF(_xlfn.RANK.EQ($O9,($J9,$O9,$T9,$Y9))=1,20/((_xlfn.RANK.AVG($O9,($J9,$O9,$T9,$Y9))-1)*2+1),0))</f>
        <v>59.1</v>
      </c>
      <c r="AB9" s="46">
        <f>IF($T9="","",ROUND(($T9-30000)/1000,1)+(2.5-_xlfn.RANK.AVG($T9,($J9,$O9,$T9,$Y9)))*20+IF(_xlfn.RANK.EQ($T9,($J9,$O9,$T9,$Y9))=1,20/((_xlfn.RANK.AVG($T9,($J9,$O9,$T9,$Y9))-1)*2+1),0))</f>
        <v>-46</v>
      </c>
      <c r="AC9" s="47">
        <f>IF($Y9="","",ROUND(($Y9-30000)/1000,1)+(2.5-_xlfn.RANK.AVG($Y9,($J9,$O9,$T9,$Y9)))*20+IF(_xlfn.RANK.EQ($Y9,($J9,$O9,$T9,$Y9))=1,20/((_xlfn.RANK.AVG($Y9,($J9,$O9,$T9,$Y9))-1)*2+1),0))</f>
        <v>-25.2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>
        <v>1</v>
      </c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>IF($E10="","",IF($E9=$E10,B9,IF(B9=4,1,B9+1)))</f>
        <v>4</v>
      </c>
      <c r="C10" s="15">
        <f>IF($E10="","",IF($F9="チョンボ",C9,IF(OR($E9=$E10,$F9="流局"),C9+1,0)))</f>
        <v>0</v>
      </c>
      <c r="D10" s="15">
        <f>IF($E10="","",IF(OR($F9="流局",$F9="チョンボ"),D9+($H9+$M9+$R9+$W9)/-1000,0))</f>
        <v>0</v>
      </c>
      <c r="E10" s="58" t="str">
        <f>IF($U$1="","",$U$1)</f>
        <v>清水遙斗</v>
      </c>
      <c r="F10" s="5" t="s">
        <v>166</v>
      </c>
      <c r="G10" s="6">
        <v>-500</v>
      </c>
      <c r="H10" s="6"/>
      <c r="I10" s="6">
        <v>0</v>
      </c>
      <c r="J10" s="18">
        <f>IF(COUNTA($F10,$K10,$P10,$U10)&gt;0,J9+SUM(G10:I10),"")</f>
        <v>21600</v>
      </c>
      <c r="K10" s="5" t="s">
        <v>166</v>
      </c>
      <c r="L10" s="6">
        <v>-500</v>
      </c>
      <c r="M10" s="6"/>
      <c r="N10" s="6">
        <v>0</v>
      </c>
      <c r="O10" s="18">
        <f>IF(COUNTA($F10,$K10,$P10,$U10)&gt;0,O9+SUM(L10:N10),"")</f>
        <v>38600</v>
      </c>
      <c r="P10" s="5" t="s">
        <v>165</v>
      </c>
      <c r="Q10" s="6">
        <v>2000</v>
      </c>
      <c r="R10" s="6"/>
      <c r="S10" s="6">
        <v>0</v>
      </c>
      <c r="T10" s="18">
        <f>IF(COUNTA($F10,$K10,$P10,$U10)&gt;0,T9+SUM(Q10:S10),"")</f>
        <v>16000</v>
      </c>
      <c r="U10" s="5" t="s">
        <v>166</v>
      </c>
      <c r="V10" s="6">
        <v>-1000</v>
      </c>
      <c r="W10" s="6"/>
      <c r="X10" s="6">
        <v>0</v>
      </c>
      <c r="Y10" s="18">
        <f>IF(COUNTA($F10,$K10,$P10,$U10)&gt;0,Y9+SUM(V10:X10),"")</f>
        <v>13800</v>
      </c>
      <c r="Z10" s="45">
        <f>IF($J10="","",ROUND(($J10-30000)/1000,1)+(2.5-_xlfn.RANK.AVG($J10,($J10,$O10,$T10,$Y10)))*20+IF(_xlfn.RANK.EQ($J10,($J10,$O10,$T10,$Y10))=1,20/((_xlfn.RANK.AVG($J10,($J10,$O10,$T10,$Y10))-1)*2+1),0))</f>
        <v>1.5999999999999996</v>
      </c>
      <c r="AA10" s="46">
        <f>IF($O10="","",ROUND(($O10-30000)/1000,1)+(2.5-_xlfn.RANK.AVG($O10,($J10,$O10,$T10,$Y10)))*20+IF(_xlfn.RANK.EQ($O10,($J10,$O10,$T10,$Y10))=1,20/((_xlfn.RANK.AVG($O10,($J10,$O10,$T10,$Y10))-1)*2+1),0))</f>
        <v>58.6</v>
      </c>
      <c r="AB10" s="46">
        <f>IF($T10="","",ROUND(($T10-30000)/1000,1)+(2.5-_xlfn.RANK.AVG($T10,($J10,$O10,$T10,$Y10)))*20+IF(_xlfn.RANK.EQ($T10,($J10,$O10,$T10,$Y10))=1,20/((_xlfn.RANK.AVG($T10,($J10,$O10,$T10,$Y10))-1)*2+1),0))</f>
        <v>-24</v>
      </c>
      <c r="AC10" s="47">
        <f>IF($Y10="","",ROUND(($Y10-30000)/1000,1)+(2.5-_xlfn.RANK.AVG($Y10,($J10,$O10,$T10,$Y10)))*20+IF(_xlfn.RANK.EQ($Y10,($J10,$O10,$T10,$Y10))=1,20/((_xlfn.RANK.AVG($Y10,($J10,$O10,$T10,$Y10))-1)*2+1),0))</f>
        <v>-46.2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>
        <v>2</v>
      </c>
      <c r="BZ10" s="27">
        <v>30</v>
      </c>
      <c r="CA10" s="36" t="s">
        <v>70</v>
      </c>
      <c r="CB10" s="37" t="s">
        <v>77</v>
      </c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>IF($E11="","",IF(AND(B10=4,B11=1),_xlfn.SWITCH(A10,"東","南","南","西","西","北","北","東"),A10))</f>
        <v>南</v>
      </c>
      <c r="B11" s="15">
        <f>IF($E11="","",IF($E10=$E11,B10,IF(B10=4,1,B10+1)))</f>
        <v>1</v>
      </c>
      <c r="C11" s="15">
        <f>IF($E11="","",IF($F10="チョンボ",C10,IF(OR($E10=$E11,$F10="流局"),C10+1,0)))</f>
        <v>0</v>
      </c>
      <c r="D11" s="15">
        <f>IF($E11="","",IF(OR($F10="流局",$F10="チョンボ"),D10+($H10+$M10+$R10+$W10)/-1000,0))</f>
        <v>0</v>
      </c>
      <c r="E11" s="58" t="str">
        <f>IF($F$1="","",$F$1)</f>
        <v>笠原誠</v>
      </c>
      <c r="F11" s="5" t="s">
        <v>178</v>
      </c>
      <c r="G11" s="6"/>
      <c r="H11" s="6"/>
      <c r="I11" s="6"/>
      <c r="J11" s="18">
        <f>IF(COUNTA($F11,$K11,$P11,$U11)&gt;0,J10+SUM(G11:I11),"")</f>
        <v>21600</v>
      </c>
      <c r="K11" s="5" t="s">
        <v>178</v>
      </c>
      <c r="L11" s="6"/>
      <c r="M11" s="6">
        <v>0</v>
      </c>
      <c r="N11" s="6"/>
      <c r="O11" s="18">
        <f>IF(COUNTA($F11,$K11,$P11,$U11)&gt;0,O10+SUM(L11:N11),"")</f>
        <v>38600</v>
      </c>
      <c r="P11" s="5" t="s">
        <v>178</v>
      </c>
      <c r="Q11" s="6">
        <v>-10000</v>
      </c>
      <c r="R11" s="6"/>
      <c r="S11" s="6"/>
      <c r="T11" s="18">
        <f>IF(COUNTA($F11,$K11,$P11,$U11)&gt;0,T10+SUM(Q11:S11),"")</f>
        <v>6000</v>
      </c>
      <c r="U11" s="5" t="s">
        <v>178</v>
      </c>
      <c r="V11" s="6"/>
      <c r="W11" s="6"/>
      <c r="X11" s="6"/>
      <c r="Y11" s="18">
        <f>IF(COUNTA($F11,$K11,$P11,$U11)&gt;0,Y10+SUM(V11:X11),"")</f>
        <v>13800</v>
      </c>
      <c r="Z11" s="45">
        <f>IF($J11="","",ROUND(($J11-30000)/1000,1)+(2.5-_xlfn.RANK.AVG($J11,($J11,$O11,$T11,$Y11)))*20+IF(_xlfn.RANK.EQ($J11,($J11,$O11,$T11,$Y11))=1,20/((_xlfn.RANK.AVG($J11,($J11,$O11,$T11,$Y11))-1)*2+1),0))</f>
        <v>1.5999999999999996</v>
      </c>
      <c r="AA11" s="46">
        <f>IF($O11="","",ROUND(($O11-30000)/1000,1)+(2.5-_xlfn.RANK.AVG($O11,($J11,$O11,$T11,$Y11)))*20+IF(_xlfn.RANK.EQ($O11,($J11,$O11,$T11,$Y11))=1,20/((_xlfn.RANK.AVG($O11,($J11,$O11,$T11,$Y11))-1)*2+1),0))</f>
        <v>58.6</v>
      </c>
      <c r="AB11" s="46">
        <f>IF($T11="","",ROUND(($T11-30000)/1000,1)+(2.5-_xlfn.RANK.AVG($T11,($J11,$O11,$T11,$Y11)))*20+IF(_xlfn.RANK.EQ($T11,($J11,$O11,$T11,$Y11))=1,20/((_xlfn.RANK.AVG($T11,($J11,$O11,$T11,$Y11))-1)*2+1),0))</f>
        <v>-54</v>
      </c>
      <c r="AC11" s="47">
        <f>IF($Y11="","",ROUND(($Y11-30000)/1000,1)+(2.5-_xlfn.RANK.AVG($Y11,($J11,$O11,$T11,$Y11)))*20+IF(_xlfn.RANK.EQ($Y11,($J11,$O11,$T11,$Y11))=1,20/((_xlfn.RANK.AVG($Y11,($J11,$O11,$T11,$Y11))-1)*2+1),0))</f>
        <v>-26.2</v>
      </c>
      <c r="AE11" s="5"/>
      <c r="AF11" s="30"/>
      <c r="AG11" s="23">
        <v>1</v>
      </c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>
        <v>1</v>
      </c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>IF($E12="","",IF(AND(B11=4,B12=1),_xlfn.SWITCH(A11,"東","南","南","西","西","北","北","東"),A11))</f>
        <v/>
      </c>
      <c r="B12" s="15" t="str">
        <f>IF($E12="","",IF($E11=$E12,B11,IF(B11=4,1,B11+1)))</f>
        <v/>
      </c>
      <c r="C12" s="15" t="str">
        <f>IF($E12="","",IF($F11="チョンボ",C11,IF(OR($E11=$E12,$F11="流局"),C11+1,0)))</f>
        <v/>
      </c>
      <c r="D12" s="15" t="str">
        <f>IF($E12="","",IF(OR($F11="流局",$F11="チョンボ"),D11+($H11+$M11+$R11+$W11)/-1000,0))</f>
        <v/>
      </c>
      <c r="E12" s="58"/>
      <c r="F12" s="5"/>
      <c r="G12" s="6"/>
      <c r="H12" s="6"/>
      <c r="I12" s="6"/>
      <c r="J12" s="18" t="str">
        <f>IF(COUNTA($F12,$K12,$P12,$U12)&gt;0,J11+SUM(G12:I12),"")</f>
        <v/>
      </c>
      <c r="K12" s="5"/>
      <c r="L12" s="6"/>
      <c r="M12" s="6"/>
      <c r="N12" s="6"/>
      <c r="O12" s="18" t="str">
        <f>IF(COUNTA($F12,$K12,$P12,$U12)&gt;0,O11+SUM(L12:N12),"")</f>
        <v/>
      </c>
      <c r="P12" s="5"/>
      <c r="Q12" s="6"/>
      <c r="R12" s="6"/>
      <c r="S12" s="6"/>
      <c r="T12" s="18" t="str">
        <f>IF(COUNTA($F12,$K12,$P12,$U12)&gt;0,T11+SUM(Q12:S12),"")</f>
        <v/>
      </c>
      <c r="U12" s="5"/>
      <c r="V12" s="6"/>
      <c r="W12" s="6"/>
      <c r="X12" s="6"/>
      <c r="Y12" s="18" t="str">
        <f>IF(COUNTA($F12,$K12,$P12,$U12)&gt;0,Y11+SUM(V12:X12),"")</f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ref="A13:A30" si="9">IF($E13="","",IF(AND(B12=4,B13=1),_xlfn.SWITCH(A12,"東","南","南","西","西","北","北","東"),A12))</f>
        <v/>
      </c>
      <c r="B13" s="15" t="str">
        <f t="shared" ref="B13:B30" si="10">IF($E13="","",IF($E12=$E13,B12,IF(B12=4,1,B12+1)))</f>
        <v/>
      </c>
      <c r="C13" s="15" t="str">
        <f t="shared" ref="C13:C30" si="11">IF($E13="","",IF($F12="チョンボ",C12,IF(OR($E12=$E13,$F12="流局"),C12+1,0)))</f>
        <v/>
      </c>
      <c r="D13" s="15" t="str">
        <f t="shared" ref="D13:D30" si="12">IF($E13="","",IF(OR($F12="流局",$F12="チョンボ"),D12+($H12+$M12+$R12+$W12)/-1000,0))</f>
        <v/>
      </c>
      <c r="E13" s="58"/>
      <c r="F13" s="5"/>
      <c r="G13" s="6"/>
      <c r="H13" s="6"/>
      <c r="I13" s="6"/>
      <c r="J13" s="18" t="str">
        <f t="shared" si="6"/>
        <v/>
      </c>
      <c r="K13" s="5"/>
      <c r="L13" s="6"/>
      <c r="M13" s="6"/>
      <c r="N13" s="6"/>
      <c r="O13" s="18" t="str">
        <f t="shared" ref="O13:O30" si="13">IF(COUNTA($F13,$K13,$P13,$U13)&gt;0,O12+SUM(L13:N13),"")</f>
        <v/>
      </c>
      <c r="P13" s="5"/>
      <c r="Q13" s="6"/>
      <c r="R13" s="6"/>
      <c r="S13" s="6"/>
      <c r="T13" s="18" t="str">
        <f t="shared" si="7"/>
        <v/>
      </c>
      <c r="U13" s="5"/>
      <c r="V13" s="6"/>
      <c r="W13" s="6"/>
      <c r="X13" s="6"/>
      <c r="Y13" s="18" t="str">
        <f t="shared" si="8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10"/>
        <v/>
      </c>
      <c r="C14" s="15" t="str">
        <f t="shared" si="11"/>
        <v/>
      </c>
      <c r="D14" s="15" t="str">
        <f t="shared" si="12"/>
        <v/>
      </c>
      <c r="E14" s="58"/>
      <c r="F14" s="5"/>
      <c r="G14" s="6"/>
      <c r="H14" s="6"/>
      <c r="I14" s="6"/>
      <c r="J14" s="18" t="str">
        <f t="shared" si="6"/>
        <v/>
      </c>
      <c r="K14" s="5"/>
      <c r="L14" s="6"/>
      <c r="M14" s="6"/>
      <c r="N14" s="6"/>
      <c r="O14" s="18" t="str">
        <f t="shared" si="13"/>
        <v/>
      </c>
      <c r="P14" s="5"/>
      <c r="Q14" s="6"/>
      <c r="R14" s="6"/>
      <c r="S14" s="6"/>
      <c r="T14" s="18" t="str">
        <f t="shared" si="7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10"/>
        <v/>
      </c>
      <c r="C15" s="15" t="str">
        <f t="shared" si="11"/>
        <v/>
      </c>
      <c r="D15" s="15" t="str">
        <f t="shared" si="12"/>
        <v/>
      </c>
      <c r="E15" s="58"/>
      <c r="F15" s="5"/>
      <c r="G15" s="6"/>
      <c r="H15" s="6"/>
      <c r="I15" s="6"/>
      <c r="J15" s="18" t="str">
        <f t="shared" si="6"/>
        <v/>
      </c>
      <c r="K15" s="5"/>
      <c r="L15" s="6"/>
      <c r="M15" s="6"/>
      <c r="N15" s="6"/>
      <c r="O15" s="18" t="str">
        <f t="shared" si="13"/>
        <v/>
      </c>
      <c r="P15" s="5"/>
      <c r="Q15" s="6"/>
      <c r="R15" s="6"/>
      <c r="S15" s="6"/>
      <c r="T15" s="18" t="str">
        <f t="shared" si="7"/>
        <v/>
      </c>
      <c r="U15" s="5"/>
      <c r="V15" s="6"/>
      <c r="W15" s="6"/>
      <c r="X15" s="6"/>
      <c r="Y15" s="18" t="str">
        <f t="shared" si="8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10"/>
        <v/>
      </c>
      <c r="C16" s="15" t="str">
        <f t="shared" si="11"/>
        <v/>
      </c>
      <c r="D16" s="15" t="str">
        <f t="shared" si="12"/>
        <v/>
      </c>
      <c r="E16" s="58"/>
      <c r="F16" s="5"/>
      <c r="G16" s="6"/>
      <c r="H16" s="6"/>
      <c r="I16" s="6"/>
      <c r="J16" s="18" t="str">
        <f t="shared" si="6"/>
        <v/>
      </c>
      <c r="K16" s="5"/>
      <c r="L16" s="6"/>
      <c r="M16" s="6"/>
      <c r="N16" s="6"/>
      <c r="O16" s="18" t="str">
        <f t="shared" si="13"/>
        <v/>
      </c>
      <c r="P16" s="5"/>
      <c r="Q16" s="6"/>
      <c r="R16" s="6"/>
      <c r="S16" s="6"/>
      <c r="T16" s="18" t="str">
        <f t="shared" si="7"/>
        <v/>
      </c>
      <c r="U16" s="5"/>
      <c r="V16" s="6"/>
      <c r="W16" s="6"/>
      <c r="X16" s="6"/>
      <c r="Y16" s="18" t="str">
        <f t="shared" si="8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10"/>
        <v/>
      </c>
      <c r="C17" s="15" t="str">
        <f t="shared" si="11"/>
        <v/>
      </c>
      <c r="D17" s="15" t="str">
        <f t="shared" si="12"/>
        <v/>
      </c>
      <c r="E17" s="58"/>
      <c r="F17" s="5"/>
      <c r="G17" s="6"/>
      <c r="H17" s="6"/>
      <c r="I17" s="6"/>
      <c r="J17" s="18" t="str">
        <f t="shared" si="6"/>
        <v/>
      </c>
      <c r="K17" s="5"/>
      <c r="L17" s="6"/>
      <c r="M17" s="6"/>
      <c r="N17" s="6"/>
      <c r="O17" s="18" t="str">
        <f t="shared" si="13"/>
        <v/>
      </c>
      <c r="P17" s="5"/>
      <c r="Q17" s="6"/>
      <c r="R17" s="6"/>
      <c r="S17" s="6"/>
      <c r="T17" s="18" t="str">
        <f t="shared" si="7"/>
        <v/>
      </c>
      <c r="U17" s="5"/>
      <c r="V17" s="6"/>
      <c r="W17" s="6"/>
      <c r="X17" s="6"/>
      <c r="Y17" s="18" t="str">
        <f t="shared" si="8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10"/>
        <v/>
      </c>
      <c r="C18" s="15" t="str">
        <f t="shared" si="11"/>
        <v/>
      </c>
      <c r="D18" s="15" t="str">
        <f t="shared" si="12"/>
        <v/>
      </c>
      <c r="E18" s="58"/>
      <c r="F18" s="5"/>
      <c r="G18" s="6"/>
      <c r="H18" s="6"/>
      <c r="I18" s="6"/>
      <c r="J18" s="18" t="str">
        <f t="shared" si="6"/>
        <v/>
      </c>
      <c r="K18" s="5"/>
      <c r="L18" s="6"/>
      <c r="M18" s="6"/>
      <c r="N18" s="6"/>
      <c r="O18" s="18" t="str">
        <f t="shared" si="13"/>
        <v/>
      </c>
      <c r="P18" s="5"/>
      <c r="Q18" s="6"/>
      <c r="R18" s="6"/>
      <c r="S18" s="6"/>
      <c r="T18" s="18" t="str">
        <f t="shared" si="7"/>
        <v/>
      </c>
      <c r="U18" s="5"/>
      <c r="V18" s="6"/>
      <c r="W18" s="6"/>
      <c r="X18" s="6"/>
      <c r="Y18" s="18" t="str">
        <f t="shared" si="8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10"/>
        <v/>
      </c>
      <c r="C19" s="15" t="str">
        <f t="shared" si="11"/>
        <v/>
      </c>
      <c r="D19" s="15" t="str">
        <f t="shared" si="12"/>
        <v/>
      </c>
      <c r="E19" s="58"/>
      <c r="F19" s="5"/>
      <c r="G19" s="6"/>
      <c r="H19" s="6"/>
      <c r="I19" s="6"/>
      <c r="J19" s="18" t="str">
        <f t="shared" si="6"/>
        <v/>
      </c>
      <c r="K19" s="5"/>
      <c r="L19" s="6"/>
      <c r="M19" s="6"/>
      <c r="N19" s="6"/>
      <c r="O19" s="18" t="str">
        <f t="shared" si="13"/>
        <v/>
      </c>
      <c r="P19" s="5"/>
      <c r="Q19" s="6"/>
      <c r="R19" s="6"/>
      <c r="S19" s="6"/>
      <c r="T19" s="18" t="str">
        <f t="shared" si="7"/>
        <v/>
      </c>
      <c r="U19" s="5"/>
      <c r="V19" s="6"/>
      <c r="W19" s="6"/>
      <c r="X19" s="6"/>
      <c r="Y19" s="18" t="str">
        <f t="shared" si="8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10"/>
        <v/>
      </c>
      <c r="C20" s="15" t="str">
        <f t="shared" si="11"/>
        <v/>
      </c>
      <c r="D20" s="15" t="str">
        <f t="shared" si="12"/>
        <v/>
      </c>
      <c r="E20" s="58"/>
      <c r="F20" s="5"/>
      <c r="G20" s="6"/>
      <c r="H20" s="6"/>
      <c r="I20" s="6"/>
      <c r="J20" s="18" t="str">
        <f t="shared" si="6"/>
        <v/>
      </c>
      <c r="K20" s="5"/>
      <c r="L20" s="6"/>
      <c r="M20" s="6"/>
      <c r="N20" s="6"/>
      <c r="O20" s="18" t="str">
        <f t="shared" si="13"/>
        <v/>
      </c>
      <c r="P20" s="5"/>
      <c r="Q20" s="6"/>
      <c r="R20" s="6"/>
      <c r="S20" s="6"/>
      <c r="T20" s="18" t="str">
        <f t="shared" si="7"/>
        <v/>
      </c>
      <c r="U20" s="5"/>
      <c r="V20" s="6"/>
      <c r="W20" s="6"/>
      <c r="X20" s="6"/>
      <c r="Y20" s="18" t="str">
        <f t="shared" si="8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10"/>
        <v/>
      </c>
      <c r="C21" s="15" t="str">
        <f t="shared" si="11"/>
        <v/>
      </c>
      <c r="D21" s="15" t="str">
        <f t="shared" si="12"/>
        <v/>
      </c>
      <c r="E21" s="58"/>
      <c r="F21" s="5"/>
      <c r="G21" s="6"/>
      <c r="H21" s="6"/>
      <c r="I21" s="6"/>
      <c r="J21" s="18" t="str">
        <f t="shared" si="6"/>
        <v/>
      </c>
      <c r="K21" s="5"/>
      <c r="L21" s="6"/>
      <c r="M21" s="6"/>
      <c r="N21" s="6"/>
      <c r="O21" s="18" t="str">
        <f t="shared" si="13"/>
        <v/>
      </c>
      <c r="P21" s="5"/>
      <c r="Q21" s="6"/>
      <c r="R21" s="6"/>
      <c r="S21" s="6"/>
      <c r="T21" s="18" t="str">
        <f t="shared" si="7"/>
        <v/>
      </c>
      <c r="U21" s="5"/>
      <c r="V21" s="6"/>
      <c r="W21" s="6"/>
      <c r="X21" s="6"/>
      <c r="Y21" s="18" t="str">
        <f t="shared" si="8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10"/>
        <v/>
      </c>
      <c r="C22" s="15" t="str">
        <f t="shared" si="11"/>
        <v/>
      </c>
      <c r="D22" s="15" t="str">
        <f t="shared" si="12"/>
        <v/>
      </c>
      <c r="E22" s="58"/>
      <c r="F22" s="5"/>
      <c r="G22" s="6"/>
      <c r="H22" s="6"/>
      <c r="I22" s="6"/>
      <c r="J22" s="18" t="str">
        <f t="shared" si="6"/>
        <v/>
      </c>
      <c r="K22" s="5"/>
      <c r="L22" s="6"/>
      <c r="M22" s="6"/>
      <c r="N22" s="6"/>
      <c r="O22" s="18" t="str">
        <f t="shared" si="13"/>
        <v/>
      </c>
      <c r="P22" s="5"/>
      <c r="Q22" s="6"/>
      <c r="R22" s="6"/>
      <c r="S22" s="6"/>
      <c r="T22" s="18" t="str">
        <f t="shared" si="7"/>
        <v/>
      </c>
      <c r="U22" s="5"/>
      <c r="V22" s="6"/>
      <c r="W22" s="6"/>
      <c r="X22" s="6"/>
      <c r="Y22" s="18" t="str">
        <f t="shared" si="8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10"/>
        <v/>
      </c>
      <c r="C23" s="15" t="str">
        <f t="shared" si="11"/>
        <v/>
      </c>
      <c r="D23" s="15" t="str">
        <f t="shared" si="12"/>
        <v/>
      </c>
      <c r="E23" s="58"/>
      <c r="F23" s="5"/>
      <c r="G23" s="6"/>
      <c r="H23" s="6"/>
      <c r="I23" s="6"/>
      <c r="J23" s="18" t="str">
        <f t="shared" si="6"/>
        <v/>
      </c>
      <c r="K23" s="5"/>
      <c r="L23" s="6"/>
      <c r="M23" s="6"/>
      <c r="N23" s="6"/>
      <c r="O23" s="18" t="str">
        <f t="shared" si="13"/>
        <v/>
      </c>
      <c r="P23" s="5"/>
      <c r="Q23" s="6"/>
      <c r="R23" s="6"/>
      <c r="S23" s="6"/>
      <c r="T23" s="18" t="str">
        <f t="shared" si="7"/>
        <v/>
      </c>
      <c r="U23" s="5"/>
      <c r="V23" s="6"/>
      <c r="W23" s="6"/>
      <c r="X23" s="6"/>
      <c r="Y23" s="18" t="str">
        <f t="shared" si="8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10"/>
        <v/>
      </c>
      <c r="C24" s="15" t="str">
        <f t="shared" si="11"/>
        <v/>
      </c>
      <c r="D24" s="15" t="str">
        <f t="shared" si="12"/>
        <v/>
      </c>
      <c r="E24" s="58"/>
      <c r="F24" s="5"/>
      <c r="G24" s="6"/>
      <c r="H24" s="6"/>
      <c r="I24" s="6"/>
      <c r="J24" s="18" t="str">
        <f t="shared" si="6"/>
        <v/>
      </c>
      <c r="K24" s="5"/>
      <c r="L24" s="6"/>
      <c r="M24" s="6"/>
      <c r="N24" s="6"/>
      <c r="O24" s="18" t="str">
        <f t="shared" si="13"/>
        <v/>
      </c>
      <c r="P24" s="5"/>
      <c r="Q24" s="6"/>
      <c r="R24" s="6"/>
      <c r="S24" s="6"/>
      <c r="T24" s="18" t="str">
        <f t="shared" si="7"/>
        <v/>
      </c>
      <c r="U24" s="5"/>
      <c r="V24" s="6"/>
      <c r="W24" s="6"/>
      <c r="X24" s="6"/>
      <c r="Y24" s="18" t="str">
        <f t="shared" si="8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10"/>
        <v/>
      </c>
      <c r="C25" s="15" t="str">
        <f t="shared" si="11"/>
        <v/>
      </c>
      <c r="D25" s="15" t="str">
        <f t="shared" si="12"/>
        <v/>
      </c>
      <c r="E25" s="58"/>
      <c r="F25" s="5"/>
      <c r="G25" s="6"/>
      <c r="H25" s="6"/>
      <c r="I25" s="6"/>
      <c r="J25" s="18" t="str">
        <f t="shared" si="6"/>
        <v/>
      </c>
      <c r="K25" s="5"/>
      <c r="L25" s="6"/>
      <c r="M25" s="6"/>
      <c r="N25" s="6"/>
      <c r="O25" s="18" t="str">
        <f t="shared" si="13"/>
        <v/>
      </c>
      <c r="P25" s="5"/>
      <c r="Q25" s="6"/>
      <c r="R25" s="6"/>
      <c r="S25" s="6"/>
      <c r="T25" s="18" t="str">
        <f t="shared" si="7"/>
        <v/>
      </c>
      <c r="U25" s="5"/>
      <c r="V25" s="6"/>
      <c r="W25" s="6"/>
      <c r="X25" s="6"/>
      <c r="Y25" s="18" t="str">
        <f t="shared" si="8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10"/>
        <v/>
      </c>
      <c r="C26" s="15" t="str">
        <f t="shared" si="11"/>
        <v/>
      </c>
      <c r="D26" s="15" t="str">
        <f t="shared" si="12"/>
        <v/>
      </c>
      <c r="E26" s="58"/>
      <c r="F26" s="5"/>
      <c r="G26" s="6"/>
      <c r="H26" s="6"/>
      <c r="I26" s="6"/>
      <c r="J26" s="18" t="str">
        <f t="shared" si="6"/>
        <v/>
      </c>
      <c r="K26" s="5"/>
      <c r="L26" s="6"/>
      <c r="M26" s="6"/>
      <c r="N26" s="6"/>
      <c r="O26" s="18" t="str">
        <f t="shared" si="13"/>
        <v/>
      </c>
      <c r="P26" s="5"/>
      <c r="Q26" s="6"/>
      <c r="R26" s="6"/>
      <c r="S26" s="6"/>
      <c r="T26" s="18" t="str">
        <f t="shared" si="7"/>
        <v/>
      </c>
      <c r="U26" s="5"/>
      <c r="V26" s="6"/>
      <c r="W26" s="6"/>
      <c r="X26" s="6"/>
      <c r="Y26" s="18" t="str">
        <f t="shared" si="8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10"/>
        <v/>
      </c>
      <c r="C27" s="15" t="str">
        <f t="shared" si="11"/>
        <v/>
      </c>
      <c r="D27" s="15" t="str">
        <f t="shared" si="12"/>
        <v/>
      </c>
      <c r="E27" s="58"/>
      <c r="F27" s="5"/>
      <c r="G27" s="6"/>
      <c r="H27" s="6"/>
      <c r="I27" s="6"/>
      <c r="J27" s="18" t="str">
        <f t="shared" si="6"/>
        <v/>
      </c>
      <c r="K27" s="5"/>
      <c r="L27" s="6"/>
      <c r="M27" s="6"/>
      <c r="N27" s="6"/>
      <c r="O27" s="18" t="str">
        <f t="shared" si="13"/>
        <v/>
      </c>
      <c r="P27" s="5"/>
      <c r="Q27" s="6"/>
      <c r="R27" s="6"/>
      <c r="S27" s="6"/>
      <c r="T27" s="18" t="str">
        <f t="shared" si="7"/>
        <v/>
      </c>
      <c r="U27" s="5"/>
      <c r="V27" s="6"/>
      <c r="W27" s="6"/>
      <c r="X27" s="6"/>
      <c r="Y27" s="18" t="str">
        <f t="shared" si="8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10"/>
        <v/>
      </c>
      <c r="C28" s="15" t="str">
        <f t="shared" si="11"/>
        <v/>
      </c>
      <c r="D28" s="15" t="str">
        <f t="shared" si="12"/>
        <v/>
      </c>
      <c r="E28" s="58"/>
      <c r="F28" s="5"/>
      <c r="G28" s="6"/>
      <c r="H28" s="6"/>
      <c r="I28" s="6"/>
      <c r="J28" s="18" t="str">
        <f t="shared" si="6"/>
        <v/>
      </c>
      <c r="K28" s="5"/>
      <c r="L28" s="6"/>
      <c r="M28" s="6"/>
      <c r="N28" s="6"/>
      <c r="O28" s="18" t="str">
        <f t="shared" si="13"/>
        <v/>
      </c>
      <c r="P28" s="5"/>
      <c r="Q28" s="6"/>
      <c r="R28" s="6"/>
      <c r="S28" s="6"/>
      <c r="T28" s="18" t="str">
        <f t="shared" si="7"/>
        <v/>
      </c>
      <c r="U28" s="5"/>
      <c r="V28" s="6"/>
      <c r="W28" s="6"/>
      <c r="X28" s="6"/>
      <c r="Y28" s="18" t="str">
        <f t="shared" si="8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10"/>
        <v/>
      </c>
      <c r="C29" s="15" t="str">
        <f t="shared" si="11"/>
        <v/>
      </c>
      <c r="D29" s="15" t="str">
        <f t="shared" si="12"/>
        <v/>
      </c>
      <c r="E29" s="58"/>
      <c r="F29" s="5"/>
      <c r="G29" s="6"/>
      <c r="H29" s="6"/>
      <c r="I29" s="6"/>
      <c r="J29" s="18" t="str">
        <f t="shared" si="6"/>
        <v/>
      </c>
      <c r="K29" s="5"/>
      <c r="L29" s="6"/>
      <c r="M29" s="6"/>
      <c r="N29" s="6"/>
      <c r="O29" s="18" t="str">
        <f t="shared" si="13"/>
        <v/>
      </c>
      <c r="P29" s="5"/>
      <c r="Q29" s="6"/>
      <c r="R29" s="6"/>
      <c r="S29" s="6"/>
      <c r="T29" s="18" t="str">
        <f t="shared" si="7"/>
        <v/>
      </c>
      <c r="U29" s="5"/>
      <c r="V29" s="6"/>
      <c r="W29" s="6"/>
      <c r="X29" s="6"/>
      <c r="Y29" s="18" t="str">
        <f t="shared" si="8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10"/>
        <v/>
      </c>
      <c r="C30" s="16" t="str">
        <f t="shared" si="11"/>
        <v/>
      </c>
      <c r="D30" s="16" t="str">
        <f t="shared" si="12"/>
        <v/>
      </c>
      <c r="E30" s="59"/>
      <c r="F30" s="7"/>
      <c r="G30" s="8"/>
      <c r="H30" s="8"/>
      <c r="I30" s="8"/>
      <c r="J30" s="19" t="str">
        <f t="shared" si="6"/>
        <v/>
      </c>
      <c r="K30" s="7"/>
      <c r="L30" s="8"/>
      <c r="M30" s="8"/>
      <c r="N30" s="8"/>
      <c r="O30" s="19" t="str">
        <f t="shared" si="13"/>
        <v/>
      </c>
      <c r="P30" s="7"/>
      <c r="Q30" s="8"/>
      <c r="R30" s="8"/>
      <c r="S30" s="8"/>
      <c r="T30" s="19" t="str">
        <f t="shared" si="7"/>
        <v/>
      </c>
      <c r="U30" s="7"/>
      <c r="V30" s="8"/>
      <c r="W30" s="8"/>
      <c r="X30" s="8"/>
      <c r="Y30" s="19" t="str">
        <f t="shared" si="8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0BF07043-92EA-4C7B-A404-3D7C4F7352B5}">
      <formula1>"ロン,ツモ,放銃,ツモ支払,流局,チョンボ"</formula1>
    </dataValidation>
    <dataValidation type="list" allowBlank="1" showInputMessage="1" showErrorMessage="1" sqref="E4:E30" xr:uid="{4BC69E73-C431-4624-BFB3-1BC26173A5DB}">
      <formula1>$Z$2:$AC$2</formula1>
    </dataValidation>
    <dataValidation type="list" allowBlank="1" showInputMessage="1" sqref="F1:Y1" xr:uid="{9F11A00A-EB80-48FE-98DC-640132DCD54A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2025-07-11T08:46:52Z</dcterms:modified>
</cp:coreProperties>
</file>