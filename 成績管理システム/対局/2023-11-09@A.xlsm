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52457F2E-77C0-41B0-9644-62713D300156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D12" i="28"/>
  <c r="C12" i="28"/>
  <c r="B12" i="28"/>
  <c r="A12" i="28"/>
  <c r="D11" i="28"/>
  <c r="D10" i="28"/>
  <c r="D9" i="28"/>
  <c r="T5" i="28"/>
  <c r="T6" i="28" s="1"/>
  <c r="D5" i="28"/>
  <c r="Y4" i="28"/>
  <c r="Y5" i="28" s="1"/>
  <c r="T4" i="28"/>
  <c r="O4" i="28"/>
  <c r="O5" i="28" s="1"/>
  <c r="J4" i="28"/>
  <c r="J5" i="28" s="1"/>
  <c r="E4" i="28"/>
  <c r="B5" i="28" s="1"/>
  <c r="A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Z12" i="28" l="1"/>
  <c r="AB12" i="28"/>
  <c r="AA12" i="28"/>
  <c r="AC12" i="28"/>
  <c r="AB4" i="28"/>
  <c r="AC4" i="28"/>
  <c r="Y6" i="28"/>
  <c r="AC5" i="28"/>
  <c r="T7" i="28"/>
  <c r="B6" i="28"/>
  <c r="A6" i="28" s="1"/>
  <c r="C9" i="28"/>
  <c r="C10" i="28" s="1"/>
  <c r="J6" i="28"/>
  <c r="Z5" i="28"/>
  <c r="O6" i="28"/>
  <c r="AA5" i="28"/>
  <c r="C7" i="28"/>
  <c r="C8" i="28" s="1"/>
  <c r="D6" i="28"/>
  <c r="D7" i="28" s="1"/>
  <c r="C11" i="28"/>
  <c r="C5" i="28"/>
  <c r="C6" i="28" s="1"/>
  <c r="D8" i="28"/>
  <c r="AB5" i="28"/>
  <c r="Z4" i="28"/>
  <c r="AA4" i="28"/>
  <c r="E4" i="27"/>
  <c r="AB6" i="28" l="1"/>
  <c r="B7" i="28"/>
  <c r="T8" i="28"/>
  <c r="Y7" i="28"/>
  <c r="AC6" i="28"/>
  <c r="AA6" i="28"/>
  <c r="O7" i="28"/>
  <c r="Z6" i="28"/>
  <c r="J7" i="28"/>
  <c r="O5" i="27"/>
  <c r="AC3" i="27"/>
  <c r="AA3" i="27"/>
  <c r="AB3" i="27"/>
  <c r="Z3" i="27"/>
  <c r="O8" i="28" l="1"/>
  <c r="AA7" i="28"/>
  <c r="AC7" i="28"/>
  <c r="Y8" i="28"/>
  <c r="AB7" i="28"/>
  <c r="T9" i="28"/>
  <c r="AB8" i="28"/>
  <c r="J8" i="28"/>
  <c r="Z7" i="28"/>
  <c r="B8" i="28"/>
  <c r="A7" i="28"/>
  <c r="CP1" i="27"/>
  <c r="AC2" i="27"/>
  <c r="BU1" i="27"/>
  <c r="AB2" i="27"/>
  <c r="AZ1" i="27"/>
  <c r="AA2" i="27"/>
  <c r="AE1" i="27"/>
  <c r="Z2" i="27"/>
  <c r="T10" i="28" l="1"/>
  <c r="Y9" i="28"/>
  <c r="AC8" i="28"/>
  <c r="B9" i="28"/>
  <c r="A9" i="28" s="1"/>
  <c r="J9" i="28"/>
  <c r="Z8" i="28"/>
  <c r="A8" i="28"/>
  <c r="AA8" i="28"/>
  <c r="O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0" i="28" l="1"/>
  <c r="A10" i="28" s="1"/>
  <c r="AA9" i="28"/>
  <c r="O10" i="28"/>
  <c r="Y10" i="28"/>
  <c r="AC9" i="28"/>
  <c r="T11" i="28"/>
  <c r="AB10" i="28"/>
  <c r="J10" i="28"/>
  <c r="Z9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11" i="28" l="1"/>
  <c r="AC10" i="28"/>
  <c r="B11" i="28"/>
  <c r="A11" i="28" s="1"/>
  <c r="O11" i="28"/>
  <c r="AA10" i="28"/>
  <c r="J11" i="28"/>
  <c r="Z10" i="28"/>
  <c r="Z5" i="27"/>
  <c r="AB5" i="27"/>
  <c r="AA5" i="27"/>
  <c r="AC5" i="27"/>
  <c r="Y7" i="27"/>
  <c r="O8" i="27"/>
  <c r="T6" i="27"/>
  <c r="Z11" i="28" l="1"/>
  <c r="AA11" i="28"/>
  <c r="AC11" i="28"/>
  <c r="AB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<sst xmlns="http://schemas.openxmlformats.org/spreadsheetml/2006/main" count="697" uniqueCount="178">
  <si>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</si>
  <si>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</si>
  <si>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</si>
  <si>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</si>
  <si>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</si>
  <si>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</si>
  <si>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</si>
  <si>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</si>
  <si>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</si>
  <si>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</si>
  <si>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</si>
  <si>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</si>
  <si>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</si>
  <si>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</si>
  <si>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</si>
  <si>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</si>
  <si>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</si>
  <si>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</si>
  <si>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</si>
  <si>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</si>
  <si>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</si>
  <si>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</si>
  <si>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</si>
  <si>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</si>
  <si>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</si>
  <si>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</si>
  <si>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</si>
  <si>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</si>
  <si>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</si>
  <si>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</si>
  <si>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</si>
  <si>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</si>
  <si>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</si>
  <si>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</si>
  <si>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</si>
  <si>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</si>
  <si>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</si>
  <si>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</si>
  <si>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</si>
  <si>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</si>
  <si>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</si>
  <si>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</si>
  <si>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</si>
  <si>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</si>
  <si>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</si>
  <si>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</si>
  <si>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</si>
  <si>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</si>
  <si>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</si>
  <si>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</si>
  <si>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</si>
  <si>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</si>
  <si>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</si>
  <si>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</si>
  <si>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</si>
  <si>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</si>
  <si>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</si>
  <si>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</si>
  <si>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</si>
  <si>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</si>
  <si>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</si>
  <si>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</si>
  <si>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</si>
  <si>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</si>
  <si>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</si>
  <si>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</si>
  <si>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</si>
  <si>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</si>
  <si>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</si>
  <si>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</si>
  <si>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</si>
  <si>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</si>
  <si>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</si>
  <si>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</si>
  <si>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</si>
  <si>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</si>
  <si>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</si>
  <si>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</si>
  <si>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</si>
  <si>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</si>
  <si>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</si>
  <si>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</si>
  <si>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</si>
  <si>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</si>
  <si>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</si>
  <si>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</si>
  <si>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</si>
  <si>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</si>
  <si>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</si>
  <si>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</si>
  <si>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</si>
  <si>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</si>
  <si>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</si>
  <si>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</si>
  <si>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</si>
  <si>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</si>
  <si>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</si>
  <si>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</si>
  <si>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</si>
  <si>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</si>
  <si>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</si>
  <si>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</si>
  <si>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</si>
  <si>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</si>
  <si>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</si>
  <si>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</si>
  <si>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</si>
  <si>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</si>
  <si>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</si>
  <si>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</si>
  <si>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</si>
  <si>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</si>
  <si>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</si>
  <si>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</si>
  <si>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</si>
  <si>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</si>
  <si>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</si>
  <si>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</si>
  <si>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</si>
  <si>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</si>
  <si>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</si>
  <si>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</si>
  <si>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</si>
  <si>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</si>
  <si>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</si>
  <si>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</si>
  <si>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</si>
  <si>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</si>
  <si>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</si>
  <si>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</si>
  <si>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</si>
  <si>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</si>
  <si>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</si>
  <si>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</si>
  <si>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</si>
  <si>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</si>
  <si>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</si>
  <si>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</si>
  <si>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</si>
  <si>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</si>
  <si>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</si>
  <si>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</si>
  <si>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</si>
  <si>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</si>
  <si>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</si>
  <si>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</si>
  <si>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</si>
  <si>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</si>
  <si>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</si>
  <si>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</si>
  <si>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</si>
  <si>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</si>
  <si>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</si>
  <si>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</si>
  <si>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</si>
  <si>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</si>
  <si>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</si>
  <si>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</si>
  <si>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</si>
  <si>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</si>
  <si>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</si>
  <si>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渡部陵瑛</t>
  </si>
  <si>
    <t>小林圭太</t>
  </si>
  <si>
    <t>井澤軌人</t>
  </si>
  <si>
    <t>佐藤成浩</t>
  </si>
  <si>
    <t>中村季暉</t>
  </si>
  <si>
    <t>ツモ</t>
  </si>
  <si>
    <t>ツモ支払</t>
  </si>
  <si>
    <t>*</t>
  </si>
  <si>
    <t>01</t>
  </si>
  <si>
    <t>ロン</t>
  </si>
  <si>
    <t>放銃</t>
  </si>
  <si>
    <t>52</t>
  </si>
  <si>
    <t>T</t>
  </si>
  <si>
    <t>N</t>
  </si>
  <si>
    <t>流局</t>
    <phoneticPr fontId="1"/>
  </si>
  <si>
    <t>吉澤諒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</si>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</sst>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渡部陵瑛</v>
      </c>
      <c r="AF1" s="70" t="str">
        <f t="shared" ref="AF1:AY1" si="0">$F$1</f>
        <v>渡部陵瑛</v>
      </c>
      <c r="AG1" s="61" t="str">
        <f t="shared" si="0"/>
        <v>渡部陵瑛</v>
      </c>
      <c r="AH1" s="61" t="str">
        <f t="shared" si="0"/>
        <v>渡部陵瑛</v>
      </c>
      <c r="AI1" s="61" t="str">
        <f t="shared" si="0"/>
        <v>渡部陵瑛</v>
      </c>
      <c r="AJ1" s="61" t="str">
        <f t="shared" si="0"/>
        <v>渡部陵瑛</v>
      </c>
      <c r="AK1" s="61" t="str">
        <f t="shared" si="0"/>
        <v>渡部陵瑛</v>
      </c>
      <c r="AL1" s="61" t="str">
        <f t="shared" si="0"/>
        <v>渡部陵瑛</v>
      </c>
      <c r="AM1" s="61" t="str">
        <f t="shared" si="0"/>
        <v>渡部陵瑛</v>
      </c>
      <c r="AN1" s="61" t="str">
        <f t="shared" si="0"/>
        <v>渡部陵瑛</v>
      </c>
      <c r="AO1" s="61" t="str">
        <f t="shared" si="0"/>
        <v>渡部陵瑛</v>
      </c>
      <c r="AP1" s="61" t="str">
        <f t="shared" si="0"/>
        <v>渡部陵瑛</v>
      </c>
      <c r="AQ1" s="61" t="str">
        <f t="shared" si="0"/>
        <v>渡部陵瑛</v>
      </c>
      <c r="AR1" s="61" t="str">
        <f t="shared" si="0"/>
        <v>渡部陵瑛</v>
      </c>
      <c r="AS1" s="61" t="str">
        <f t="shared" si="0"/>
        <v>渡部陵瑛</v>
      </c>
      <c r="AT1" s="61" t="str">
        <f t="shared" si="0"/>
        <v>渡部陵瑛</v>
      </c>
      <c r="AU1" s="61" t="str">
        <f t="shared" si="0"/>
        <v>渡部陵瑛</v>
      </c>
      <c r="AV1" s="61" t="str">
        <f t="shared" si="0"/>
        <v>渡部陵瑛</v>
      </c>
      <c r="AW1" s="61" t="str">
        <f t="shared" si="0"/>
        <v>渡部陵瑛</v>
      </c>
      <c r="AX1" s="61" t="str">
        <f t="shared" si="0"/>
        <v>渡部陵瑛</v>
      </c>
      <c r="AY1" s="63" t="str">
        <f t="shared" si="0"/>
        <v>渡部陵瑛</v>
      </c>
      <c r="AZ1" s="60" t="str">
        <f>IF($K$1="","",$K$1)</f>
        <v>小林圭太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井澤軌人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渡部陵瑛</v>
      </c>
      <c r="AA2" s="56" t="str">
        <f>IF($K$1="","",$K$1)</f>
        <v>小林圭太</v>
      </c>
      <c r="AB2" s="56" t="str">
        <f>IF($P$1="","",$P$1)</f>
        <v>井澤軌人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渡部陵瑛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167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167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167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168</v>
      </c>
      <c r="AK4" s="36" t="s">
        <v>169</v>
      </c>
      <c r="AL4" s="37" t="s">
        <v>73</v>
      </c>
      <c r="AM4" s="37" t="s">
        <v>74</v>
      </c>
      <c r="AN4" s="37" t="s">
        <v>75</v>
      </c>
      <c r="AO4" s="37" t="s">
        <v>70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渡部陵瑛</v>
      </c>
      <c r="F5" s="5" t="s">
        <v>170</v>
      </c>
      <c r="G5" s="6">
        <v>5800</v>
      </c>
      <c r="H5" s="6"/>
      <c r="I5" s="6">
        <v>300</v>
      </c>
      <c r="J5" s="18">
        <f t="shared" ref="J5:J30" si="2">IF(COUNTA($F5,$K5,$P5,$U5)&gt;0,J4+SUM(G5:I5),"")</f>
        <v>43100</v>
      </c>
      <c r="K5" s="5" t="s">
        <v>171</v>
      </c>
      <c r="L5" s="6">
        <v>-5800</v>
      </c>
      <c r="M5" s="6"/>
      <c r="N5" s="6">
        <v>-300</v>
      </c>
      <c r="O5" s="18">
        <f>IF(COUNTA($F5,$K5,$P5,$U5)&gt;0,O4+SUM(L5:N5),"")</f>
        <v>14900</v>
      </c>
      <c r="P5" s="5"/>
      <c r="Q5" s="6"/>
      <c r="R5" s="6"/>
      <c r="S5" s="6"/>
      <c r="T5" s="18">
        <f t="shared" ref="T5:T30" si="3">IF(COUNTA($F5,$K5,$P5,$U5)&gt;0,T4+SUM(Q5:S5),"")</f>
        <v>21000</v>
      </c>
      <c r="U5" s="5"/>
      <c r="V5" s="6"/>
      <c r="W5" s="6"/>
      <c r="X5" s="6"/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63.1</v>
      </c>
      <c r="AA5" s="46">
        <f>IF($O5="","",ROUND(($O5-30000)/1000,1)+(2.5-_xlfn.RANK.AVG($O5,($J5,$O5,$T5,$Y5)))*20+IF(_xlfn.RANK.EQ($O5,($J5,$O5,$T5,$Y5))=1,20/((_xlfn.RANK.AVG($O5,($J5,$O5,$T5,$Y5))-1)*2+1),0))</f>
        <v>-45.1</v>
      </c>
      <c r="AB5" s="46">
        <f>IF($T5="","",ROUND(($T5-30000)/1000,1)+(2.5-_xlfn.RANK.AVG($T5,($J5,$O5,$T5,$Y5)))*20+IF(_xlfn.RANK.EQ($T5,($J5,$O5,$T5,$Y5))=1,20/((_xlfn.RANK.AVG($T5,($J5,$O5,$T5,$Y5))-1)*2+1),0))</f>
        <v>-9</v>
      </c>
      <c r="AC5" s="47">
        <f>IF($Y5="","",ROUND(($Y5-30000)/1000,1)+(2.5-_xlfn.RANK.AVG($Y5,($J5,$O5,$T5,$Y5)))*20+IF(_xlfn.RANK.EQ($Y5,($J5,$O5,$T5,$Y5))=1,20/((_xlfn.RANK.AVG($Y5,($J5,$O5,$T5,$Y5))-1)*2+1),0))</f>
        <v>-9</v>
      </c>
      <c r="AE5" s="5"/>
      <c r="AF5" s="30"/>
      <c r="AG5" s="23"/>
      <c r="AH5" s="23">
        <v>1</v>
      </c>
      <c r="AI5" s="23">
        <v>3</v>
      </c>
      <c r="AJ5" s="27">
        <v>30</v>
      </c>
      <c r="AK5" s="36" t="s">
        <v>77</v>
      </c>
      <c r="AL5" s="37" t="s">
        <v>77</v>
      </c>
      <c r="AM5" s="37" t="s">
        <v>172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渡部陵瑛</v>
      </c>
      <c r="F6" s="5" t="s">
        <v>175</v>
      </c>
      <c r="G6" s="6">
        <v>1500</v>
      </c>
      <c r="H6" s="6">
        <v>-1000</v>
      </c>
      <c r="I6" s="6"/>
      <c r="J6" s="18">
        <f t="shared" si="2"/>
        <v>43600</v>
      </c>
      <c r="K6" s="5" t="s">
        <v>175</v>
      </c>
      <c r="L6" s="6">
        <v>-1500</v>
      </c>
      <c r="M6" s="6"/>
      <c r="N6" s="6"/>
      <c r="O6" s="18">
        <f t="shared" ref="O6:O30" si="8">IF(COUNTA($F6,$K6,$P6,$U6)&gt;0,O5+SUM(L6:N6),"")</f>
        <v>13400</v>
      </c>
      <c r="P6" s="5" t="s">
        <v>175</v>
      </c>
      <c r="Q6" s="6">
        <v>-1500</v>
      </c>
      <c r="R6" s="6"/>
      <c r="S6" s="6"/>
      <c r="T6" s="18">
        <f t="shared" si="3"/>
        <v>19500</v>
      </c>
      <c r="U6" s="5" t="s">
        <v>175</v>
      </c>
      <c r="V6" s="6">
        <v>1500</v>
      </c>
      <c r="W6" s="6">
        <v>-1000</v>
      </c>
      <c r="X6" s="6"/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63.6</v>
      </c>
      <c r="AA6" s="46">
        <f>IF($O6="","",ROUND(($O6-30000)/1000,1)+(2.5-_xlfn.RANK.AVG($O6,($J6,$O6,$T6,$Y6)))*20+IF(_xlfn.RANK.EQ($O6,($J6,$O6,$T6,$Y6))=1,20/((_xlfn.RANK.AVG($O6,($J6,$O6,$T6,$Y6))-1)*2+1),0))</f>
        <v>-46.6</v>
      </c>
      <c r="AB6" s="46">
        <f>IF($T6="","",ROUND(($T6-30000)/1000,1)+(2.5-_xlfn.RANK.AVG($T6,($J6,$O6,$T6,$Y6)))*20+IF(_xlfn.RANK.EQ($T6,($J6,$O6,$T6,$Y6))=1,20/((_xlfn.RANK.AVG($T6,($J6,$O6,$T6,$Y6))-1)*2+1),0))</f>
        <v>-20.5</v>
      </c>
      <c r="AC6" s="47">
        <f>IF($Y6="","",ROUND(($Y6-30000)/1000,1)+(2.5-_xlfn.RANK.AVG($Y6,($J6,$O6,$T6,$Y6)))*20+IF(_xlfn.RANK.EQ($Y6,($J6,$O6,$T6,$Y6))=1,20/((_xlfn.RANK.AVG($Y6,($J6,$O6,$T6,$Y6))-1)*2+1),0))</f>
        <v>1.5</v>
      </c>
      <c r="AE6" s="5" t="s">
        <v>173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174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174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2</v>
      </c>
      <c r="E7" s="58" t="str">
        <f>IF($F$1="","",$F$1)</f>
        <v>渡部陵瑛</v>
      </c>
      <c r="F7" s="5" t="s">
        <v>170</v>
      </c>
      <c r="G7" s="6">
        <v>2900</v>
      </c>
      <c r="H7" s="6">
        <v>3000</v>
      </c>
      <c r="I7" s="6">
        <v>900</v>
      </c>
      <c r="J7" s="18">
        <f t="shared" si="2"/>
        <v>50400</v>
      </c>
      <c r="K7" s="5" t="s">
        <v>171</v>
      </c>
      <c r="L7" s="6">
        <v>-2900</v>
      </c>
      <c r="M7" s="6"/>
      <c r="N7" s="6">
        <v>-900</v>
      </c>
      <c r="O7" s="18">
        <f t="shared" si="8"/>
        <v>9600</v>
      </c>
      <c r="P7" s="5"/>
      <c r="Q7" s="6"/>
      <c r="R7" s="6"/>
      <c r="S7" s="6"/>
      <c r="T7" s="18">
        <f t="shared" si="3"/>
        <v>19500</v>
      </c>
      <c r="U7" s="5"/>
      <c r="V7" s="6"/>
      <c r="W7" s="6">
        <v>-1000</v>
      </c>
      <c r="X7" s="6"/>
      <c r="Y7" s="18">
        <f t="shared" si="4"/>
        <v>20500</v>
      </c>
      <c r="Z7" s="45">
        <f>IF($J7="","",ROUND(($J7-30000)/1000,1)+(2.5-_xlfn.RANK.AVG($J7,($J7,$O7,$T7,$Y7)))*20+IF(_xlfn.RANK.EQ($J7,($J7,$O7,$T7,$Y7))=1,20/((_xlfn.RANK.AVG($J7,($J7,$O7,$T7,$Y7))-1)*2+1),0))</f>
        <v>70.400000000000006</v>
      </c>
      <c r="AA7" s="46">
        <f>IF($O7="","",ROUND(($O7-30000)/1000,1)+(2.5-_xlfn.RANK.AVG($O7,($J7,$O7,$T7,$Y7)))*20+IF(_xlfn.RANK.EQ($O7,($J7,$O7,$T7,$Y7))=1,20/((_xlfn.RANK.AVG($O7,($J7,$O7,$T7,$Y7))-1)*2+1),0))</f>
        <v>-50.4</v>
      </c>
      <c r="AB7" s="46">
        <f>IF($T7="","",ROUND(($T7-30000)/1000,1)+(2.5-_xlfn.RANK.AVG($T7,($J7,$O7,$T7,$Y7)))*20+IF(_xlfn.RANK.EQ($T7,($J7,$O7,$T7,$Y7))=1,20/((_xlfn.RANK.AVG($T7,($J7,$O7,$T7,$Y7))-1)*2+1),0))</f>
        <v>-20.5</v>
      </c>
      <c r="AC7" s="47">
        <f>IF($Y7="","",ROUND(($Y7-30000)/1000,1)+(2.5-_xlfn.RANK.AVG($Y7,($J7,$O7,$T7,$Y7)))*20+IF(_xlfn.RANK.EQ($Y7,($J7,$O7,$T7,$Y7))=1,20/((_xlfn.RANK.AVG($Y7,($J7,$O7,$T7,$Y7))-1)*2+1),0))</f>
        <v>0.5</v>
      </c>
      <c r="AE7" s="5"/>
      <c r="AF7" s="30"/>
      <c r="AG7" s="23">
        <v>1</v>
      </c>
      <c r="AH7" s="23"/>
      <c r="AI7" s="23">
        <v>2</v>
      </c>
      <c r="AJ7" s="27">
        <v>30</v>
      </c>
      <c r="AK7" s="36" t="s">
        <v>169</v>
      </c>
      <c r="AL7" s="37" t="s">
        <v>74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1</v>
      </c>
      <c r="C8" s="15">
        <f t="shared" si="6"/>
        <v>4</v>
      </c>
      <c r="D8" s="15">
        <f>IF($E8="","",IF(OR($F7="流局",$F7="チョンボ"),D7+($H7+$M7+$R7+$W7)/-1000,0))</f>
        <v>0</v>
      </c>
      <c r="E8" s="58" t="str">
        <f>IF($F$1="","",$F$1)</f>
        <v>渡部陵瑛</v>
      </c>
      <c r="F8" s="5" t="s">
        <v>166</v>
      </c>
      <c r="G8" s="6">
        <v>24000</v>
      </c>
      <c r="H8" s="6"/>
      <c r="I8" s="6">
        <v>1200</v>
      </c>
      <c r="J8" s="18">
        <f t="shared" si="2"/>
        <v>75600</v>
      </c>
      <c r="K8" s="5" t="s">
        <v>167</v>
      </c>
      <c r="L8" s="6">
        <v>-8000</v>
      </c>
      <c r="M8" s="6"/>
      <c r="N8" s="6">
        <v>-400</v>
      </c>
      <c r="O8" s="18">
        <f t="shared" si="8"/>
        <v>1200</v>
      </c>
      <c r="P8" s="5" t="s">
        <v>167</v>
      </c>
      <c r="Q8" s="6">
        <v>-8000</v>
      </c>
      <c r="R8" s="6"/>
      <c r="S8" s="6">
        <v>-400</v>
      </c>
      <c r="T8" s="18">
        <f t="shared" si="3"/>
        <v>11100</v>
      </c>
      <c r="U8" s="5" t="s">
        <v>167</v>
      </c>
      <c r="V8" s="6">
        <v>-8000</v>
      </c>
      <c r="W8" s="6"/>
      <c r="X8" s="6">
        <v>-400</v>
      </c>
      <c r="Y8" s="18">
        <f t="shared" si="4"/>
        <v>12100</v>
      </c>
      <c r="Z8" s="45">
        <f>IF($J8="","",ROUND(($J8-30000)/1000,1)+(2.5-_xlfn.RANK.AVG($J8,($J8,$O8,$T8,$Y8)))*20+IF(_xlfn.RANK.EQ($J8,($J8,$O8,$T8,$Y8))=1,20/((_xlfn.RANK.AVG($J8,($J8,$O8,$T8,$Y8))-1)*2+1),0))</f>
        <v>95.6</v>
      </c>
      <c r="AA8" s="46">
        <f>IF($O8="","",ROUND(($O8-30000)/1000,1)+(2.5-_xlfn.RANK.AVG($O8,($J8,$O8,$T8,$Y8)))*20+IF(_xlfn.RANK.EQ($O8,($J8,$O8,$T8,$Y8))=1,20/((_xlfn.RANK.AVG($O8,($J8,$O8,$T8,$Y8))-1)*2+1),0))</f>
        <v>-58.8</v>
      </c>
      <c r="AB8" s="46">
        <f>IF($T8="","",ROUND(($T8-30000)/1000,1)+(2.5-_xlfn.RANK.AVG($T8,($J8,$O8,$T8,$Y8)))*20+IF(_xlfn.RANK.EQ($T8,($J8,$O8,$T8,$Y8))=1,20/((_xlfn.RANK.AVG($T8,($J8,$O8,$T8,$Y8))-1)*2+1),0))</f>
        <v>-28.9</v>
      </c>
      <c r="AC8" s="47">
        <f>IF($Y8="","",ROUND(($Y8-30000)/1000,1)+(2.5-_xlfn.RANK.AVG($Y8,($J8,$O8,$T8,$Y8)))*20+IF(_xlfn.RANK.EQ($Y8,($J8,$O8,$T8,$Y8))=1,20/((_xlfn.RANK.AVG($Y8,($J8,$O8,$T8,$Y8))-1)*2+1),0))</f>
        <v>-7.8999999999999986</v>
      </c>
      <c r="AE8" s="5"/>
      <c r="AF8" s="30"/>
      <c r="AG8" s="23">
        <v>1</v>
      </c>
      <c r="AH8" s="23"/>
      <c r="AI8" s="23">
        <v>8</v>
      </c>
      <c r="AJ8" s="27" t="s">
        <v>168</v>
      </c>
      <c r="AK8" s="36" t="s">
        <v>169</v>
      </c>
      <c r="AL8" s="37" t="s">
        <v>73</v>
      </c>
      <c r="AM8" s="37" t="s">
        <v>92</v>
      </c>
      <c r="AN8" s="37" t="s">
        <v>70</v>
      </c>
      <c r="AO8" s="37" t="s">
        <v>70</v>
      </c>
      <c r="AP8" s="37" t="s">
        <v>71</v>
      </c>
      <c r="AQ8" s="37" t="s">
        <v>71</v>
      </c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1</v>
      </c>
      <c r="C9" s="15">
        <f t="shared" si="6"/>
        <v>5</v>
      </c>
      <c r="D9" s="15">
        <f t="shared" si="7"/>
        <v>0</v>
      </c>
      <c r="E9" s="58" t="str">
        <f>IF($F$1="","",$F$1)</f>
        <v>渡部陵瑛</v>
      </c>
      <c r="F9" s="5" t="s">
        <v>166</v>
      </c>
      <c r="G9" s="6">
        <v>3000</v>
      </c>
      <c r="H9" s="6"/>
      <c r="I9" s="6">
        <v>1500</v>
      </c>
      <c r="J9" s="18">
        <f t="shared" si="2"/>
        <v>80100</v>
      </c>
      <c r="K9" s="5" t="s">
        <v>167</v>
      </c>
      <c r="L9" s="6">
        <v>-1000</v>
      </c>
      <c r="M9" s="6"/>
      <c r="N9" s="6">
        <v>-500</v>
      </c>
      <c r="O9" s="18">
        <f t="shared" si="8"/>
        <v>-300</v>
      </c>
      <c r="P9" s="5" t="s">
        <v>167</v>
      </c>
      <c r="Q9" s="6">
        <v>-1000</v>
      </c>
      <c r="R9" s="6"/>
      <c r="S9" s="6">
        <v>-500</v>
      </c>
      <c r="T9" s="18">
        <f t="shared" si="3"/>
        <v>9600</v>
      </c>
      <c r="U9" s="5" t="s">
        <v>167</v>
      </c>
      <c r="V9" s="6">
        <v>-1000</v>
      </c>
      <c r="W9" s="6"/>
      <c r="X9" s="6">
        <v>-500</v>
      </c>
      <c r="Y9" s="18">
        <f t="shared" si="4"/>
        <v>10600</v>
      </c>
      <c r="Z9" s="45">
        <f>IF($J9="","",ROUND(($J9-30000)/1000,1)+(2.5-_xlfn.RANK.AVG($J9,($J9,$O9,$T9,$Y9)))*20+IF(_xlfn.RANK.EQ($J9,($J9,$O9,$T9,$Y9))=1,20/((_xlfn.RANK.AVG($J9,($J9,$O9,$T9,$Y9))-1)*2+1),0))</f>
        <v>100.1</v>
      </c>
      <c r="AA9" s="46">
        <f>IF($O9="","",ROUND(($O9-30000)/1000,1)+(2.5-_xlfn.RANK.AVG($O9,($J9,$O9,$T9,$Y9)))*20+IF(_xlfn.RANK.EQ($O9,($J9,$O9,$T9,$Y9))=1,20/((_xlfn.RANK.AVG($O9,($J9,$O9,$T9,$Y9))-1)*2+1),0))</f>
        <v>-60.3</v>
      </c>
      <c r="AB9" s="46">
        <f>IF($T9="","",ROUND(($T9-30000)/1000,1)+(2.5-_xlfn.RANK.AVG($T9,($J9,$O9,$T9,$Y9)))*20+IF(_xlfn.RANK.EQ($T9,($J9,$O9,$T9,$Y9))=1,20/((_xlfn.RANK.AVG($T9,($J9,$O9,$T9,$Y9))-1)*2+1),0))</f>
        <v>-30.4</v>
      </c>
      <c r="AC9" s="47">
        <f>IF($Y9="","",ROUND(($Y9-30000)/1000,1)+(2.5-_xlfn.RANK.AVG($Y9,($J9,$O9,$T9,$Y9)))*20+IF(_xlfn.RANK.EQ($Y9,($J9,$O9,$T9,$Y9))=1,20/((_xlfn.RANK.AVG($Y9,($J9,$O9,$T9,$Y9))-1)*2+1),0))</f>
        <v>-9.3999999999999986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172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1</v>
      </c>
      <c r="C10" s="15">
        <f t="shared" si="6"/>
        <v>6</v>
      </c>
      <c r="D10" s="15">
        <f t="shared" si="7"/>
        <v>0</v>
      </c>
      <c r="E10" s="58" t="str">
        <f>IF($F$1="","",$F$1)</f>
        <v>渡部陵瑛</v>
      </c>
      <c r="F10" s="5" t="s">
        <v>171</v>
      </c>
      <c r="G10" s="6">
        <v>-2000</v>
      </c>
      <c r="H10" s="6"/>
      <c r="I10" s="6">
        <v>-1800</v>
      </c>
      <c r="J10" s="18">
        <f t="shared" si="2"/>
        <v>76300</v>
      </c>
      <c r="K10" s="5" t="s">
        <v>170</v>
      </c>
      <c r="L10" s="6">
        <v>2000</v>
      </c>
      <c r="M10" s="6"/>
      <c r="N10" s="6">
        <v>1800</v>
      </c>
      <c r="O10" s="18">
        <f t="shared" si="8"/>
        <v>3500</v>
      </c>
      <c r="P10" s="5"/>
      <c r="Q10" s="6"/>
      <c r="R10" s="6"/>
      <c r="S10" s="6"/>
      <c r="T10" s="18">
        <f t="shared" si="3"/>
        <v>9600</v>
      </c>
      <c r="U10" s="5"/>
      <c r="V10" s="6"/>
      <c r="W10" s="6"/>
      <c r="X10" s="6"/>
      <c r="Y10" s="18">
        <f t="shared" si="4"/>
        <v>10600</v>
      </c>
      <c r="Z10" s="45">
        <f>IF($J10="","",ROUND(($J10-30000)/1000,1)+(2.5-_xlfn.RANK.AVG($J10,($J10,$O10,$T10,$Y10)))*20+IF(_xlfn.RANK.EQ($J10,($J10,$O10,$T10,$Y10))=1,20/((_xlfn.RANK.AVG($J10,($J10,$O10,$T10,$Y10))-1)*2+1),0))</f>
        <v>96.3</v>
      </c>
      <c r="AA10" s="46">
        <f>IF($O10="","",ROUND(($O10-30000)/1000,1)+(2.5-_xlfn.RANK.AVG($O10,($J10,$O10,$T10,$Y10)))*20+IF(_xlfn.RANK.EQ($O10,($J10,$O10,$T10,$Y10))=1,20/((_xlfn.RANK.AVG($O10,($J10,$O10,$T10,$Y10))-1)*2+1),0))</f>
        <v>-56.5</v>
      </c>
      <c r="AB10" s="46">
        <f>IF($T10="","",ROUND(($T10-30000)/1000,1)+(2.5-_xlfn.RANK.AVG($T10,($J10,$O10,$T10,$Y10)))*20+IF(_xlfn.RANK.EQ($T10,($J10,$O10,$T10,$Y10))=1,20/((_xlfn.RANK.AVG($T10,($J10,$O10,$T10,$Y10))-1)*2+1),0))</f>
        <v>-30.4</v>
      </c>
      <c r="AC10" s="47">
        <f>IF($Y10="","",ROUND(($Y10-30000)/1000,1)+(2.5-_xlfn.RANK.AVG($Y10,($J10,$O10,$T10,$Y10)))*20+IF(_xlfn.RANK.EQ($Y10,($J10,$O10,$T10,$Y10))=1,20/((_xlfn.RANK.AVG($Y10,($J10,$O10,$T10,$Y10))-1)*2+1),0))</f>
        <v>-9.3999999999999986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77</v>
      </c>
      <c r="BG10" s="37" t="s">
        <v>70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小林圭太</v>
      </c>
      <c r="F11" s="5" t="s">
        <v>175</v>
      </c>
      <c r="G11" s="6">
        <v>1000</v>
      </c>
      <c r="H11" s="6">
        <v>2000</v>
      </c>
      <c r="I11" s="6"/>
      <c r="J11" s="18">
        <f t="shared" si="2"/>
        <v>79300</v>
      </c>
      <c r="K11" s="5" t="s">
        <v>175</v>
      </c>
      <c r="L11" s="6">
        <v>1000</v>
      </c>
      <c r="M11" s="6">
        <v>-1000</v>
      </c>
      <c r="N11" s="6"/>
      <c r="O11" s="18">
        <f t="shared" si="8"/>
        <v>3500</v>
      </c>
      <c r="P11" s="5" t="s">
        <v>175</v>
      </c>
      <c r="Q11" s="6">
        <v>-3000</v>
      </c>
      <c r="R11" s="6"/>
      <c r="S11" s="6"/>
      <c r="T11" s="18">
        <f t="shared" si="3"/>
        <v>6600</v>
      </c>
      <c r="U11" s="5" t="s">
        <v>175</v>
      </c>
      <c r="V11" s="6">
        <v>1000</v>
      </c>
      <c r="W11" s="6">
        <v>-1000</v>
      </c>
      <c r="X11" s="6"/>
      <c r="Y11" s="18">
        <f t="shared" si="4"/>
        <v>10600</v>
      </c>
      <c r="Z11" s="45">
        <f>IF($J11="","",ROUND(($J11-30000)/1000,1)+(2.5-_xlfn.RANK.AVG($J11,($J11,$O11,$T11,$Y11)))*20+IF(_xlfn.RANK.EQ($J11,($J11,$O11,$T11,$Y11))=1,20/((_xlfn.RANK.AVG($J11,($J11,$O11,$T11,$Y11))-1)*2+1),0))</f>
        <v>99.3</v>
      </c>
      <c r="AA11" s="46">
        <f>IF($O11="","",ROUND(($O11-30000)/1000,1)+(2.5-_xlfn.RANK.AVG($O11,($J11,$O11,$T11,$Y11)))*20+IF(_xlfn.RANK.EQ($O11,($J11,$O11,$T11,$Y11))=1,20/((_xlfn.RANK.AVG($O11,($J11,$O11,$T11,$Y11))-1)*2+1),0))</f>
        <v>-56.5</v>
      </c>
      <c r="AB11" s="46">
        <f>IF($T11="","",ROUND(($T11-30000)/1000,1)+(2.5-_xlfn.RANK.AVG($T11,($J11,$O11,$T11,$Y11)))*20+IF(_xlfn.RANK.EQ($T11,($J11,$O11,$T11,$Y11))=1,20/((_xlfn.RANK.AVG($T11,($J11,$O11,$T11,$Y11))-1)*2+1),0))</f>
        <v>-33.4</v>
      </c>
      <c r="AC11" s="47">
        <f>IF($Y11="","",ROUND(($Y11-30000)/1000,1)+(2.5-_xlfn.RANK.AVG($Y11,($J11,$O11,$T11,$Y11)))*20+IF(_xlfn.RANK.EQ($Y11,($J11,$O11,$T11,$Y11))=1,20/((_xlfn.RANK.AVG($Y11,($J11,$O11,$T11,$Y11))-1)*2+1),0))</f>
        <v>-9.3999999999999986</v>
      </c>
      <c r="AE11" s="5" t="s">
        <v>173</v>
      </c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174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51BDA90-7122-4A9B-8017-556AB5A9AC0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63124-9F88-4BBD-8B66-BD784AB777C0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165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吉澤諒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渡部陵瑛</v>
      </c>
      <c r="AB2" s="56" t="str">
        <f>IF($P$1="","",$P$1)</f>
        <v>佐藤成浩</v>
      </c>
      <c r="AC2" s="13" t="str">
        <f>IF($U$1="","",$U$1)</f>
        <v>吉澤諒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167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167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167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168</v>
      </c>
      <c r="AK4" s="36" t="s">
        <v>169</v>
      </c>
      <c r="AL4" s="37" t="s">
        <v>73</v>
      </c>
      <c r="AM4" s="37" t="s">
        <v>92</v>
      </c>
      <c r="AN4" s="37" t="s">
        <v>172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中村季暉</v>
      </c>
      <c r="F5" s="5" t="s">
        <v>167</v>
      </c>
      <c r="G5" s="6">
        <v>-6000</v>
      </c>
      <c r="H5" s="6"/>
      <c r="I5" s="6">
        <v>-100</v>
      </c>
      <c r="J5" s="18">
        <f t="shared" ref="J5:J30" si="2">IF(COUNTA($F5,$K5,$P5,$U5)&gt;0,J4+SUM(G5:I5),"")</f>
        <v>30900</v>
      </c>
      <c r="K5" s="5" t="s">
        <v>166</v>
      </c>
      <c r="L5" s="6">
        <v>12000</v>
      </c>
      <c r="M5" s="6"/>
      <c r="N5" s="6">
        <v>300</v>
      </c>
      <c r="O5" s="18">
        <f>IF(COUNTA($F5,$K5,$P5,$U5)&gt;0,O4+SUM(L5:N5),"")</f>
        <v>33300</v>
      </c>
      <c r="P5" s="5" t="s">
        <v>167</v>
      </c>
      <c r="Q5" s="6">
        <v>-3000</v>
      </c>
      <c r="R5" s="6"/>
      <c r="S5" s="6">
        <v>-100</v>
      </c>
      <c r="T5" s="18">
        <f t="shared" ref="T5:T30" si="3">IF(COUNTA($F5,$K5,$P5,$U5)&gt;0,T4+SUM(Q5:S5),"")</f>
        <v>17900</v>
      </c>
      <c r="U5" s="5" t="s">
        <v>167</v>
      </c>
      <c r="V5" s="6">
        <v>-3000</v>
      </c>
      <c r="W5" s="6"/>
      <c r="X5" s="6">
        <v>-100</v>
      </c>
      <c r="Y5" s="18">
        <f t="shared" ref="Y5:Y30" si="4">IF(COUNTA($F5,$K5,$P5,$U5)&gt;0,Y4+SUM(V5:X5),"")</f>
        <v>17900</v>
      </c>
      <c r="Z5" s="45">
        <f>IF($J5="","",ROUND(($J5-30000)/1000,1)+(2.5-_xlfn.RANK.AVG($J5,($J5,$O5,$T5,$Y5)))*20+IF(_xlfn.RANK.EQ($J5,($J5,$O5,$T5,$Y5))=1,20/((_xlfn.RANK.AVG($J5,($J5,$O5,$T5,$Y5))-1)*2+1),0))</f>
        <v>10.9</v>
      </c>
      <c r="AA5" s="46">
        <f>IF($O5="","",ROUND(($O5-30000)/1000,1)+(2.5-_xlfn.RANK.AVG($O5,($J5,$O5,$T5,$Y5)))*20+IF(_xlfn.RANK.EQ($O5,($J5,$O5,$T5,$Y5))=1,20/((_xlfn.RANK.AVG($O5,($J5,$O5,$T5,$Y5))-1)*2+1),0))</f>
        <v>53.3</v>
      </c>
      <c r="AB5" s="46">
        <f>IF($T5="","",ROUND(($T5-30000)/1000,1)+(2.5-_xlfn.RANK.AVG($T5,($J5,$O5,$T5,$Y5)))*20+IF(_xlfn.RANK.EQ($T5,($J5,$O5,$T5,$Y5))=1,20/((_xlfn.RANK.AVG($T5,($J5,$O5,$T5,$Y5))-1)*2+1),0))</f>
        <v>-32.1</v>
      </c>
      <c r="AC5" s="47">
        <f>IF($Y5="","",ROUND(($Y5-30000)/1000,1)+(2.5-_xlfn.RANK.AVG($Y5,($J5,$O5,$T5,$Y5)))*20+IF(_xlfn.RANK.EQ($Y5,($J5,$O5,$T5,$Y5))=1,20/((_xlfn.RANK.AVG($Y5,($J5,$O5,$T5,$Y5))-1)*2+1),0))</f>
        <v>-32.1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>
        <v>6</v>
      </c>
      <c r="BE5" s="27" t="s">
        <v>168</v>
      </c>
      <c r="BF5" s="36" t="s">
        <v>73</v>
      </c>
      <c r="BG5" s="37" t="s">
        <v>74</v>
      </c>
      <c r="BH5" s="37" t="s">
        <v>70</v>
      </c>
      <c r="BI5" s="37" t="s">
        <v>70</v>
      </c>
      <c r="BJ5" s="37" t="s">
        <v>70</v>
      </c>
      <c r="BK5" s="37" t="s">
        <v>172</v>
      </c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渡部陵瑛</v>
      </c>
      <c r="F6" s="5" t="s">
        <v>170</v>
      </c>
      <c r="G6" s="6">
        <v>1000</v>
      </c>
      <c r="H6" s="6"/>
      <c r="I6" s="6">
        <v>0</v>
      </c>
      <c r="J6" s="18">
        <f t="shared" si="2"/>
        <v>31900</v>
      </c>
      <c r="K6" s="5"/>
      <c r="L6" s="6"/>
      <c r="M6" s="6"/>
      <c r="N6" s="6"/>
      <c r="O6" s="18">
        <f t="shared" ref="O6:O30" si="8">IF(COUNTA($F6,$K6,$P6,$U6)&gt;0,O5+SUM(L6:N6),"")</f>
        <v>33300</v>
      </c>
      <c r="P6" s="5" t="s">
        <v>171</v>
      </c>
      <c r="Q6" s="6">
        <v>-1000</v>
      </c>
      <c r="R6" s="6"/>
      <c r="S6" s="6">
        <v>0</v>
      </c>
      <c r="T6" s="18">
        <f t="shared" si="3"/>
        <v>16900</v>
      </c>
      <c r="U6" s="5"/>
      <c r="V6" s="6"/>
      <c r="W6" s="6"/>
      <c r="X6" s="6"/>
      <c r="Y6" s="18">
        <f t="shared" si="4"/>
        <v>17900</v>
      </c>
      <c r="Z6" s="45">
        <f>IF($J6="","",ROUND(($J6-30000)/1000,1)+(2.5-_xlfn.RANK.AVG($J6,($J6,$O6,$T6,$Y6)))*20+IF(_xlfn.RANK.EQ($J6,($J6,$O6,$T6,$Y6))=1,20/((_xlfn.RANK.AVG($J6,($J6,$O6,$T6,$Y6))-1)*2+1),0))</f>
        <v>11.9</v>
      </c>
      <c r="AA6" s="46">
        <f>IF($O6="","",ROUND(($O6-30000)/1000,1)+(2.5-_xlfn.RANK.AVG($O6,($J6,$O6,$T6,$Y6)))*20+IF(_xlfn.RANK.EQ($O6,($J6,$O6,$T6,$Y6))=1,20/((_xlfn.RANK.AVG($O6,($J6,$O6,$T6,$Y6))-1)*2+1),0))</f>
        <v>53.3</v>
      </c>
      <c r="AB6" s="46">
        <f>IF($T6="","",ROUND(($T6-30000)/1000,1)+(2.5-_xlfn.RANK.AVG($T6,($J6,$O6,$T6,$Y6)))*20+IF(_xlfn.RANK.EQ($T6,($J6,$O6,$T6,$Y6))=1,20/((_xlfn.RANK.AVG($T6,($J6,$O6,$T6,$Y6))-1)*2+1),0))</f>
        <v>-43.1</v>
      </c>
      <c r="AC6" s="47">
        <f>IF($Y6="","",ROUND(($Y6-30000)/1000,1)+(2.5-_xlfn.RANK.AVG($Y6,($J6,$O6,$T6,$Y6)))*20+IF(_xlfn.RANK.EQ($Y6,($J6,$O6,$T6,$Y6))=1,20/((_xlfn.RANK.AVG($Y6,($J6,$O6,$T6,$Y6))-1)*2+1),0))</f>
        <v>-22.1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佐藤成浩</v>
      </c>
      <c r="F7" s="5" t="s">
        <v>171</v>
      </c>
      <c r="G7" s="6">
        <v>-8000</v>
      </c>
      <c r="H7" s="6"/>
      <c r="I7" s="6">
        <v>0</v>
      </c>
      <c r="J7" s="18">
        <f t="shared" si="2"/>
        <v>23900</v>
      </c>
      <c r="K7" s="5"/>
      <c r="L7" s="6"/>
      <c r="M7" s="6"/>
      <c r="N7" s="6"/>
      <c r="O7" s="18">
        <f t="shared" si="8"/>
        <v>33300</v>
      </c>
      <c r="P7" s="5"/>
      <c r="Q7" s="6"/>
      <c r="R7" s="6"/>
      <c r="S7" s="6"/>
      <c r="T7" s="18">
        <f t="shared" si="3"/>
        <v>16900</v>
      </c>
      <c r="U7" s="5" t="s">
        <v>170</v>
      </c>
      <c r="V7" s="6">
        <v>8000</v>
      </c>
      <c r="W7" s="6"/>
      <c r="X7" s="6">
        <v>0</v>
      </c>
      <c r="Y7" s="18">
        <f t="shared" si="4"/>
        <v>25900</v>
      </c>
      <c r="Z7" s="45">
        <f>IF($J7="","",ROUND(($J7-30000)/1000,1)+(2.5-_xlfn.RANK.AVG($J7,($J7,$O7,$T7,$Y7)))*20+IF(_xlfn.RANK.EQ($J7,($J7,$O7,$T7,$Y7))=1,20/((_xlfn.RANK.AVG($J7,($J7,$O7,$T7,$Y7))-1)*2+1),0))</f>
        <v>-16.100000000000001</v>
      </c>
      <c r="AA7" s="46">
        <f>IF($O7="","",ROUND(($O7-30000)/1000,1)+(2.5-_xlfn.RANK.AVG($O7,($J7,$O7,$T7,$Y7)))*20+IF(_xlfn.RANK.EQ($O7,($J7,$O7,$T7,$Y7))=1,20/((_xlfn.RANK.AVG($O7,($J7,$O7,$T7,$Y7))-1)*2+1),0))</f>
        <v>53.3</v>
      </c>
      <c r="AB7" s="46">
        <f>IF($T7="","",ROUND(($T7-30000)/1000,1)+(2.5-_xlfn.RANK.AVG($T7,($J7,$O7,$T7,$Y7)))*20+IF(_xlfn.RANK.EQ($T7,($J7,$O7,$T7,$Y7))=1,20/((_xlfn.RANK.AVG($T7,($J7,$O7,$T7,$Y7))-1)*2+1),0))</f>
        <v>-43.1</v>
      </c>
      <c r="AC7" s="47">
        <f>IF($Y7="","",ROUND(($Y7-30000)/1000,1)+(2.5-_xlfn.RANK.AVG($Y7,($J7,$O7,$T7,$Y7)))*20+IF(_xlfn.RANK.EQ($Y7,($J7,$O7,$T7,$Y7))=1,20/((_xlfn.RANK.AVG($Y7,($J7,$O7,$T7,$Y7))-1)*2+1),0))</f>
        <v>5.9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5</v>
      </c>
      <c r="CU7" s="27" t="s">
        <v>168</v>
      </c>
      <c r="CV7" s="36" t="s">
        <v>169</v>
      </c>
      <c r="CW7" s="37" t="s">
        <v>74</v>
      </c>
      <c r="CX7" s="37" t="s">
        <v>177</v>
      </c>
      <c r="CY7" s="37" t="s">
        <v>71</v>
      </c>
      <c r="CZ7" s="37" t="s">
        <v>70</v>
      </c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吉澤諒</v>
      </c>
      <c r="F8" s="5"/>
      <c r="G8" s="6"/>
      <c r="H8" s="6"/>
      <c r="I8" s="6"/>
      <c r="J8" s="18">
        <f t="shared" si="2"/>
        <v>23900</v>
      </c>
      <c r="K8" s="5" t="s">
        <v>170</v>
      </c>
      <c r="L8" s="6">
        <v>1600</v>
      </c>
      <c r="M8" s="6"/>
      <c r="N8" s="6">
        <v>0</v>
      </c>
      <c r="O8" s="18">
        <f t="shared" si="8"/>
        <v>34900</v>
      </c>
      <c r="P8" s="5"/>
      <c r="Q8" s="6"/>
      <c r="R8" s="6"/>
      <c r="S8" s="6"/>
      <c r="T8" s="18">
        <f t="shared" si="3"/>
        <v>16900</v>
      </c>
      <c r="U8" s="5" t="s">
        <v>171</v>
      </c>
      <c r="V8" s="6">
        <v>-1600</v>
      </c>
      <c r="W8" s="6"/>
      <c r="X8" s="6">
        <v>0</v>
      </c>
      <c r="Y8" s="18">
        <f t="shared" si="4"/>
        <v>24300</v>
      </c>
      <c r="Z8" s="45">
        <f>IF($J8="","",ROUND(($J8-30000)/1000,1)+(2.5-_xlfn.RANK.AVG($J8,($J8,$O8,$T8,$Y8)))*20+IF(_xlfn.RANK.EQ($J8,($J8,$O8,$T8,$Y8))=1,20/((_xlfn.RANK.AVG($J8,($J8,$O8,$T8,$Y8))-1)*2+1),0))</f>
        <v>-16.100000000000001</v>
      </c>
      <c r="AA8" s="46">
        <f>IF($O8="","",ROUND(($O8-30000)/1000,1)+(2.5-_xlfn.RANK.AVG($O8,($J8,$O8,$T8,$Y8)))*20+IF(_xlfn.RANK.EQ($O8,($J8,$O8,$T8,$Y8))=1,20/((_xlfn.RANK.AVG($O8,($J8,$O8,$T8,$Y8))-1)*2+1),0))</f>
        <v>54.9</v>
      </c>
      <c r="AB8" s="46">
        <f>IF($T8="","",ROUND(($T8-30000)/1000,1)+(2.5-_xlfn.RANK.AVG($T8,($J8,$O8,$T8,$Y8)))*20+IF(_xlfn.RANK.EQ($T8,($J8,$O8,$T8,$Y8))=1,20/((_xlfn.RANK.AVG($T8,($J8,$O8,$T8,$Y8))-1)*2+1),0))</f>
        <v>-43.1</v>
      </c>
      <c r="AC8" s="47">
        <f>IF($Y8="","",ROUND(($Y8-30000)/1000,1)+(2.5-_xlfn.RANK.AVG($Y8,($J8,$O8,$T8,$Y8)))*20+IF(_xlfn.RANK.EQ($Y8,($J8,$O8,$T8,$Y8))=1,20/((_xlfn.RANK.AVG($Y8,($J8,$O8,$T8,$Y8))-1)*2+1),0))</f>
        <v>4.3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2</v>
      </c>
      <c r="BE8" s="27">
        <v>25</v>
      </c>
      <c r="BF8" s="36" t="s">
        <v>92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中村季暉</v>
      </c>
      <c r="F9" s="5" t="s">
        <v>166</v>
      </c>
      <c r="G9" s="6">
        <v>18000</v>
      </c>
      <c r="H9" s="6"/>
      <c r="I9" s="6">
        <v>0</v>
      </c>
      <c r="J9" s="18">
        <f t="shared" si="2"/>
        <v>41900</v>
      </c>
      <c r="K9" s="5" t="s">
        <v>167</v>
      </c>
      <c r="L9" s="6">
        <v>-6000</v>
      </c>
      <c r="M9" s="6"/>
      <c r="N9" s="6">
        <v>0</v>
      </c>
      <c r="O9" s="18">
        <f t="shared" si="8"/>
        <v>28900</v>
      </c>
      <c r="P9" s="5" t="s">
        <v>167</v>
      </c>
      <c r="Q9" s="6">
        <v>-6000</v>
      </c>
      <c r="R9" s="6"/>
      <c r="S9" s="6">
        <v>0</v>
      </c>
      <c r="T9" s="18">
        <f t="shared" si="3"/>
        <v>10900</v>
      </c>
      <c r="U9" s="5" t="s">
        <v>167</v>
      </c>
      <c r="V9" s="6">
        <v>-6000</v>
      </c>
      <c r="W9" s="6"/>
      <c r="X9" s="6">
        <v>0</v>
      </c>
      <c r="Y9" s="18">
        <f t="shared" si="4"/>
        <v>18300</v>
      </c>
      <c r="Z9" s="45">
        <f>IF($J9="","",ROUND(($J9-30000)/1000,1)+(2.5-_xlfn.RANK.AVG($J9,($J9,$O9,$T9,$Y9)))*20+IF(_xlfn.RANK.EQ($J9,($J9,$O9,$T9,$Y9))=1,20/((_xlfn.RANK.AVG($J9,($J9,$O9,$T9,$Y9))-1)*2+1),0))</f>
        <v>61.9</v>
      </c>
      <c r="AA9" s="46">
        <f>IF($O9="","",ROUND(($O9-30000)/1000,1)+(2.5-_xlfn.RANK.AVG($O9,($J9,$O9,$T9,$Y9)))*20+IF(_xlfn.RANK.EQ($O9,($J9,$O9,$T9,$Y9))=1,20/((_xlfn.RANK.AVG($O9,($J9,$O9,$T9,$Y9))-1)*2+1),0))</f>
        <v>8.9</v>
      </c>
      <c r="AB9" s="46">
        <f>IF($T9="","",ROUND(($T9-30000)/1000,1)+(2.5-_xlfn.RANK.AVG($T9,($J9,$O9,$T9,$Y9)))*20+IF(_xlfn.RANK.EQ($T9,($J9,$O9,$T9,$Y9))=1,20/((_xlfn.RANK.AVG($T9,($J9,$O9,$T9,$Y9))-1)*2+1),0))</f>
        <v>-49.1</v>
      </c>
      <c r="AC9" s="47">
        <f>IF($Y9="","",ROUND(($Y9-30000)/1000,1)+(2.5-_xlfn.RANK.AVG($Y9,($J9,$O9,$T9,$Y9)))*20+IF(_xlfn.RANK.EQ($Y9,($J9,$O9,$T9,$Y9))=1,20/((_xlfn.RANK.AVG($Y9,($J9,$O9,$T9,$Y9))-1)*2+1),0))</f>
        <v>-21.7</v>
      </c>
      <c r="AE9" s="5"/>
      <c r="AF9" s="30"/>
      <c r="AG9" s="23">
        <v>1</v>
      </c>
      <c r="AH9" s="23"/>
      <c r="AI9" s="23">
        <v>7</v>
      </c>
      <c r="AJ9" s="27" t="s">
        <v>168</v>
      </c>
      <c r="AK9" s="36" t="s">
        <v>169</v>
      </c>
      <c r="AL9" s="37" t="s">
        <v>73</v>
      </c>
      <c r="AM9" s="37" t="s">
        <v>75</v>
      </c>
      <c r="AN9" s="37" t="s">
        <v>172</v>
      </c>
      <c r="AO9" s="37" t="s">
        <v>172</v>
      </c>
      <c r="AP9" s="37" t="s">
        <v>70</v>
      </c>
      <c r="AQ9" s="37" t="s">
        <v>71</v>
      </c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中村季暉</v>
      </c>
      <c r="F10" s="5" t="s">
        <v>167</v>
      </c>
      <c r="G10" s="6">
        <v>-1300</v>
      </c>
      <c r="H10" s="6"/>
      <c r="I10" s="6">
        <v>-100</v>
      </c>
      <c r="J10" s="18">
        <f t="shared" si="2"/>
        <v>40500</v>
      </c>
      <c r="K10" s="5" t="s">
        <v>166</v>
      </c>
      <c r="L10" s="6">
        <v>2700</v>
      </c>
      <c r="M10" s="6"/>
      <c r="N10" s="6">
        <v>300</v>
      </c>
      <c r="O10" s="18">
        <f t="shared" si="8"/>
        <v>31900</v>
      </c>
      <c r="P10" s="5" t="s">
        <v>167</v>
      </c>
      <c r="Q10" s="6">
        <v>-700</v>
      </c>
      <c r="R10" s="6"/>
      <c r="S10" s="6">
        <v>-100</v>
      </c>
      <c r="T10" s="18">
        <f t="shared" si="3"/>
        <v>10100</v>
      </c>
      <c r="U10" s="5" t="s">
        <v>167</v>
      </c>
      <c r="V10" s="6">
        <v>-700</v>
      </c>
      <c r="W10" s="6"/>
      <c r="X10" s="6">
        <v>-100</v>
      </c>
      <c r="Y10" s="18">
        <f t="shared" si="4"/>
        <v>17500</v>
      </c>
      <c r="Z10" s="45">
        <f>IF($J10="","",ROUND(($J10-30000)/1000,1)+(2.5-_xlfn.RANK.AVG($J10,($J10,$O10,$T10,$Y10)))*20+IF(_xlfn.RANK.EQ($J10,($J10,$O10,$T10,$Y10))=1,20/((_xlfn.RANK.AVG($J10,($J10,$O10,$T10,$Y10))-1)*2+1),0))</f>
        <v>60.5</v>
      </c>
      <c r="AA10" s="46">
        <f>IF($O10="","",ROUND(($O10-30000)/1000,1)+(2.5-_xlfn.RANK.AVG($O10,($J10,$O10,$T10,$Y10)))*20+IF(_xlfn.RANK.EQ($O10,($J10,$O10,$T10,$Y10))=1,20/((_xlfn.RANK.AVG($O10,($J10,$O10,$T10,$Y10))-1)*2+1),0))</f>
        <v>11.9</v>
      </c>
      <c r="AB10" s="46">
        <f>IF($T10="","",ROUND(($T10-30000)/1000,1)+(2.5-_xlfn.RANK.AVG($T10,($J10,$O10,$T10,$Y10)))*20+IF(_xlfn.RANK.EQ($T10,($J10,$O10,$T10,$Y10))=1,20/((_xlfn.RANK.AVG($T10,($J10,$O10,$T10,$Y10))-1)*2+1),0))</f>
        <v>-49.9</v>
      </c>
      <c r="AC10" s="47">
        <f>IF($Y10="","",ROUND(($Y10-30000)/1000,1)+(2.5-_xlfn.RANK.AVG($Y10,($J10,$O10,$T10,$Y10)))*20+IF(_xlfn.RANK.EQ($Y10,($J10,$O10,$T10,$Y10))=1,20/((_xlfn.RANK.AVG($Y10,($J10,$O10,$T10,$Y10))-1)*2+1),0))</f>
        <v>-22.5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20</v>
      </c>
      <c r="BF10" s="36" t="s">
        <v>73</v>
      </c>
      <c r="BG10" s="37" t="s">
        <v>74</v>
      </c>
      <c r="BH10" s="37" t="s">
        <v>169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渡部陵瑛</v>
      </c>
      <c r="F11" s="5"/>
      <c r="G11" s="6"/>
      <c r="H11" s="6"/>
      <c r="I11" s="6"/>
      <c r="J11" s="18">
        <f t="shared" si="2"/>
        <v>40500</v>
      </c>
      <c r="K11" s="5" t="s">
        <v>171</v>
      </c>
      <c r="L11" s="6">
        <v>-1600</v>
      </c>
      <c r="M11" s="6"/>
      <c r="N11" s="6">
        <v>0</v>
      </c>
      <c r="O11" s="18">
        <f t="shared" si="8"/>
        <v>30300</v>
      </c>
      <c r="P11" s="5" t="s">
        <v>170</v>
      </c>
      <c r="Q11" s="6">
        <v>1600</v>
      </c>
      <c r="R11" s="6"/>
      <c r="S11" s="6">
        <v>0</v>
      </c>
      <c r="T11" s="18">
        <f t="shared" si="3"/>
        <v>11700</v>
      </c>
      <c r="U11" s="5"/>
      <c r="V11" s="6"/>
      <c r="W11" s="6"/>
      <c r="X11" s="6"/>
      <c r="Y11" s="18">
        <f t="shared" si="4"/>
        <v>17500</v>
      </c>
      <c r="Z11" s="45">
        <f>IF($J11="","",ROUND(($J11-30000)/1000,1)+(2.5-_xlfn.RANK.AVG($J11,($J11,$O11,$T11,$Y11)))*20+IF(_xlfn.RANK.EQ($J11,($J11,$O11,$T11,$Y11))=1,20/((_xlfn.RANK.AVG($J11,($J11,$O11,$T11,$Y11))-1)*2+1),0))</f>
        <v>60.5</v>
      </c>
      <c r="AA11" s="46">
        <f>IF($O11="","",ROUND(($O11-30000)/1000,1)+(2.5-_xlfn.RANK.AVG($O11,($J11,$O11,$T11,$Y11)))*20+IF(_xlfn.RANK.EQ($O11,($J11,$O11,$T11,$Y11))=1,20/((_xlfn.RANK.AVG($O11,($J11,$O11,$T11,$Y11))-1)*2+1),0))</f>
        <v>10.3</v>
      </c>
      <c r="AB11" s="46">
        <f>IF($T11="","",ROUND(($T11-30000)/1000,1)+(2.5-_xlfn.RANK.AVG($T11,($J11,$O11,$T11,$Y11)))*20+IF(_xlfn.RANK.EQ($T11,($J11,$O11,$T11,$Y11))=1,20/((_xlfn.RANK.AVG($T11,($J11,$O11,$T11,$Y11))-1)*2+1),0))</f>
        <v>-48.3</v>
      </c>
      <c r="AC11" s="47">
        <f>IF($Y11="","",ROUND(($Y11-30000)/1000,1)+(2.5-_xlfn.RANK.AVG($Y11,($J11,$O11,$T11,$Y11)))*20+IF(_xlfn.RANK.EQ($Y11,($J11,$O11,$T11,$Y11))=1,20/((_xlfn.RANK.AVG($Y11,($J11,$O11,$T11,$Y11))-1)*2+1),0))</f>
        <v>-22.5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1</v>
      </c>
      <c r="BZ11" s="27">
        <v>50</v>
      </c>
      <c r="CA11" s="36" t="s">
        <v>169</v>
      </c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佐藤成浩</v>
      </c>
      <c r="F12" s="5" t="s">
        <v>175</v>
      </c>
      <c r="G12" s="6">
        <v>-1500</v>
      </c>
      <c r="H12" s="6">
        <v>1000</v>
      </c>
      <c r="I12" s="6"/>
      <c r="J12" s="18">
        <f t="shared" si="2"/>
        <v>40000</v>
      </c>
      <c r="K12" s="5" t="s">
        <v>175</v>
      </c>
      <c r="L12" s="6">
        <v>1500</v>
      </c>
      <c r="M12" s="6"/>
      <c r="N12" s="6"/>
      <c r="O12" s="18">
        <f t="shared" si="8"/>
        <v>31800</v>
      </c>
      <c r="P12" s="5" t="s">
        <v>175</v>
      </c>
      <c r="Q12" s="6">
        <v>1500</v>
      </c>
      <c r="R12" s="6">
        <v>-1000</v>
      </c>
      <c r="S12" s="6"/>
      <c r="T12" s="18">
        <f t="shared" si="3"/>
        <v>12200</v>
      </c>
      <c r="U12" s="5" t="s">
        <v>175</v>
      </c>
      <c r="V12" s="6">
        <v>-1500</v>
      </c>
      <c r="W12" s="6"/>
      <c r="X12" s="6"/>
      <c r="Y12" s="18">
        <f t="shared" si="4"/>
        <v>16000</v>
      </c>
      <c r="Z12" s="45">
        <f>IF($J12="","",ROUND(($J12-30000)/1000,1)+(2.5-_xlfn.RANK.AVG($J12,($J12,$O12,$T12,$Y12)))*20+IF(_xlfn.RANK.EQ($J12,($J12,$O12,$T12,$Y12))=1,20/((_xlfn.RANK.AVG($J12,($J12,$O12,$T12,$Y12))-1)*2+1),0))</f>
        <v>60</v>
      </c>
      <c r="AA12" s="46">
        <f>IF($O12="","",ROUND(($O12-30000)/1000,1)+(2.5-_xlfn.RANK.AVG($O12,($J12,$O12,$T12,$Y12)))*20+IF(_xlfn.RANK.EQ($O12,($J12,$O12,$T12,$Y12))=1,20/((_xlfn.RANK.AVG($O12,($J12,$O12,$T12,$Y12))-1)*2+1),0))</f>
        <v>11.8</v>
      </c>
      <c r="AB12" s="46">
        <f>IF($T12="","",ROUND(($T12-30000)/1000,1)+(2.5-_xlfn.RANK.AVG($T12,($J12,$O12,$T12,$Y12)))*20+IF(_xlfn.RANK.EQ($T12,($J12,$O12,$T12,$Y12))=1,20/((_xlfn.RANK.AVG($T12,($J12,$O12,$T12,$Y12))-1)*2+1),0))</f>
        <v>-47.8</v>
      </c>
      <c r="AC12" s="47">
        <f>IF($Y12="","",ROUND(($Y12-30000)/1000,1)+(2.5-_xlfn.RANK.AVG($Y12,($J12,$O12,$T12,$Y12)))*20+IF(_xlfn.RANK.EQ($Y12,($J12,$O12,$T12,$Y12))=1,20/((_xlfn.RANK.AVG($Y12,($J12,$O12,$T12,$Y12))-1)*2+1),0))</f>
        <v>-24</v>
      </c>
      <c r="AE12" s="5" t="s">
        <v>174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173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>
        <v>1</v>
      </c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174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4846BDA-68DA-40C2-934E-56861F9C690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B016F58D-243C-4419-9E4F-D47122266279}">
      <formula1>"ロン,ツモ,放銃,ツモ支払,流局,チョンボ"</formula1>
    </dataValidation>
    <dataValidation type="list" allowBlank="1" showInputMessage="1" showErrorMessage="1" sqref="E4:E30" xr:uid="{8E88E8B7-41F3-4C68-B56A-4D28BBDB71F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2023-11-09T09:40:19Z</dcterms:modified>
</cp:coreProperties>
</file>