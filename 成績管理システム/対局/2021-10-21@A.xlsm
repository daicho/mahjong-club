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対局\"/>
    </mc:Choice>
  </mc:AlternateContent>
  <xr:revisionPtr revIDLastSave="0" documentId="13_ncr:1_{E74AFAE3-6B48-4434-A3C7-537391F89EF0}" xr6:coauthVersionLast="47" xr6:coauthVersionMax="47" xr10:uidLastSave="{00000000-0000-0000-0000-000000000000}"/>
  <bookViews>
    <workbookView xWindow="3540" yWindow="540" windowWidth="15375" windowHeight="7875" activeTab="2" xr2:uid="{4CDB34E1-560F-4998-ABAB-D6F7F2862621}"/>
  </bookViews>
  <sheets>
    <sheet name="Sheet1" sheetId="27" r:id="rId1"/>
    <sheet name="Sheet2" sheetId="28" r:id="rId2"/>
    <sheet name="Sheet3" sheetId="29" r:id="rId3"/>
    <sheet name="役一覧" sheetId="15" state="hidden" r:id="rId4"/>
    <sheet name="点数表(親ロン)" sheetId="20" state="hidden" r:id="rId5"/>
    <sheet name="点数表(親ツモ)" sheetId="21" state="hidden" r:id="rId6"/>
    <sheet name="点数表(子→親)" sheetId="22" state="hidden" r:id="rId7"/>
    <sheet name="点数表(子ロン)" sheetId="23" state="hidden" r:id="rId8"/>
    <sheet name="点数表(子ツモ)" sheetId="24" state="hidden" r:id="rId9"/>
    <sheet name="点数表(子→子)" sheetId="25" state="hidden" r:id="rId10"/>
    <sheet name="点数表(親→子)" sheetId="26" state="hidden" r:id="rId1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0" i="29" l="1"/>
  <c r="AC30" i="29" s="1"/>
  <c r="T30" i="29"/>
  <c r="AB30" i="29" s="1"/>
  <c r="O30" i="29"/>
  <c r="AA30" i="29" s="1"/>
  <c r="J30" i="29"/>
  <c r="Z30" i="29" s="1"/>
  <c r="D30" i="29"/>
  <c r="C30" i="29"/>
  <c r="B30" i="29"/>
  <c r="A30" i="29"/>
  <c r="Y29" i="29"/>
  <c r="AC29" i="29" s="1"/>
  <c r="T29" i="29"/>
  <c r="AB29" i="29" s="1"/>
  <c r="O29" i="29"/>
  <c r="AA29" i="29" s="1"/>
  <c r="J29" i="29"/>
  <c r="Z29" i="29" s="1"/>
  <c r="D29" i="29"/>
  <c r="C29" i="29"/>
  <c r="B29" i="29"/>
  <c r="A29" i="29"/>
  <c r="Y28" i="29"/>
  <c r="AC28" i="29" s="1"/>
  <c r="T28" i="29"/>
  <c r="AB28" i="29" s="1"/>
  <c r="O28" i="29"/>
  <c r="AA28" i="29" s="1"/>
  <c r="J28" i="29"/>
  <c r="Z28" i="29" s="1"/>
  <c r="D28" i="29"/>
  <c r="C28" i="29"/>
  <c r="B28" i="29"/>
  <c r="A28" i="29"/>
  <c r="Y27" i="29"/>
  <c r="AC27" i="29" s="1"/>
  <c r="T27" i="29"/>
  <c r="AB27" i="29" s="1"/>
  <c r="O27" i="29"/>
  <c r="AA27" i="29" s="1"/>
  <c r="J27" i="29"/>
  <c r="Z27" i="29" s="1"/>
  <c r="D27" i="29"/>
  <c r="C27" i="29"/>
  <c r="B27" i="29"/>
  <c r="A27" i="29"/>
  <c r="Y26" i="29"/>
  <c r="AC26" i="29" s="1"/>
  <c r="T26" i="29"/>
  <c r="AB26" i="29" s="1"/>
  <c r="O26" i="29"/>
  <c r="AA26" i="29" s="1"/>
  <c r="J26" i="29"/>
  <c r="Z26" i="29" s="1"/>
  <c r="D26" i="29"/>
  <c r="C26" i="29"/>
  <c r="B26" i="29"/>
  <c r="A26" i="29"/>
  <c r="Y25" i="29"/>
  <c r="AC25" i="29" s="1"/>
  <c r="T25" i="29"/>
  <c r="AB25" i="29" s="1"/>
  <c r="O25" i="29"/>
  <c r="AA25" i="29" s="1"/>
  <c r="J25" i="29"/>
  <c r="Z25" i="29" s="1"/>
  <c r="D25" i="29"/>
  <c r="C25" i="29"/>
  <c r="B25" i="29"/>
  <c r="A25" i="29"/>
  <c r="Y24" i="29"/>
  <c r="AC24" i="29" s="1"/>
  <c r="T24" i="29"/>
  <c r="AB24" i="29" s="1"/>
  <c r="O24" i="29"/>
  <c r="AA24" i="29" s="1"/>
  <c r="J24" i="29"/>
  <c r="Z24" i="29" s="1"/>
  <c r="D24" i="29"/>
  <c r="C24" i="29"/>
  <c r="B24" i="29"/>
  <c r="A24" i="29"/>
  <c r="Y23" i="29"/>
  <c r="AC23" i="29" s="1"/>
  <c r="T23" i="29"/>
  <c r="AB23" i="29" s="1"/>
  <c r="O23" i="29"/>
  <c r="AA23" i="29" s="1"/>
  <c r="J23" i="29"/>
  <c r="Z23" i="29" s="1"/>
  <c r="D23" i="29"/>
  <c r="C23" i="29"/>
  <c r="B23" i="29"/>
  <c r="A23" i="29"/>
  <c r="Y22" i="29"/>
  <c r="AC22" i="29" s="1"/>
  <c r="T22" i="29"/>
  <c r="AB22" i="29" s="1"/>
  <c r="O22" i="29"/>
  <c r="AA22" i="29" s="1"/>
  <c r="J22" i="29"/>
  <c r="Z22" i="29" s="1"/>
  <c r="D22" i="29"/>
  <c r="C22" i="29"/>
  <c r="B22" i="29"/>
  <c r="A22" i="29"/>
  <c r="Y21" i="29"/>
  <c r="AC21" i="29" s="1"/>
  <c r="T21" i="29"/>
  <c r="AB21" i="29" s="1"/>
  <c r="O21" i="29"/>
  <c r="AA21" i="29" s="1"/>
  <c r="J21" i="29"/>
  <c r="Z21" i="29" s="1"/>
  <c r="D21" i="29"/>
  <c r="C21" i="29"/>
  <c r="B21" i="29"/>
  <c r="A21" i="29"/>
  <c r="Y20" i="29"/>
  <c r="AC20" i="29" s="1"/>
  <c r="T20" i="29"/>
  <c r="AB20" i="29" s="1"/>
  <c r="O20" i="29"/>
  <c r="AA20" i="29" s="1"/>
  <c r="J20" i="29"/>
  <c r="Z20" i="29" s="1"/>
  <c r="D20" i="29"/>
  <c r="C20" i="29"/>
  <c r="B20" i="29"/>
  <c r="A20" i="29"/>
  <c r="Y19" i="29"/>
  <c r="AC19" i="29" s="1"/>
  <c r="T19" i="29"/>
  <c r="AB19" i="29" s="1"/>
  <c r="O19" i="29"/>
  <c r="AA19" i="29" s="1"/>
  <c r="J19" i="29"/>
  <c r="Z19" i="29" s="1"/>
  <c r="D19" i="29"/>
  <c r="C19" i="29"/>
  <c r="B19" i="29"/>
  <c r="A19" i="29"/>
  <c r="Y18" i="29"/>
  <c r="AC18" i="29" s="1"/>
  <c r="T18" i="29"/>
  <c r="AB18" i="29" s="1"/>
  <c r="O18" i="29"/>
  <c r="AA18" i="29" s="1"/>
  <c r="J18" i="29"/>
  <c r="Z18" i="29" s="1"/>
  <c r="D18" i="29"/>
  <c r="C18" i="29"/>
  <c r="B18" i="29"/>
  <c r="A18" i="29"/>
  <c r="Y17" i="29"/>
  <c r="AC17" i="29" s="1"/>
  <c r="T17" i="29"/>
  <c r="AB17" i="29" s="1"/>
  <c r="O17" i="29"/>
  <c r="AA17" i="29" s="1"/>
  <c r="J17" i="29"/>
  <c r="Z17" i="29" s="1"/>
  <c r="D17" i="29"/>
  <c r="C17" i="29"/>
  <c r="B17" i="29"/>
  <c r="A17" i="29"/>
  <c r="Y16" i="29"/>
  <c r="AC16" i="29" s="1"/>
  <c r="T16" i="29"/>
  <c r="AB16" i="29" s="1"/>
  <c r="O16" i="29"/>
  <c r="AA16" i="29" s="1"/>
  <c r="J16" i="29"/>
  <c r="Z16" i="29" s="1"/>
  <c r="D16" i="29"/>
  <c r="C16" i="29"/>
  <c r="B16" i="29"/>
  <c r="A16" i="29"/>
  <c r="Y15" i="29"/>
  <c r="AC15" i="29" s="1"/>
  <c r="T15" i="29"/>
  <c r="AB15" i="29" s="1"/>
  <c r="O15" i="29"/>
  <c r="AA15" i="29" s="1"/>
  <c r="J15" i="29"/>
  <c r="Z15" i="29" s="1"/>
  <c r="D15" i="29"/>
  <c r="C15" i="29"/>
  <c r="B15" i="29"/>
  <c r="A15" i="29"/>
  <c r="Y14" i="29"/>
  <c r="AC14" i="29" s="1"/>
  <c r="T14" i="29"/>
  <c r="AB14" i="29" s="1"/>
  <c r="O14" i="29"/>
  <c r="AA14" i="29" s="1"/>
  <c r="J14" i="29"/>
  <c r="Z14" i="29" s="1"/>
  <c r="D14" i="29"/>
  <c r="C14" i="29"/>
  <c r="B14" i="29"/>
  <c r="A14" i="29"/>
  <c r="Y13" i="29"/>
  <c r="AC13" i="29" s="1"/>
  <c r="T13" i="29"/>
  <c r="AB13" i="29" s="1"/>
  <c r="O13" i="29"/>
  <c r="AA13" i="29" s="1"/>
  <c r="J13" i="29"/>
  <c r="Z13" i="29" s="1"/>
  <c r="D13" i="29"/>
  <c r="C13" i="29"/>
  <c r="B13" i="29"/>
  <c r="A13" i="29"/>
  <c r="Y12" i="29"/>
  <c r="AC12" i="29" s="1"/>
  <c r="T12" i="29"/>
  <c r="AB12" i="29" s="1"/>
  <c r="O12" i="29"/>
  <c r="AA12" i="29" s="1"/>
  <c r="J12" i="29"/>
  <c r="Z12" i="29" s="1"/>
  <c r="D12" i="29"/>
  <c r="C12" i="29"/>
  <c r="B12" i="29"/>
  <c r="A12" i="29"/>
  <c r="Y11" i="29"/>
  <c r="AC11" i="29" s="1"/>
  <c r="T11" i="29"/>
  <c r="AB11" i="29" s="1"/>
  <c r="O11" i="29"/>
  <c r="AA11" i="29" s="1"/>
  <c r="J11" i="29"/>
  <c r="Z11" i="29" s="1"/>
  <c r="D11" i="29"/>
  <c r="C11" i="29"/>
  <c r="B11" i="29"/>
  <c r="A11" i="29"/>
  <c r="Y10" i="29"/>
  <c r="AC10" i="29" s="1"/>
  <c r="T10" i="29"/>
  <c r="AB10" i="29" s="1"/>
  <c r="O10" i="29"/>
  <c r="AA10" i="29" s="1"/>
  <c r="J10" i="29"/>
  <c r="Z10" i="29" s="1"/>
  <c r="D10" i="29"/>
  <c r="C10" i="29"/>
  <c r="B10" i="29"/>
  <c r="A10" i="29"/>
  <c r="Y9" i="29"/>
  <c r="AC9" i="29" s="1"/>
  <c r="T9" i="29"/>
  <c r="AB9" i="29" s="1"/>
  <c r="O9" i="29"/>
  <c r="AA9" i="29" s="1"/>
  <c r="J9" i="29"/>
  <c r="Z9" i="29" s="1"/>
  <c r="D9" i="29"/>
  <c r="C9" i="29"/>
  <c r="B9" i="29"/>
  <c r="A9" i="29"/>
  <c r="D8" i="29"/>
  <c r="D7" i="29"/>
  <c r="C7" i="29"/>
  <c r="T6" i="29"/>
  <c r="T7" i="29" s="1"/>
  <c r="Y5" i="29"/>
  <c r="T5" i="29"/>
  <c r="Y4" i="29"/>
  <c r="AC4" i="29" s="1"/>
  <c r="T4" i="29"/>
  <c r="AB4" i="29" s="1"/>
  <c r="O4" i="29"/>
  <c r="O5" i="29" s="1"/>
  <c r="J4" i="29"/>
  <c r="Z4" i="29" s="1"/>
  <c r="E4" i="29"/>
  <c r="AC3" i="29"/>
  <c r="AB3" i="29"/>
  <c r="AA3" i="29"/>
  <c r="Z3" i="29"/>
  <c r="AC2" i="29"/>
  <c r="AB2" i="29"/>
  <c r="AA2" i="29"/>
  <c r="Z2" i="29"/>
  <c r="CP1" i="29"/>
  <c r="BU1" i="29"/>
  <c r="AZ1" i="29"/>
  <c r="AY1" i="29"/>
  <c r="AX1" i="29"/>
  <c r="AW1" i="29"/>
  <c r="AV1" i="29"/>
  <c r="AU1" i="29"/>
  <c r="AT1" i="29"/>
  <c r="AS1" i="29"/>
  <c r="AR1" i="29"/>
  <c r="AQ1" i="29"/>
  <c r="AP1" i="29"/>
  <c r="AO1" i="29"/>
  <c r="AN1" i="29"/>
  <c r="AM1" i="29"/>
  <c r="AL1" i="29"/>
  <c r="AK1" i="29"/>
  <c r="AJ1" i="29"/>
  <c r="AI1" i="29"/>
  <c r="AH1" i="29"/>
  <c r="AG1" i="29"/>
  <c r="AF1" i="29"/>
  <c r="AE1" i="29"/>
  <c r="C9" i="28"/>
  <c r="E8" i="28"/>
  <c r="E7" i="28"/>
  <c r="E6" i="28"/>
  <c r="D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A10" i="28"/>
  <c r="Y9" i="28"/>
  <c r="AC9" i="28" s="1"/>
  <c r="T9" i="28"/>
  <c r="AB9" i="28" s="1"/>
  <c r="O9" i="28"/>
  <c r="AA9" i="28" s="1"/>
  <c r="J9" i="28"/>
  <c r="Z9" i="28" s="1"/>
  <c r="D9" i="28"/>
  <c r="D8" i="28"/>
  <c r="D7" i="28"/>
  <c r="O5" i="28"/>
  <c r="O6" i="28" s="1"/>
  <c r="D5" i="28"/>
  <c r="Y4" i="28"/>
  <c r="T4" i="28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8" i="27"/>
  <c r="E7" i="27"/>
  <c r="E6" i="27"/>
  <c r="E5" i="27"/>
  <c r="T8" i="29" l="1"/>
  <c r="O6" i="29"/>
  <c r="AA5" i="29"/>
  <c r="AB5" i="29"/>
  <c r="AA4" i="29"/>
  <c r="B5" i="29"/>
  <c r="B6" i="29" s="1"/>
  <c r="J5" i="29"/>
  <c r="Y6" i="29"/>
  <c r="C8" i="29"/>
  <c r="C5" i="29"/>
  <c r="C6" i="29" s="1"/>
  <c r="D5" i="29"/>
  <c r="D6" i="29" s="1"/>
  <c r="B9" i="28"/>
  <c r="A9" i="28" s="1"/>
  <c r="C5" i="28"/>
  <c r="C6" i="28" s="1"/>
  <c r="AA4" i="28"/>
  <c r="AB4" i="28"/>
  <c r="AC4" i="28"/>
  <c r="O7" i="28"/>
  <c r="J6" i="28"/>
  <c r="Z4" i="28"/>
  <c r="Y5" i="28"/>
  <c r="C7" i="28"/>
  <c r="T5" i="28"/>
  <c r="Z5" i="28" s="1"/>
  <c r="B5" i="28"/>
  <c r="C8" i="28"/>
  <c r="E4" i="27"/>
  <c r="B7" i="29" l="1"/>
  <c r="Y7" i="29"/>
  <c r="AC6" i="29"/>
  <c r="AA6" i="29"/>
  <c r="O7" i="29"/>
  <c r="J6" i="29"/>
  <c r="Z5" i="29"/>
  <c r="AC5" i="29"/>
  <c r="A5" i="29"/>
  <c r="A6" i="29" s="1"/>
  <c r="B6" i="28"/>
  <c r="A5" i="28"/>
  <c r="AA5" i="28"/>
  <c r="Y6" i="28"/>
  <c r="AC5" i="28"/>
  <c r="O8" i="28"/>
  <c r="AB5" i="28"/>
  <c r="T6" i="28"/>
  <c r="Z6" i="28" s="1"/>
  <c r="J7" i="28"/>
  <c r="O5" i="27"/>
  <c r="AC3" i="27"/>
  <c r="AA3" i="27"/>
  <c r="AB3" i="27"/>
  <c r="Z3" i="27"/>
  <c r="A7" i="29" l="1"/>
  <c r="A6" i="28"/>
  <c r="J7" i="29"/>
  <c r="Z6" i="29"/>
  <c r="AB6" i="29"/>
  <c r="Y8" i="29"/>
  <c r="AC7" i="29"/>
  <c r="O8" i="29"/>
  <c r="AA7" i="29"/>
  <c r="A8" i="29"/>
  <c r="B8" i="29"/>
  <c r="B7" i="28"/>
  <c r="T7" i="28"/>
  <c r="AA7" i="28" s="1"/>
  <c r="AB6" i="28"/>
  <c r="AA6" i="28"/>
  <c r="Y7" i="28"/>
  <c r="AC6" i="28"/>
  <c r="J8" i="28"/>
  <c r="CP1" i="27"/>
  <c r="AC2" i="27"/>
  <c r="BU1" i="27"/>
  <c r="AB2" i="27"/>
  <c r="AZ1" i="27"/>
  <c r="AA2" i="27"/>
  <c r="AE1" i="27"/>
  <c r="Z2" i="27"/>
  <c r="AC8" i="29" l="1"/>
  <c r="AA8" i="29"/>
  <c r="Z7" i="29"/>
  <c r="J8" i="29"/>
  <c r="AB7" i="29"/>
  <c r="Z7" i="28"/>
  <c r="B8" i="28"/>
  <c r="T8" i="28"/>
  <c r="AB7" i="28"/>
  <c r="Y8" i="28"/>
  <c r="AC7" i="28"/>
  <c r="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J7" i="27"/>
  <c r="D7" i="27"/>
  <c r="C7" i="27"/>
  <c r="B7" i="27"/>
  <c r="J6" i="27"/>
  <c r="D6" i="27"/>
  <c r="C6" i="27"/>
  <c r="B6" i="27"/>
  <c r="J5" i="27"/>
  <c r="D5" i="27"/>
  <c r="C5" i="27"/>
  <c r="B5" i="27"/>
  <c r="A5" i="27" s="1"/>
  <c r="Y4" i="27"/>
  <c r="T4" i="27"/>
  <c r="O4" i="27"/>
  <c r="J4" i="27"/>
  <c r="Z8" i="29" l="1"/>
  <c r="AB8" i="29"/>
  <c r="A8" i="28"/>
  <c r="AC8" i="28"/>
  <c r="AB8" i="28"/>
  <c r="AA8" i="28"/>
  <c r="Z8" i="28"/>
  <c r="A6" i="27"/>
  <c r="A7" i="27" s="1"/>
  <c r="A8" i="27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<sst xmlns="http://schemas.openxmlformats.org/spreadsheetml/2006/main" count="705" uniqueCount="178">
  <si>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</si>
  <si>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</si>
  <si>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</si>
  <si>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</si>
  <si>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</si>
  <si>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</si>
  <si>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</si>
  <si>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</si>
  <si>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</si>
  <si>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</si>
  <si>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</si>
  <si>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</si>
  <si>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</si>
  <si>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</si>
  <si>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</si>
  <si>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</si>
  <si>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</si>
  <si>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</si>
  <si>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</si>
  <si>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</si>
  <si>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</si>
  <si>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</si>
  <si>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</si>
  <si>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</si>
  <si>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</si>
  <si>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</si>
  <si>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</si>
  <si>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</si>
  <si>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</si>
  <si>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</si>
  <si>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</si>
  <si>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</si>
  <si>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</si>
  <si>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</si>
  <si>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</si>
  <si>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</si>
  <si>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</si>
  <si>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</si>
  <si>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</si>
  <si>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</si>
  <si>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</si>
  <si>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</si>
  <si>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</si>
  <si>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</si>
  <si>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</si>
  <si>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</si>
  <si>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</si>
  <si>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</si>
  <si>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</si>
  <si>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</si>
  <si>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</si>
  <si>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</si>
  <si>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</si>
  <si>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</si>
  <si>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</si>
  <si>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</si>
  <si>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</si>
  <si>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</si>
  <si>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</si>
  <si>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</si>
  <si>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</si>
  <si>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</si>
  <si>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</si>
  <si>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</si>
  <si>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</si>
  <si>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</si>
  <si>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</si>
  <si>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</si>
  <si>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</si>
  <si>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</si>
  <si>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</si>
  <si>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</si>
  <si>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</si>
  <si>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</si>
  <si>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</si>
  <si>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</si>
  <si>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</si>
  <si>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</si>
  <si>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</si>
  <si>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</si>
  <si>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</si>
  <si>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</si>
  <si>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</si>
  <si>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</si>
  <si>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</si>
  <si>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</si>
  <si>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</si>
  <si>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</si>
  <si>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</si>
  <si>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</si>
  <si>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</si>
  <si>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</si>
  <si>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</si>
  <si>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</si>
  <si>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</si>
  <si>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</si>
  <si>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</si>
  <si>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</si>
  <si>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</si>
  <si>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</si>
  <si>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</si>
  <si>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</si>
  <si>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</si>
  <si>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</si>
  <si>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</si>
  <si>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</si>
  <si>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</si>
  <si>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</si>
  <si>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</si>
  <si>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</si>
  <si>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</si>
  <si>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</si>
  <si>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</si>
  <si>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</si>
  <si>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</si>
  <si>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</si>
  <si>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</si>
  <si>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</si>
  <si>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</si>
  <si>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</si>
  <si>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</si>
  <si>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</si>
  <si>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</si>
  <si>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</si>
  <si>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</si>
  <si>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</si>
  <si>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</si>
  <si>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</si>
  <si>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</si>
  <si>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</si>
  <si>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</si>
  <si>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</si>
  <si>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</si>
  <si>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</si>
  <si>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</si>
  <si>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</si>
  <si>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</si>
  <si>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</si>
  <si>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</si>
  <si>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</si>
  <si>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</si>
  <si>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</si>
  <si>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</si>
  <si>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</si>
  <si>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</si>
  <si>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</si>
  <si>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</si>
  <si>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</si>
  <si>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</si>
  <si>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</si>
  <si>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</si>
  <si>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</si>
  <si>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</si>
  <si>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</si>
  <si>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</si>
  <si>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</si>
  <si>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</si>
  <si>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</si>
  <si>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</si>
  <si>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</si>
  <si>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</si>
  <si>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</si>
  <si>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柳澤颯吾</t>
  </si>
  <si>
    <t>関谷洸佑</t>
    <rPh sb="0" eb="2">
      <t>セキヤ</t>
    </rPh>
    <rPh sb="2" eb="3">
      <t>コウ</t>
    </rPh>
    <rPh sb="3" eb="4">
      <t>スケ</t>
    </rPh>
    <phoneticPr fontId="1"/>
  </si>
  <si>
    <t>阿部圭太朗</t>
    <rPh sb="0" eb="2">
      <t>アベ</t>
    </rPh>
    <rPh sb="2" eb="5">
      <t>ケイタロウ</t>
    </rPh>
    <phoneticPr fontId="1"/>
  </si>
  <si>
    <t>ツモ支払</t>
  </si>
  <si>
    <t>ツモ</t>
  </si>
  <si>
    <t>*</t>
  </si>
  <si>
    <t>01</t>
  </si>
  <si>
    <t>52</t>
  </si>
  <si>
    <t>放銃</t>
  </si>
  <si>
    <t>ロン</t>
  </si>
  <si>
    <t>02</t>
  </si>
  <si>
    <t>阿部圭太朗</t>
    <rPh sb="0" eb="2">
      <t>アベ</t>
    </rPh>
    <rPh sb="2" eb="5">
      <t>ケイタロウ</t>
    </rPh>
    <phoneticPr fontId="1"/>
  </si>
  <si>
    <t>関谷洸佑</t>
    <rPh sb="0" eb="2">
      <t>セキヤ</t>
    </rPh>
    <rPh sb="2" eb="3">
      <t>コウ</t>
    </rPh>
    <rPh sb="3" eb="4">
      <t>スケ</t>
    </rPh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</si>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</sst>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163</v>
      </c>
      <c r="G1" s="73"/>
      <c r="H1" s="73"/>
      <c r="I1" s="74"/>
      <c r="J1" s="75"/>
      <c r="K1" s="72" t="s">
        <v>161</v>
      </c>
      <c r="L1" s="73"/>
      <c r="M1" s="73"/>
      <c r="N1" s="74"/>
      <c r="O1" s="75"/>
      <c r="P1" s="72" t="s">
        <v>164</v>
      </c>
      <c r="Q1" s="73"/>
      <c r="R1" s="73"/>
      <c r="S1" s="74"/>
      <c r="T1" s="75"/>
      <c r="U1" s="72" t="s">
        <v>162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関谷洸佑</v>
      </c>
      <c r="AF1" s="82" t="str">
        <f t="shared" ref="AF1:AY1" si="0">$F$1</f>
        <v>関谷洸佑</v>
      </c>
      <c r="AG1" s="73" t="str">
        <f t="shared" si="0"/>
        <v>関谷洸佑</v>
      </c>
      <c r="AH1" s="73" t="str">
        <f t="shared" si="0"/>
        <v>関谷洸佑</v>
      </c>
      <c r="AI1" s="73" t="str">
        <f t="shared" si="0"/>
        <v>関谷洸佑</v>
      </c>
      <c r="AJ1" s="73" t="str">
        <f t="shared" si="0"/>
        <v>関谷洸佑</v>
      </c>
      <c r="AK1" s="73" t="str">
        <f t="shared" si="0"/>
        <v>関谷洸佑</v>
      </c>
      <c r="AL1" s="73" t="str">
        <f t="shared" si="0"/>
        <v>関谷洸佑</v>
      </c>
      <c r="AM1" s="73" t="str">
        <f t="shared" si="0"/>
        <v>関谷洸佑</v>
      </c>
      <c r="AN1" s="73" t="str">
        <f t="shared" si="0"/>
        <v>関谷洸佑</v>
      </c>
      <c r="AO1" s="73" t="str">
        <f t="shared" si="0"/>
        <v>関谷洸佑</v>
      </c>
      <c r="AP1" s="73" t="str">
        <f t="shared" si="0"/>
        <v>関谷洸佑</v>
      </c>
      <c r="AQ1" s="73" t="str">
        <f t="shared" si="0"/>
        <v>関谷洸佑</v>
      </c>
      <c r="AR1" s="73" t="str">
        <f t="shared" si="0"/>
        <v>関谷洸佑</v>
      </c>
      <c r="AS1" s="73" t="str">
        <f t="shared" si="0"/>
        <v>関谷洸佑</v>
      </c>
      <c r="AT1" s="73" t="str">
        <f t="shared" si="0"/>
        <v>関谷洸佑</v>
      </c>
      <c r="AU1" s="73" t="str">
        <f t="shared" si="0"/>
        <v>関谷洸佑</v>
      </c>
      <c r="AV1" s="73" t="str">
        <f t="shared" si="0"/>
        <v>関谷洸佑</v>
      </c>
      <c r="AW1" s="73" t="str">
        <f t="shared" si="0"/>
        <v>関谷洸佑</v>
      </c>
      <c r="AX1" s="73" t="str">
        <f t="shared" si="0"/>
        <v>関谷洸佑</v>
      </c>
      <c r="AY1" s="75" t="str">
        <f t="shared" si="0"/>
        <v>関谷洸佑</v>
      </c>
      <c r="AZ1" s="72" t="str">
        <f>IF($K$1="","",$K$1)</f>
        <v>佐藤成浩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阿部圭太朗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柳澤颯吾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関谷洸佑</v>
      </c>
      <c r="AA2" s="61" t="str">
        <f>IF($K$1="","",$K$1)</f>
        <v>佐藤成浩</v>
      </c>
      <c r="AB2" s="61" t="str">
        <f>IF($P$1="","",$P$1)</f>
        <v>阿部圭太朗</v>
      </c>
      <c r="AC2" s="13" t="str">
        <f>IF($U$1="","",$U$1)</f>
        <v>柳澤颯吾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関谷洸佑</v>
      </c>
      <c r="F4" s="5" t="s">
        <v>165</v>
      </c>
      <c r="G4" s="6">
        <v>-4000</v>
      </c>
      <c r="H4" s="6"/>
      <c r="I4" s="45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45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45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-39</v>
      </c>
      <c r="AA4" s="51">
        <f>IF($O4="","",ROUND(($O4-30000)/1000,1)+(2.5-_xlfn.RANK.AVG($O4,($J4,$O4,$T4,$Y4)))*20+IF(_xlfn.RANK.EQ($O4,($J4,$O4,$T4,$Y4))=1,20/((_xlfn.RANK.AVG($O4,($J4,$O4,$T4,$Y4))-1)*2+1),0))</f>
        <v>-7</v>
      </c>
      <c r="AB4" s="51">
        <f>IF($T4="","",ROUND(($T4-30000)/1000,1)+(2.5-_xlfn.RANK.AVG($T4,($J4,$O4,$T4,$Y4)))*20+IF(_xlfn.RANK.EQ($T4,($J4,$O4,$T4,$Y4))=1,20/((_xlfn.RANK.AVG($T4,($J4,$O4,$T4,$Y4))-1)*2+1),0))</f>
        <v>53</v>
      </c>
      <c r="AC4" s="52">
        <f>IF($Y4="","",ROUND(($Y4-30000)/1000,1)+(2.5-_xlfn.RANK.AVG($Y4,($J4,$O4,$T4,$Y4)))*20+IF(_xlfn.RANK.EQ($Y4,($J4,$O4,$T4,$Y4))=1,20/((_xlfn.RANK.AVG($Y4,($J4,$O4,$T4,$Y4))-1)*2+1),0))</f>
        <v>-7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5</v>
      </c>
      <c r="BZ4" s="27" t="s">
        <v>167</v>
      </c>
      <c r="CA4" s="37" t="s">
        <v>168</v>
      </c>
      <c r="CB4" s="38" t="s">
        <v>73</v>
      </c>
      <c r="CC4" s="38" t="s">
        <v>74</v>
      </c>
      <c r="CD4" s="38" t="s">
        <v>169</v>
      </c>
      <c r="CE4" s="38" t="s">
        <v>71</v>
      </c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170</v>
      </c>
      <c r="G5" s="6">
        <v>-7700</v>
      </c>
      <c r="H5" s="6"/>
      <c r="I5" s="45">
        <v>0</v>
      </c>
      <c r="J5" s="18">
        <f t="shared" ref="J5:J30" si="2">IF(COUNTA($F5,$K5,$P5,$U5)&gt;0,J4+SUM(G5:I5),"")</f>
        <v>13300</v>
      </c>
      <c r="K5" s="5" t="s">
        <v>171</v>
      </c>
      <c r="L5" s="6">
        <v>7700</v>
      </c>
      <c r="M5" s="6">
        <v>1000</v>
      </c>
      <c r="N5" s="45">
        <v>0</v>
      </c>
      <c r="O5" s="18">
        <f>IF(COUNTA($F5,$K5,$P5,$U5)&gt;0,O4+SUM(L5:N5),"")</f>
        <v>31700</v>
      </c>
      <c r="P5" s="5"/>
      <c r="Q5" s="6"/>
      <c r="R5" s="6">
        <v>-1000</v>
      </c>
      <c r="S5" s="45"/>
      <c r="T5" s="18">
        <f t="shared" ref="T5:T30" si="3">IF(COUNTA($F5,$K5,$P5,$U5)&gt;0,T4+SUM(Q5:S5),"")</f>
        <v>32000</v>
      </c>
      <c r="U5" s="5"/>
      <c r="V5" s="6"/>
      <c r="W5" s="6"/>
      <c r="X5" s="45"/>
      <c r="Y5" s="18">
        <f t="shared" ref="Y5:Y30" si="4">IF(COUNTA($F5,$K5,$P5,$U5)&gt;0,Y4+SUM(V5:X5),"")</f>
        <v>23000</v>
      </c>
      <c r="Z5" s="50">
        <f>IF($J5="","",ROUND(($J5-30000)/1000,1)+(2.5-_xlfn.RANK.AVG($J5,($J5,$O5,$T5,$Y5)))*20+IF(_xlfn.RANK.EQ($J5,($J5,$O5,$T5,$Y5))=1,20/((_xlfn.RANK.AVG($J5,($J5,$O5,$T5,$Y5))-1)*2+1),0))</f>
        <v>-46.7</v>
      </c>
      <c r="AA5" s="51">
        <f>IF($O5="","",ROUND(($O5-30000)/1000,1)+(2.5-_xlfn.RANK.AVG($O5,($J5,$O5,$T5,$Y5)))*20+IF(_xlfn.RANK.EQ($O5,($J5,$O5,$T5,$Y5))=1,20/((_xlfn.RANK.AVG($O5,($J5,$O5,$T5,$Y5))-1)*2+1),0))</f>
        <v>11.7</v>
      </c>
      <c r="AB5" s="51">
        <f>IF($T5="","",ROUND(($T5-30000)/1000,1)+(2.5-_xlfn.RANK.AVG($T5,($J5,$O5,$T5,$Y5)))*20+IF(_xlfn.RANK.EQ($T5,($J5,$O5,$T5,$Y5))=1,20/((_xlfn.RANK.AVG($T5,($J5,$O5,$T5,$Y5))-1)*2+1),0))</f>
        <v>52</v>
      </c>
      <c r="AC5" s="52">
        <f>IF($Y5="","",ROUND(($Y5-30000)/1000,1)+(2.5-_xlfn.RANK.AVG($Y5,($J5,$O5,$T5,$Y5)))*20+IF(_xlfn.RANK.EQ($Y5,($J5,$O5,$T5,$Y5))=1,20/((_xlfn.RANK.AVG($Y5,($J5,$O5,$T5,$Y5))-1)*2+1),0))</f>
        <v>-17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3</v>
      </c>
      <c r="BE5" s="27">
        <v>40</v>
      </c>
      <c r="BF5" s="37" t="s">
        <v>168</v>
      </c>
      <c r="BG5" s="38" t="s">
        <v>70</v>
      </c>
      <c r="BH5" s="38" t="s">
        <v>70</v>
      </c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 t="s">
        <v>165</v>
      </c>
      <c r="G6" s="6">
        <v>-300</v>
      </c>
      <c r="H6" s="6"/>
      <c r="I6" s="45">
        <v>-100</v>
      </c>
      <c r="J6" s="18">
        <f t="shared" si="2"/>
        <v>12900</v>
      </c>
      <c r="K6" s="5" t="s">
        <v>165</v>
      </c>
      <c r="L6" s="6">
        <v>-500</v>
      </c>
      <c r="M6" s="6"/>
      <c r="N6" s="45">
        <v>-100</v>
      </c>
      <c r="O6" s="18">
        <f t="shared" ref="O6:O30" si="8">IF(COUNTA($F6,$K6,$P6,$U6)&gt;0,O5+SUM(L6:N6),"")</f>
        <v>31100</v>
      </c>
      <c r="P6" s="5" t="s">
        <v>165</v>
      </c>
      <c r="Q6" s="6">
        <v>-300</v>
      </c>
      <c r="R6" s="6"/>
      <c r="S6" s="45">
        <v>-100</v>
      </c>
      <c r="T6" s="18">
        <f t="shared" si="3"/>
        <v>31600</v>
      </c>
      <c r="U6" s="5" t="s">
        <v>166</v>
      </c>
      <c r="V6" s="6">
        <v>1100</v>
      </c>
      <c r="W6" s="6"/>
      <c r="X6" s="45">
        <v>300</v>
      </c>
      <c r="Y6" s="18">
        <f t="shared" si="4"/>
        <v>24400</v>
      </c>
      <c r="Z6" s="50">
        <f>IF($J6="","",ROUND(($J6-30000)/1000,1)+(2.5-_xlfn.RANK.AVG($J6,($J6,$O6,$T6,$Y6)))*20+IF(_xlfn.RANK.EQ($J6,($J6,$O6,$T6,$Y6))=1,20/((_xlfn.RANK.AVG($J6,($J6,$O6,$T6,$Y6))-1)*2+1),0))</f>
        <v>-47.1</v>
      </c>
      <c r="AA6" s="51">
        <f>IF($O6="","",ROUND(($O6-30000)/1000,1)+(2.5-_xlfn.RANK.AVG($O6,($J6,$O6,$T6,$Y6)))*20+IF(_xlfn.RANK.EQ($O6,($J6,$O6,$T6,$Y6))=1,20/((_xlfn.RANK.AVG($O6,($J6,$O6,$T6,$Y6))-1)*2+1),0))</f>
        <v>11.1</v>
      </c>
      <c r="AB6" s="51">
        <f>IF($T6="","",ROUND(($T6-30000)/1000,1)+(2.5-_xlfn.RANK.AVG($T6,($J6,$O6,$T6,$Y6)))*20+IF(_xlfn.RANK.EQ($T6,($J6,$O6,$T6,$Y6))=1,20/((_xlfn.RANK.AVG($T6,($J6,$O6,$T6,$Y6))-1)*2+1),0))</f>
        <v>51.6</v>
      </c>
      <c r="AC6" s="52">
        <f>IF($Y6="","",ROUND(($Y6-30000)/1000,1)+(2.5-_xlfn.RANK.AVG($Y6,($J6,$O6,$T6,$Y6)))*20+IF(_xlfn.RANK.EQ($Y6,($J6,$O6,$T6,$Y6))=1,20/((_xlfn.RANK.AVG($Y6,($J6,$O6,$T6,$Y6))-1)*2+1),0))</f>
        <v>-15.6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>
        <v>1</v>
      </c>
      <c r="CU6" s="27">
        <v>30</v>
      </c>
      <c r="CV6" s="37" t="s">
        <v>77</v>
      </c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阿部圭太朗</v>
      </c>
      <c r="F7" s="5"/>
      <c r="G7" s="6"/>
      <c r="H7" s="6"/>
      <c r="I7" s="45"/>
      <c r="J7" s="18">
        <f t="shared" si="2"/>
        <v>12900</v>
      </c>
      <c r="K7" s="5" t="s">
        <v>171</v>
      </c>
      <c r="L7" s="6">
        <v>8000</v>
      </c>
      <c r="M7" s="6"/>
      <c r="N7" s="45">
        <v>0</v>
      </c>
      <c r="O7" s="18">
        <f t="shared" si="8"/>
        <v>39100</v>
      </c>
      <c r="P7" s="5"/>
      <c r="Q7" s="6"/>
      <c r="R7" s="6"/>
      <c r="S7" s="45"/>
      <c r="T7" s="18">
        <f t="shared" si="3"/>
        <v>31600</v>
      </c>
      <c r="U7" s="5" t="s">
        <v>170</v>
      </c>
      <c r="V7" s="6">
        <v>-8000</v>
      </c>
      <c r="W7" s="6"/>
      <c r="X7" s="45">
        <v>0</v>
      </c>
      <c r="Y7" s="18">
        <f t="shared" si="4"/>
        <v>16400</v>
      </c>
      <c r="Z7" s="50">
        <f>IF($J7="","",ROUND(($J7-30000)/1000,1)+(2.5-_xlfn.RANK.AVG($J7,($J7,$O7,$T7,$Y7)))*20+IF(_xlfn.RANK.EQ($J7,($J7,$O7,$T7,$Y7))=1,20/((_xlfn.RANK.AVG($J7,($J7,$O7,$T7,$Y7))-1)*2+1),0))</f>
        <v>-47.1</v>
      </c>
      <c r="AA7" s="51">
        <f>IF($O7="","",ROUND(($O7-30000)/1000,1)+(2.5-_xlfn.RANK.AVG($O7,($J7,$O7,$T7,$Y7)))*20+IF(_xlfn.RANK.EQ($O7,($J7,$O7,$T7,$Y7))=1,20/((_xlfn.RANK.AVG($O7,($J7,$O7,$T7,$Y7))-1)*2+1),0))</f>
        <v>59.1</v>
      </c>
      <c r="AB7" s="51">
        <f>IF($T7="","",ROUND(($T7-30000)/1000,1)+(2.5-_xlfn.RANK.AVG($T7,($J7,$O7,$T7,$Y7)))*20+IF(_xlfn.RANK.EQ($T7,($J7,$O7,$T7,$Y7))=1,20/((_xlfn.RANK.AVG($T7,($J7,$O7,$T7,$Y7))-1)*2+1),0))</f>
        <v>11.6</v>
      </c>
      <c r="AC7" s="52">
        <f>IF($Y7="","",ROUND(($Y7-30000)/1000,1)+(2.5-_xlfn.RANK.AVG($Y7,($J7,$O7,$T7,$Y7)))*20+IF(_xlfn.RANK.EQ($Y7,($J7,$O7,$T7,$Y7))=1,20/((_xlfn.RANK.AVG($Y7,($J7,$O7,$T7,$Y7))-1)*2+1),0))</f>
        <v>-23.6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>
        <v>4</v>
      </c>
      <c r="BE7" s="27">
        <v>30</v>
      </c>
      <c r="BF7" s="37" t="s">
        <v>77</v>
      </c>
      <c r="BG7" s="38" t="s">
        <v>70</v>
      </c>
      <c r="BH7" s="38" t="s">
        <v>70</v>
      </c>
      <c r="BI7" s="38" t="s">
        <v>70</v>
      </c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IF($U$1="","",$U$1)</f>
        <v>柳澤颯吾</v>
      </c>
      <c r="F8" s="5"/>
      <c r="G8" s="6"/>
      <c r="H8" s="6"/>
      <c r="I8" s="45"/>
      <c r="J8" s="18">
        <f t="shared" si="2"/>
        <v>12900</v>
      </c>
      <c r="K8" s="5" t="s">
        <v>171</v>
      </c>
      <c r="L8" s="6">
        <v>8000</v>
      </c>
      <c r="M8" s="6">
        <v>1000</v>
      </c>
      <c r="N8" s="45">
        <v>0</v>
      </c>
      <c r="O8" s="18">
        <f t="shared" si="8"/>
        <v>48100</v>
      </c>
      <c r="P8" s="5" t="s">
        <v>170</v>
      </c>
      <c r="Q8" s="6">
        <v>-8000</v>
      </c>
      <c r="R8" s="6">
        <v>-1000</v>
      </c>
      <c r="S8" s="45">
        <v>0</v>
      </c>
      <c r="T8" s="18">
        <f t="shared" si="3"/>
        <v>22600</v>
      </c>
      <c r="U8" s="5"/>
      <c r="V8" s="6"/>
      <c r="W8" s="6"/>
      <c r="X8" s="45"/>
      <c r="Y8" s="18">
        <f t="shared" si="4"/>
        <v>16400</v>
      </c>
      <c r="Z8" s="50">
        <f>IF($J8="","",ROUND(($J8-30000)/1000,1)+(2.5-_xlfn.RANK.AVG($J8,($J8,$O8,$T8,$Y8)))*20+IF(_xlfn.RANK.EQ($J8,($J8,$O8,$T8,$Y8))=1,20/((_xlfn.RANK.AVG($J8,($J8,$O8,$T8,$Y8))-1)*2+1),0))</f>
        <v>-47.1</v>
      </c>
      <c r="AA8" s="51">
        <f>IF($O8="","",ROUND(($O8-30000)/1000,1)+(2.5-_xlfn.RANK.AVG($O8,($J8,$O8,$T8,$Y8)))*20+IF(_xlfn.RANK.EQ($O8,($J8,$O8,$T8,$Y8))=1,20/((_xlfn.RANK.AVG($O8,($J8,$O8,$T8,$Y8))-1)*2+1),0))</f>
        <v>68.099999999999994</v>
      </c>
      <c r="AB8" s="51">
        <f>IF($T8="","",ROUND(($T8-30000)/1000,1)+(2.5-_xlfn.RANK.AVG($T8,($J8,$O8,$T8,$Y8)))*20+IF(_xlfn.RANK.EQ($T8,($J8,$O8,$T8,$Y8))=1,20/((_xlfn.RANK.AVG($T8,($J8,$O8,$T8,$Y8))-1)*2+1),0))</f>
        <v>2.5999999999999996</v>
      </c>
      <c r="AC8" s="52">
        <f>IF($Y8="","",ROUND(($Y8-30000)/1000,1)+(2.5-_xlfn.RANK.AVG($Y8,($J8,$O8,$T8,$Y8)))*20+IF(_xlfn.RANK.EQ($Y8,($J8,$O8,$T8,$Y8))=1,20/((_xlfn.RANK.AVG($Y8,($J8,$O8,$T8,$Y8))-1)*2+1),0))</f>
        <v>-23.6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5</v>
      </c>
      <c r="BE8" s="27" t="s">
        <v>167</v>
      </c>
      <c r="BF8" s="37" t="s">
        <v>168</v>
      </c>
      <c r="BG8" s="38" t="s">
        <v>172</v>
      </c>
      <c r="BH8" s="38" t="s">
        <v>169</v>
      </c>
      <c r="BI8" s="38" t="s">
        <v>169</v>
      </c>
      <c r="BJ8" s="38" t="s">
        <v>71</v>
      </c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2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E6DBC476-B5EC-425E-B443-F35089AA2CB3}">
      <formula1>"百瀬成空,滝沢悠人,大池陸斗,佐藤成浩,柳澤颯吾,石澤巧望,小林郁斗,川上翔大,中川弘崇,小原陸哉,近藤隼,鷲野翼,松澤大地,水澤良平,"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7ED73-68B2-41E2-BF2A-4CC6A11A6667}">
  <sheetPr codeName="Sheet10">
    <pageSetUpPr fitToPage="1"/>
  </sheetPr>
  <dimension ref="A1:DJ30"/>
  <sheetViews>
    <sheetView topLeftCell="O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173</v>
      </c>
      <c r="L1" s="73"/>
      <c r="M1" s="73"/>
      <c r="N1" s="74"/>
      <c r="O1" s="75"/>
      <c r="P1" s="72" t="s">
        <v>162</v>
      </c>
      <c r="Q1" s="73"/>
      <c r="R1" s="73"/>
      <c r="S1" s="74"/>
      <c r="T1" s="75"/>
      <c r="U1" s="72" t="s">
        <v>174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佐藤成浩</v>
      </c>
      <c r="AF1" s="82" t="str">
        <f t="shared" ref="AF1:AY1" si="0">$F$1</f>
        <v>佐藤成浩</v>
      </c>
      <c r="AG1" s="73" t="str">
        <f t="shared" si="0"/>
        <v>佐藤成浩</v>
      </c>
      <c r="AH1" s="73" t="str">
        <f t="shared" si="0"/>
        <v>佐藤成浩</v>
      </c>
      <c r="AI1" s="73" t="str">
        <f t="shared" si="0"/>
        <v>佐藤成浩</v>
      </c>
      <c r="AJ1" s="73" t="str">
        <f t="shared" si="0"/>
        <v>佐藤成浩</v>
      </c>
      <c r="AK1" s="73" t="str">
        <f t="shared" si="0"/>
        <v>佐藤成浩</v>
      </c>
      <c r="AL1" s="73" t="str">
        <f t="shared" si="0"/>
        <v>佐藤成浩</v>
      </c>
      <c r="AM1" s="73" t="str">
        <f t="shared" si="0"/>
        <v>佐藤成浩</v>
      </c>
      <c r="AN1" s="73" t="str">
        <f t="shared" si="0"/>
        <v>佐藤成浩</v>
      </c>
      <c r="AO1" s="73" t="str">
        <f t="shared" si="0"/>
        <v>佐藤成浩</v>
      </c>
      <c r="AP1" s="73" t="str">
        <f t="shared" si="0"/>
        <v>佐藤成浩</v>
      </c>
      <c r="AQ1" s="73" t="str">
        <f t="shared" si="0"/>
        <v>佐藤成浩</v>
      </c>
      <c r="AR1" s="73" t="str">
        <f t="shared" si="0"/>
        <v>佐藤成浩</v>
      </c>
      <c r="AS1" s="73" t="str">
        <f t="shared" si="0"/>
        <v>佐藤成浩</v>
      </c>
      <c r="AT1" s="73" t="str">
        <f t="shared" si="0"/>
        <v>佐藤成浩</v>
      </c>
      <c r="AU1" s="73" t="str">
        <f t="shared" si="0"/>
        <v>佐藤成浩</v>
      </c>
      <c r="AV1" s="73" t="str">
        <f t="shared" si="0"/>
        <v>佐藤成浩</v>
      </c>
      <c r="AW1" s="73" t="str">
        <f t="shared" si="0"/>
        <v>佐藤成浩</v>
      </c>
      <c r="AX1" s="73" t="str">
        <f t="shared" si="0"/>
        <v>佐藤成浩</v>
      </c>
      <c r="AY1" s="75" t="str">
        <f t="shared" si="0"/>
        <v>佐藤成浩</v>
      </c>
      <c r="AZ1" s="72" t="str">
        <f>IF($K$1="","",$K$1)</f>
        <v>阿部圭太朗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柳澤颯吾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関谷洸佑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佐藤成浩</v>
      </c>
      <c r="AA2" s="70" t="str">
        <f>IF($K$1="","",$K$1)</f>
        <v>阿部圭太朗</v>
      </c>
      <c r="AB2" s="70" t="str">
        <f>IF($P$1="","",$P$1)</f>
        <v>柳澤颯吾</v>
      </c>
      <c r="AC2" s="71" t="str">
        <f>IF($U$1="","",$U$1)</f>
        <v>関谷洸佑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166</v>
      </c>
      <c r="G4" s="6">
        <v>7800</v>
      </c>
      <c r="H4" s="6"/>
      <c r="I4" s="45">
        <v>0</v>
      </c>
      <c r="J4" s="18">
        <f>IF(COUNTA($F4,$K4,$P4,$U4)&gt;0,J3+SUM(G4:I4),"")</f>
        <v>32800</v>
      </c>
      <c r="K4" s="5" t="s">
        <v>165</v>
      </c>
      <c r="L4" s="6">
        <v>-2600</v>
      </c>
      <c r="M4" s="6"/>
      <c r="N4" s="45">
        <v>0</v>
      </c>
      <c r="O4" s="18">
        <f>IF(COUNTA($F4,$K4,$P4,$U4)&gt;0,O3+SUM(L4:N4),"")</f>
        <v>22400</v>
      </c>
      <c r="P4" s="5" t="s">
        <v>165</v>
      </c>
      <c r="Q4" s="6">
        <v>-2600</v>
      </c>
      <c r="R4" s="6"/>
      <c r="S4" s="45">
        <v>0</v>
      </c>
      <c r="T4" s="18">
        <f>IF(COUNTA($F4,$K4,$P4,$U4)&gt;0,T3+SUM(Q4:S4),"")</f>
        <v>22400</v>
      </c>
      <c r="U4" s="5" t="s">
        <v>165</v>
      </c>
      <c r="V4" s="6">
        <v>-2600</v>
      </c>
      <c r="W4" s="6"/>
      <c r="X4" s="45">
        <v>0</v>
      </c>
      <c r="Y4" s="18">
        <f>IF(COUNTA($F4,$K4,$P4,$U4)&gt;0,Y3+SUM(V4:X4),"")</f>
        <v>22400</v>
      </c>
      <c r="Z4" s="50">
        <f>IF($J4="","",ROUND(($J4-30000)/1000,1)+(2.5-_xlfn.RANK.AVG($J4,($J4,$O4,$T4,$Y4)))*20+IF(_xlfn.RANK.EQ($J4,($J4,$O4,$T4,$Y4))=1,20/((_xlfn.RANK.AVG($J4,($J4,$O4,$T4,$Y4))-1)*2+1),0))</f>
        <v>52.8</v>
      </c>
      <c r="AA4" s="51">
        <f>IF($O4="","",ROUND(($O4-30000)/1000,1)+(2.5-_xlfn.RANK.AVG($O4,($J4,$O4,$T4,$Y4)))*20+IF(_xlfn.RANK.EQ($O4,($J4,$O4,$T4,$Y4))=1,20/((_xlfn.RANK.AVG($O4,($J4,$O4,$T4,$Y4))-1)*2+1),0))</f>
        <v>-17.600000000000001</v>
      </c>
      <c r="AB4" s="51">
        <f>IF($T4="","",ROUND(($T4-30000)/1000,1)+(2.5-_xlfn.RANK.AVG($T4,($J4,$O4,$T4,$Y4)))*20+IF(_xlfn.RANK.EQ($T4,($J4,$O4,$T4,$Y4))=1,20/((_xlfn.RANK.AVG($T4,($J4,$O4,$T4,$Y4))-1)*2+1),0))</f>
        <v>-17.600000000000001</v>
      </c>
      <c r="AC4" s="52">
        <f>IF($Y4="","",ROUND(($Y4-30000)/1000,1)+(2.5-_xlfn.RANK.AVG($Y4,($J4,$O4,$T4,$Y4)))*20+IF(_xlfn.RANK.EQ($Y4,($J4,$O4,$T4,$Y4))=1,20/((_xlfn.RANK.AVG($Y4,($J4,$O4,$T4,$Y4))-1)*2+1),0))</f>
        <v>-17.600000000000001</v>
      </c>
      <c r="AE4" s="5"/>
      <c r="AF4" s="31"/>
      <c r="AG4" s="23">
        <v>1</v>
      </c>
      <c r="AH4" s="23"/>
      <c r="AI4" s="23">
        <v>4</v>
      </c>
      <c r="AJ4" s="27">
        <v>20</v>
      </c>
      <c r="AK4" s="37" t="s">
        <v>168</v>
      </c>
      <c r="AL4" s="38" t="s">
        <v>73</v>
      </c>
      <c r="AM4" s="38" t="s">
        <v>74</v>
      </c>
      <c r="AN4" s="38" t="s">
        <v>70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63" t="str">
        <f>IF($F$1="","",$F$1)</f>
        <v>佐藤成浩</v>
      </c>
      <c r="F5" s="5" t="s">
        <v>177</v>
      </c>
      <c r="G5" s="6">
        <v>-1000</v>
      </c>
      <c r="H5" s="6"/>
      <c r="I5" s="45"/>
      <c r="J5" s="18">
        <f t="shared" ref="J5:J30" si="2">IF(COUNTA($F5,$K5,$P5,$U5)&gt;0,J4+SUM(G5:I5),"")</f>
        <v>31800</v>
      </c>
      <c r="K5" s="5" t="s">
        <v>177</v>
      </c>
      <c r="L5" s="6">
        <v>-1000</v>
      </c>
      <c r="M5" s="6"/>
      <c r="N5" s="45"/>
      <c r="O5" s="18">
        <f>IF(COUNTA($F5,$K5,$P5,$U5)&gt;0,O4+SUM(L5:N5),"")</f>
        <v>21400</v>
      </c>
      <c r="P5" s="5" t="s">
        <v>177</v>
      </c>
      <c r="Q5" s="6">
        <v>-1000</v>
      </c>
      <c r="R5" s="6"/>
      <c r="S5" s="45"/>
      <c r="T5" s="18">
        <f t="shared" ref="T5:T30" si="3">IF(COUNTA($F5,$K5,$P5,$U5)&gt;0,T4+SUM(Q5:S5),"")</f>
        <v>21400</v>
      </c>
      <c r="U5" s="5" t="s">
        <v>177</v>
      </c>
      <c r="V5" s="6">
        <v>3000</v>
      </c>
      <c r="W5" s="6">
        <v>-1000</v>
      </c>
      <c r="X5" s="45"/>
      <c r="Y5" s="18">
        <f t="shared" ref="Y5:Y30" si="4">IF(COUNTA($F5,$K5,$P5,$U5)&gt;0,Y4+SUM(V5:X5),"")</f>
        <v>24400</v>
      </c>
      <c r="Z5" s="50">
        <f>IF($J5="","",ROUND(($J5-30000)/1000,1)+(2.5-_xlfn.RANK.AVG($J5,($J5,$O5,$T5,$Y5)))*20+IF(_xlfn.RANK.EQ($J5,($J5,$O5,$T5,$Y5))=1,20/((_xlfn.RANK.AVG($J5,($J5,$O5,$T5,$Y5))-1)*2+1),0))</f>
        <v>51.8</v>
      </c>
      <c r="AA5" s="51">
        <f>IF($O5="","",ROUND(($O5-30000)/1000,1)+(2.5-_xlfn.RANK.AVG($O5,($J5,$O5,$T5,$Y5)))*20+IF(_xlfn.RANK.EQ($O5,($J5,$O5,$T5,$Y5))=1,20/((_xlfn.RANK.AVG($O5,($J5,$O5,$T5,$Y5))-1)*2+1),0))</f>
        <v>-28.6</v>
      </c>
      <c r="AB5" s="51">
        <f>IF($T5="","",ROUND(($T5-30000)/1000,1)+(2.5-_xlfn.RANK.AVG($T5,($J5,$O5,$T5,$Y5)))*20+IF(_xlfn.RANK.EQ($T5,($J5,$O5,$T5,$Y5))=1,20/((_xlfn.RANK.AVG($T5,($J5,$O5,$T5,$Y5))-1)*2+1),0))</f>
        <v>-28.6</v>
      </c>
      <c r="AC5" s="52">
        <f>IF($Y5="","",ROUND(($Y5-30000)/1000,1)+(2.5-_xlfn.RANK.AVG($Y5,($J5,$O5,$T5,$Y5)))*20+IF(_xlfn.RANK.EQ($Y5,($J5,$O5,$T5,$Y5))=1,20/((_xlfn.RANK.AVG($Y5,($J5,$O5,$T5,$Y5))-1)*2+1),0))</f>
        <v>4.4000000000000004</v>
      </c>
      <c r="AE5" s="5" t="s">
        <v>175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175</v>
      </c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175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176</v>
      </c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63" t="str">
        <f>IF($K$1="","",$K$1)</f>
        <v>阿部圭太朗</v>
      </c>
      <c r="F6" s="5" t="s">
        <v>170</v>
      </c>
      <c r="G6" s="6">
        <v>-8000</v>
      </c>
      <c r="H6" s="6">
        <v>-1000</v>
      </c>
      <c r="I6" s="45">
        <v>-600</v>
      </c>
      <c r="J6" s="18">
        <f t="shared" si="2"/>
        <v>22200</v>
      </c>
      <c r="K6" s="5"/>
      <c r="L6" s="6"/>
      <c r="M6" s="6"/>
      <c r="N6" s="45"/>
      <c r="O6" s="18">
        <f t="shared" ref="O6:O30" si="8">IF(COUNTA($F6,$K6,$P6,$U6)&gt;0,O5+SUM(L6:N6),"")</f>
        <v>21400</v>
      </c>
      <c r="P6" s="5"/>
      <c r="Q6" s="6"/>
      <c r="R6" s="6"/>
      <c r="S6" s="45"/>
      <c r="T6" s="18">
        <f t="shared" si="3"/>
        <v>21400</v>
      </c>
      <c r="U6" s="5" t="s">
        <v>171</v>
      </c>
      <c r="V6" s="6">
        <v>8000</v>
      </c>
      <c r="W6" s="6">
        <v>2000</v>
      </c>
      <c r="X6" s="45">
        <v>600</v>
      </c>
      <c r="Y6" s="18">
        <f t="shared" si="4"/>
        <v>35000</v>
      </c>
      <c r="Z6" s="50">
        <f>IF($J6="","",ROUND(($J6-30000)/1000,1)+(2.5-_xlfn.RANK.AVG($J6,($J6,$O6,$T6,$Y6)))*20+IF(_xlfn.RANK.EQ($J6,($J6,$O6,$T6,$Y6))=1,20/((_xlfn.RANK.AVG($J6,($J6,$O6,$T6,$Y6))-1)*2+1),0))</f>
        <v>2.2000000000000002</v>
      </c>
      <c r="AA6" s="51">
        <f>IF($O6="","",ROUND(($O6-30000)/1000,1)+(2.5-_xlfn.RANK.AVG($O6,($J6,$O6,$T6,$Y6)))*20+IF(_xlfn.RANK.EQ($O6,($J6,$O6,$T6,$Y6))=1,20/((_xlfn.RANK.AVG($O6,($J6,$O6,$T6,$Y6))-1)*2+1),0))</f>
        <v>-28.6</v>
      </c>
      <c r="AB6" s="51">
        <f>IF($T6="","",ROUND(($T6-30000)/1000,1)+(2.5-_xlfn.RANK.AVG($T6,($J6,$O6,$T6,$Y6)))*20+IF(_xlfn.RANK.EQ($T6,($J6,$O6,$T6,$Y6))=1,20/((_xlfn.RANK.AVG($T6,($J6,$O6,$T6,$Y6))-1)*2+1),0))</f>
        <v>-28.6</v>
      </c>
      <c r="AC6" s="52">
        <f>IF($Y6="","",ROUND(($Y6-30000)/1000,1)+(2.5-_xlfn.RANK.AVG($Y6,($J6,$O6,$T6,$Y6)))*20+IF(_xlfn.RANK.EQ($Y6,($J6,$O6,$T6,$Y6))=1,20/((_xlfn.RANK.AVG($Y6,($J6,$O6,$T6,$Y6))-1)*2+1),0))</f>
        <v>55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>
        <v>4</v>
      </c>
      <c r="CU6" s="27">
        <v>40</v>
      </c>
      <c r="CV6" s="37" t="s">
        <v>168</v>
      </c>
      <c r="CW6" s="38" t="s">
        <v>76</v>
      </c>
      <c r="CX6" s="38" t="s">
        <v>169</v>
      </c>
      <c r="CY6" s="38" t="s">
        <v>169</v>
      </c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柳澤颯吾</v>
      </c>
      <c r="F7" s="5" t="s">
        <v>165</v>
      </c>
      <c r="G7" s="6">
        <v>-4000</v>
      </c>
      <c r="H7" s="6"/>
      <c r="I7" s="45">
        <v>0</v>
      </c>
      <c r="J7" s="18">
        <f t="shared" si="2"/>
        <v>18200</v>
      </c>
      <c r="K7" s="5" t="s">
        <v>165</v>
      </c>
      <c r="L7" s="6">
        <v>-4000</v>
      </c>
      <c r="M7" s="6"/>
      <c r="N7" s="45">
        <v>0</v>
      </c>
      <c r="O7" s="18">
        <f t="shared" si="8"/>
        <v>17400</v>
      </c>
      <c r="P7" s="5" t="s">
        <v>166</v>
      </c>
      <c r="Q7" s="6">
        <v>12000</v>
      </c>
      <c r="R7" s="6"/>
      <c r="S7" s="45">
        <v>0</v>
      </c>
      <c r="T7" s="18">
        <f t="shared" si="3"/>
        <v>33400</v>
      </c>
      <c r="U7" s="5" t="s">
        <v>165</v>
      </c>
      <c r="V7" s="6">
        <v>-4000</v>
      </c>
      <c r="W7" s="6"/>
      <c r="X7" s="45">
        <v>0</v>
      </c>
      <c r="Y7" s="18">
        <f t="shared" si="4"/>
        <v>31000</v>
      </c>
      <c r="Z7" s="50">
        <f>IF($J7="","",ROUND(($J7-30000)/1000,1)+(2.5-_xlfn.RANK.AVG($J7,($J7,$O7,$T7,$Y7)))*20+IF(_xlfn.RANK.EQ($J7,($J7,$O7,$T7,$Y7))=1,20/((_xlfn.RANK.AVG($J7,($J7,$O7,$T7,$Y7))-1)*2+1),0))</f>
        <v>-21.8</v>
      </c>
      <c r="AA7" s="51">
        <f>IF($O7="","",ROUND(($O7-30000)/1000,1)+(2.5-_xlfn.RANK.AVG($O7,($J7,$O7,$T7,$Y7)))*20+IF(_xlfn.RANK.EQ($O7,($J7,$O7,$T7,$Y7))=1,20/((_xlfn.RANK.AVG($O7,($J7,$O7,$T7,$Y7))-1)*2+1),0))</f>
        <v>-42.6</v>
      </c>
      <c r="AB7" s="51">
        <f>IF($T7="","",ROUND(($T7-30000)/1000,1)+(2.5-_xlfn.RANK.AVG($T7,($J7,$O7,$T7,$Y7)))*20+IF(_xlfn.RANK.EQ($T7,($J7,$O7,$T7,$Y7))=1,20/((_xlfn.RANK.AVG($T7,($J7,$O7,$T7,$Y7))-1)*2+1),0))</f>
        <v>53.4</v>
      </c>
      <c r="AC7" s="52">
        <f>IF($Y7="","",ROUND(($Y7-30000)/1000,1)+(2.5-_xlfn.RANK.AVG($Y7,($J7,$O7,$T7,$Y7)))*20+IF(_xlfn.RANK.EQ($Y7,($J7,$O7,$T7,$Y7))=1,20/((_xlfn.RANK.AVG($Y7,($J7,$O7,$T7,$Y7))-1)*2+1),0))</f>
        <v>11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5</v>
      </c>
      <c r="BZ7" s="27" t="s">
        <v>167</v>
      </c>
      <c r="CA7" s="37" t="s">
        <v>168</v>
      </c>
      <c r="CB7" s="38" t="s">
        <v>73</v>
      </c>
      <c r="CC7" s="38" t="s">
        <v>172</v>
      </c>
      <c r="CD7" s="38" t="s">
        <v>76</v>
      </c>
      <c r="CE7" s="38" t="s">
        <v>70</v>
      </c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柳澤颯吾</v>
      </c>
      <c r="F8" s="5" t="s">
        <v>171</v>
      </c>
      <c r="G8" s="6">
        <v>12000</v>
      </c>
      <c r="H8" s="6"/>
      <c r="I8" s="45">
        <v>300</v>
      </c>
      <c r="J8" s="18">
        <f t="shared" si="2"/>
        <v>30500</v>
      </c>
      <c r="K8" s="5" t="s">
        <v>170</v>
      </c>
      <c r="L8" s="6">
        <v>-12000</v>
      </c>
      <c r="M8" s="6"/>
      <c r="N8" s="45">
        <v>-300</v>
      </c>
      <c r="O8" s="18">
        <f t="shared" si="8"/>
        <v>5100</v>
      </c>
      <c r="P8" s="5"/>
      <c r="Q8" s="6"/>
      <c r="R8" s="6">
        <v>0</v>
      </c>
      <c r="S8" s="45"/>
      <c r="T8" s="18">
        <f t="shared" si="3"/>
        <v>33400</v>
      </c>
      <c r="U8" s="5"/>
      <c r="V8" s="6"/>
      <c r="W8" s="6"/>
      <c r="X8" s="45"/>
      <c r="Y8" s="18">
        <f t="shared" si="4"/>
        <v>31000</v>
      </c>
      <c r="Z8" s="50">
        <f>IF($J8="","",ROUND(($J8-30000)/1000,1)+(2.5-_xlfn.RANK.AVG($J8,($J8,$O8,$T8,$Y8)))*20+IF(_xlfn.RANK.EQ($J8,($J8,$O8,$T8,$Y8))=1,20/((_xlfn.RANK.AVG($J8,($J8,$O8,$T8,$Y8))-1)*2+1),0))</f>
        <v>-9.5</v>
      </c>
      <c r="AA8" s="51">
        <f>IF($O8="","",ROUND(($O8-30000)/1000,1)+(2.5-_xlfn.RANK.AVG($O8,($J8,$O8,$T8,$Y8)))*20+IF(_xlfn.RANK.EQ($O8,($J8,$O8,$T8,$Y8))=1,20/((_xlfn.RANK.AVG($O8,($J8,$O8,$T8,$Y8))-1)*2+1),0))</f>
        <v>-54.9</v>
      </c>
      <c r="AB8" s="51">
        <f>IF($T8="","",ROUND(($T8-30000)/1000,1)+(2.5-_xlfn.RANK.AVG($T8,($J8,$O8,$T8,$Y8)))*20+IF(_xlfn.RANK.EQ($T8,($J8,$O8,$T8,$Y8))=1,20/((_xlfn.RANK.AVG($T8,($J8,$O8,$T8,$Y8))-1)*2+1),0))</f>
        <v>53.4</v>
      </c>
      <c r="AC8" s="52">
        <f>IF($Y8="","",ROUND(($Y8-30000)/1000,1)+(2.5-_xlfn.RANK.AVG($Y8,($J8,$O8,$T8,$Y8)))*20+IF(_xlfn.RANK.EQ($Y8,($J8,$O8,$T8,$Y8))=1,20/((_xlfn.RANK.AVG($Y8,($J8,$O8,$T8,$Y8))-1)*2+1),0))</f>
        <v>11</v>
      </c>
      <c r="AE8" s="5"/>
      <c r="AF8" s="31"/>
      <c r="AG8" s="23">
        <v>1</v>
      </c>
      <c r="AH8" s="23"/>
      <c r="AI8" s="23">
        <v>6</v>
      </c>
      <c r="AJ8" s="27" t="s">
        <v>167</v>
      </c>
      <c r="AK8" s="37" t="s">
        <v>168</v>
      </c>
      <c r="AL8" s="38" t="s">
        <v>74</v>
      </c>
      <c r="AM8" s="38" t="s">
        <v>83</v>
      </c>
      <c r="AN8" s="38" t="s">
        <v>70</v>
      </c>
      <c r="AO8" s="38" t="s">
        <v>71</v>
      </c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1" priority="1"/>
  </conditionalFormatting>
  <dataValidations count="3">
    <dataValidation type="list" allowBlank="1" showInputMessage="1" sqref="F1:Y1" xr:uid="{C459155C-9782-4CD3-8C23-47B35D7F8020}">
      <formula1>"百瀬成空,滝沢悠人,大池陸斗,佐藤成浩,柳澤颯吾,石澤巧望,小林郁斗,川上翔大,中川弘崇,小原陸哉,近藤隼,鷲野翼,松澤大地,水澤良平,"</formula1>
    </dataValidation>
    <dataValidation type="list" showInputMessage="1" showErrorMessage="1" sqref="K4:K30 P4:P30 F4:F30 U4:U30" xr:uid="{F92A9D46-D013-4E9B-BC9D-5AF049900B57}">
      <formula1>"ロン,ツモ,放銃,ツモ支払,流局,チョンボ"</formula1>
    </dataValidation>
    <dataValidation type="list" allowBlank="1" showInputMessage="1" showErrorMessage="1" sqref="E4:E30" xr:uid="{9EA4588B-B74D-47B6-B26E-31852649C1B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F18A3-6760-460F-8F6F-EC943C0B2592}">
  <sheetPr codeName="Sheet11">
    <pageSetUpPr fitToPage="1"/>
  </sheetPr>
  <dimension ref="A1:DJ30"/>
  <sheetViews>
    <sheetView tabSelected="1" topLeftCell="O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/>
      <c r="G1" s="73"/>
      <c r="H1" s="73"/>
      <c r="I1" s="74"/>
      <c r="J1" s="75"/>
      <c r="K1" s="72"/>
      <c r="L1" s="73"/>
      <c r="M1" s="73"/>
      <c r="N1" s="74"/>
      <c r="O1" s="75"/>
      <c r="P1" s="72"/>
      <c r="Q1" s="73"/>
      <c r="R1" s="73"/>
      <c r="S1" s="74"/>
      <c r="T1" s="75"/>
      <c r="U1" s="72"/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/>
      </c>
      <c r="AF1" s="82">
        <f t="shared" ref="AF1:AY1" si="0">$F$1</f>
        <v>0</v>
      </c>
      <c r="AG1" s="73">
        <f t="shared" si="0"/>
        <v>0</v>
      </c>
      <c r="AH1" s="73">
        <f t="shared" si="0"/>
        <v>0</v>
      </c>
      <c r="AI1" s="73">
        <f t="shared" si="0"/>
        <v>0</v>
      </c>
      <c r="AJ1" s="73">
        <f t="shared" si="0"/>
        <v>0</v>
      </c>
      <c r="AK1" s="73">
        <f t="shared" si="0"/>
        <v>0</v>
      </c>
      <c r="AL1" s="73">
        <f t="shared" si="0"/>
        <v>0</v>
      </c>
      <c r="AM1" s="73">
        <f t="shared" si="0"/>
        <v>0</v>
      </c>
      <c r="AN1" s="73">
        <f t="shared" si="0"/>
        <v>0</v>
      </c>
      <c r="AO1" s="73">
        <f t="shared" si="0"/>
        <v>0</v>
      </c>
      <c r="AP1" s="73">
        <f t="shared" si="0"/>
        <v>0</v>
      </c>
      <c r="AQ1" s="73">
        <f t="shared" si="0"/>
        <v>0</v>
      </c>
      <c r="AR1" s="73">
        <f t="shared" si="0"/>
        <v>0</v>
      </c>
      <c r="AS1" s="73">
        <f t="shared" si="0"/>
        <v>0</v>
      </c>
      <c r="AT1" s="73">
        <f t="shared" si="0"/>
        <v>0</v>
      </c>
      <c r="AU1" s="73">
        <f t="shared" si="0"/>
        <v>0</v>
      </c>
      <c r="AV1" s="73">
        <f t="shared" si="0"/>
        <v>0</v>
      </c>
      <c r="AW1" s="73">
        <f t="shared" si="0"/>
        <v>0</v>
      </c>
      <c r="AX1" s="73">
        <f t="shared" si="0"/>
        <v>0</v>
      </c>
      <c r="AY1" s="75">
        <f t="shared" si="0"/>
        <v>0</v>
      </c>
      <c r="AZ1" s="72" t="str">
        <f>IF($K$1="","",$K$1)</f>
        <v/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/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/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/>
      </c>
      <c r="AA2" s="70" t="str">
        <f>IF($K$1="","",$K$1)</f>
        <v/>
      </c>
      <c r="AB2" s="70" t="str">
        <f>IF($P$1="","",$P$1)</f>
        <v/>
      </c>
      <c r="AC2" s="71" t="str">
        <f>IF($U$1="","",$U$1)</f>
        <v/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howErrorMessage="1" sqref="E4:E30" xr:uid="{923D12A1-E532-4974-A47A-D132AE100DB5}">
      <formula1>$Z$2:$AC$2</formula1>
    </dataValidation>
    <dataValidation type="list" showInputMessage="1" showErrorMessage="1" sqref="K4:K30 P4:P30 F4:F30 U4:U30" xr:uid="{9ED5B060-579F-49FB-B46E-6203C939C9D9}">
      <formula1>"ロン,ツモ,放銃,ツモ支払,流局,チョンボ"</formula1>
    </dataValidation>
    <dataValidation type="list" allowBlank="1" showInputMessage="1" sqref="F1:Y1" xr:uid="{1C4813A7-7A26-4B02-B40D-9B219531A74A}">
      <formula1>"百瀬成空,滝沢悠人,大池陸斗,佐藤成浩,柳澤颯吾,石澤巧望,小林郁斗,川上翔大,中川弘崇,小原陸哉,近藤隼,鷲野翼,松澤大地,水澤良平,"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2021-10-21T09:46:13Z</dcterms:modified>
</cp:coreProperties>
</file>