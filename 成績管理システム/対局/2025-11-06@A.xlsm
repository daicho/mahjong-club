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jongClub\mahjong-club(20250627)\成績管理システム\対局\"/>
    </mc:Choice>
  </mc:AlternateContent>
  <xr:revisionPtr revIDLastSave="0" documentId="13_ncr:1_{860B38F2-23C0-419F-8629-04EB503C42CE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<sst xmlns="http://schemas.openxmlformats.org/spreadsheetml/2006/main" count="567" uniqueCount="174">
  <si>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</si>
  <si>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</si>
  <si>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</si>
  <si>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</si>
  <si>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</si>
  <si>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</si>
  <si>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</si>
  <si>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</si>
  <si>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</si>
  <si>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</si>
  <si>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</si>
  <si>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</si>
  <si>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</si>
  <si>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</si>
  <si>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</si>
  <si>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</si>
  <si>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</si>
  <si>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</si>
  <si>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</si>
  <si>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</si>
  <si>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</si>
  <si>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</si>
  <si>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</si>
  <si>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</si>
  <si>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</si>
  <si>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</si>
  <si>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</si>
  <si>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</si>
  <si>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</si>
  <si>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</si>
  <si>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</si>
  <si>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</si>
  <si>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</si>
  <si>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</si>
  <si>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</si>
  <si>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</si>
  <si>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</si>
  <si>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</si>
  <si>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</si>
  <si>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</si>
  <si>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</si>
  <si>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</si>
  <si>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</si>
  <si>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</si>
  <si>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</si>
  <si>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</si>
  <si>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</si>
  <si>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</si>
  <si>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</si>
  <si>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</si>
  <si>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</si>
  <si>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</si>
  <si>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</si>
  <si>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</si>
  <si>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</si>
  <si>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</si>
  <si>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</si>
  <si>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</si>
  <si>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</si>
  <si>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</si>
  <si>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</si>
  <si>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</si>
  <si>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</si>
  <si>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</si>
  <si>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</si>
  <si>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</si>
  <si>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</si>
  <si>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</si>
  <si>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</si>
  <si>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</si>
  <si>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</si>
  <si>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</si>
  <si>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</si>
  <si>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</si>
  <si>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</si>
  <si>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</si>
  <si>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</si>
  <si>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</si>
  <si>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</si>
  <si>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</si>
  <si>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</si>
  <si>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</si>
  <si>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</si>
  <si>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</si>
  <si>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</si>
  <si>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</si>
  <si>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</si>
  <si>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</si>
  <si>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</si>
  <si>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</si>
  <si>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</si>
  <si>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</si>
  <si>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</si>
  <si>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</si>
  <si>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</si>
  <si>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</si>
  <si>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</si>
  <si>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</si>
  <si>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</si>
  <si>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</si>
  <si>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</si>
  <si>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</si>
  <si>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</si>
  <si>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</si>
  <si>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</si>
  <si>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</si>
  <si>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</si>
  <si>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</si>
  <si>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</si>
  <si>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</si>
  <si>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</si>
  <si>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</si>
  <si>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</si>
  <si>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</si>
  <si>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</si>
  <si>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</si>
  <si>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</si>
  <si>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</si>
  <si>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</si>
  <si>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</si>
  <si>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</si>
  <si>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</si>
  <si>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</si>
  <si>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</si>
  <si>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</si>
  <si>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</si>
  <si>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</si>
  <si>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</si>
  <si>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</si>
  <si>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</si>
  <si>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</si>
  <si>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</si>
  <si>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</si>
  <si>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</si>
  <si>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</si>
  <si>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</si>
  <si>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</si>
  <si>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</si>
  <si>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</si>
  <si>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</si>
  <si>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</si>
  <si>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</si>
  <si>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</si>
  <si>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</si>
  <si>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</si>
  <si>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</si>
  <si>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</si>
  <si>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</si>
  <si>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</si>
  <si>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</si>
  <si>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</si>
  <si>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</si>
  <si>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</si>
  <si>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</si>
  <si>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</si>
  <si>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</si>
  <si>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</si>
  <si>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</si>
  <si>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</si>
  <si>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</si>
  <si>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</si>
  <si>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阿部修二朗</t>
  </si>
  <si>
    <t>中村季暉</t>
  </si>
  <si>
    <t>佐藤成浩</t>
  </si>
  <si>
    <t>松沢海輝</t>
    <rPh sb="0" eb="3">
      <t>マツザワウミ</t>
    </rPh>
    <rPh sb="3" eb="4">
      <t>カガヤ</t>
    </rPh>
    <phoneticPr fontId="1"/>
  </si>
  <si>
    <t>ツモ</t>
  </si>
  <si>
    <t>ツモ支払</t>
  </si>
  <si>
    <t>放銃</t>
  </si>
  <si>
    <t>ロン</t>
  </si>
  <si>
    <t>52</t>
  </si>
  <si>
    <t>N</t>
  </si>
  <si>
    <t>T</t>
  </si>
  <si>
    <t>流局</t>
    <phoneticPr fontId="1"/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</si>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</sst>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阿部修二朗</v>
      </c>
      <c r="AF1" s="70" t="str">
        <f t="shared" ref="AF1:AY1" si="0">$F$1</f>
        <v>阿部修二朗</v>
      </c>
      <c r="AG1" s="61" t="str">
        <f t="shared" si="0"/>
        <v>阿部修二朗</v>
      </c>
      <c r="AH1" s="61" t="str">
        <f t="shared" si="0"/>
        <v>阿部修二朗</v>
      </c>
      <c r="AI1" s="61" t="str">
        <f t="shared" si="0"/>
        <v>阿部修二朗</v>
      </c>
      <c r="AJ1" s="61" t="str">
        <f t="shared" si="0"/>
        <v>阿部修二朗</v>
      </c>
      <c r="AK1" s="61" t="str">
        <f t="shared" si="0"/>
        <v>阿部修二朗</v>
      </c>
      <c r="AL1" s="61" t="str">
        <f t="shared" si="0"/>
        <v>阿部修二朗</v>
      </c>
      <c r="AM1" s="61" t="str">
        <f t="shared" si="0"/>
        <v>阿部修二朗</v>
      </c>
      <c r="AN1" s="61" t="str">
        <f t="shared" si="0"/>
        <v>阿部修二朗</v>
      </c>
      <c r="AO1" s="61" t="str">
        <f t="shared" si="0"/>
        <v>阿部修二朗</v>
      </c>
      <c r="AP1" s="61" t="str">
        <f t="shared" si="0"/>
        <v>阿部修二朗</v>
      </c>
      <c r="AQ1" s="61" t="str">
        <f t="shared" si="0"/>
        <v>阿部修二朗</v>
      </c>
      <c r="AR1" s="61" t="str">
        <f t="shared" si="0"/>
        <v>阿部修二朗</v>
      </c>
      <c r="AS1" s="61" t="str">
        <f t="shared" si="0"/>
        <v>阿部修二朗</v>
      </c>
      <c r="AT1" s="61" t="str">
        <f t="shared" si="0"/>
        <v>阿部修二朗</v>
      </c>
      <c r="AU1" s="61" t="str">
        <f t="shared" si="0"/>
        <v>阿部修二朗</v>
      </c>
      <c r="AV1" s="61" t="str">
        <f t="shared" si="0"/>
        <v>阿部修二朗</v>
      </c>
      <c r="AW1" s="61" t="str">
        <f t="shared" si="0"/>
        <v>阿部修二朗</v>
      </c>
      <c r="AX1" s="61" t="str">
        <f t="shared" si="0"/>
        <v>阿部修二朗</v>
      </c>
      <c r="AY1" s="63" t="str">
        <f t="shared" si="0"/>
        <v>阿部修二朗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松沢海輝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阿部修二朗</v>
      </c>
      <c r="AA2" s="56" t="str">
        <f>IF($K$1="","",$K$1)</f>
        <v>中村季暉</v>
      </c>
      <c r="AB2" s="56" t="str">
        <f>IF($P$1="","",$P$1)</f>
        <v>佐藤成浩</v>
      </c>
      <c r="AC2" s="13" t="str">
        <f>IF($U$1="","",$U$1)</f>
        <v>松沢海輝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阿部修二朗</v>
      </c>
      <c r="F4" s="5" t="s">
        <v>165</v>
      </c>
      <c r="G4" s="6">
        <v>1500</v>
      </c>
      <c r="H4" s="6"/>
      <c r="I4" s="6">
        <v>0</v>
      </c>
      <c r="J4" s="18">
        <f>IF(COUNTA($F4,$K4,$P4,$U4)&gt;0,J3+SUM(G4:I4),"")</f>
        <v>26500</v>
      </c>
      <c r="K4" s="5" t="s">
        <v>166</v>
      </c>
      <c r="L4" s="6">
        <v>-500</v>
      </c>
      <c r="M4" s="6"/>
      <c r="N4" s="6">
        <v>0</v>
      </c>
      <c r="O4" s="18">
        <f>IF(COUNTA($F4,$K4,$P4,$U4)&gt;0,O3+SUM(L4:N4),"")</f>
        <v>24500</v>
      </c>
      <c r="P4" s="5" t="s">
        <v>166</v>
      </c>
      <c r="Q4" s="6">
        <v>-500</v>
      </c>
      <c r="R4" s="6"/>
      <c r="S4" s="6">
        <v>0</v>
      </c>
      <c r="T4" s="18">
        <f>IF(COUNTA($F4,$K4,$P4,$U4)&gt;0,T3+SUM(Q4:S4),"")</f>
        <v>24500</v>
      </c>
      <c r="U4" s="5" t="s">
        <v>166</v>
      </c>
      <c r="V4" s="6">
        <v>-500</v>
      </c>
      <c r="W4" s="6"/>
      <c r="X4" s="6">
        <v>0</v>
      </c>
      <c r="Y4" s="18">
        <f>IF(COUNTA($F4,$K4,$P4,$U4)&gt;0,Y3+SUM(V4:X4),"")</f>
        <v>24500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-15.5</v>
      </c>
      <c r="AB4" s="46">
        <f>IF($T4="","",ROUND(($T4-30000)/1000,1)+(2.5-_xlfn.RANK.AVG($T4,($J4,$O4,$T4,$Y4)))*20+IF(_xlfn.RANK.EQ($T4,($J4,$O4,$T4,$Y4))=1,20/((_xlfn.RANK.AVG($T4,($J4,$O4,$T4,$Y4))-1)*2+1),0))</f>
        <v>-15.5</v>
      </c>
      <c r="AC4" s="47">
        <f>IF($Y4="","",ROUND(($Y4-30000)/1000,1)+(2.5-_xlfn.RANK.AVG($Y4,($J4,$O4,$T4,$Y4)))*20+IF(_xlfn.RANK.EQ($Y4,($J4,$O4,$T4,$Y4))=1,20/((_xlfn.RANK.AVG($Y4,($J4,$O4,$T4,$Y4))-1)*2+1),0))</f>
        <v>-15.5</v>
      </c>
      <c r="AE4" s="5"/>
      <c r="AF4" s="30"/>
      <c r="AG4" s="23"/>
      <c r="AH4" s="23"/>
      <c r="AI4" s="23">
        <v>1</v>
      </c>
      <c r="AJ4" s="27">
        <v>30</v>
      </c>
      <c r="AK4" s="36" t="s">
        <v>73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阿部修二朗</v>
      </c>
      <c r="F5" s="5"/>
      <c r="G5" s="6"/>
      <c r="H5" s="6"/>
      <c r="I5" s="6"/>
      <c r="J5" s="18">
        <f t="shared" ref="J5:J30" si="2">IF(COUNTA($F5,$K5,$P5,$U5)&gt;0,J4+SUM(G5:I5),"")</f>
        <v>26500</v>
      </c>
      <c r="K5" s="5" t="s">
        <v>167</v>
      </c>
      <c r="L5" s="6">
        <v>-1000</v>
      </c>
      <c r="M5" s="6">
        <v>-1000</v>
      </c>
      <c r="N5" s="6">
        <v>-300</v>
      </c>
      <c r="O5" s="18">
        <f>IF(COUNTA($F5,$K5,$P5,$U5)&gt;0,O4+SUM(L5:N5),"")</f>
        <v>22200</v>
      </c>
      <c r="P5" s="5"/>
      <c r="Q5" s="6"/>
      <c r="R5" s="6"/>
      <c r="S5" s="6"/>
      <c r="T5" s="18">
        <f t="shared" ref="T5:T30" si="3">IF(COUNTA($F5,$K5,$P5,$U5)&gt;0,T4+SUM(Q5:S5),"")</f>
        <v>24500</v>
      </c>
      <c r="U5" s="5" t="s">
        <v>168</v>
      </c>
      <c r="V5" s="6">
        <v>1000</v>
      </c>
      <c r="W5" s="6">
        <v>1000</v>
      </c>
      <c r="X5" s="6">
        <v>300</v>
      </c>
      <c r="Y5" s="18">
        <f t="shared" ref="Y5:Y30" si="4">IF(COUNTA($F5,$K5,$P5,$U5)&gt;0,Y4+SUM(V5:X5),"")</f>
        <v>26800</v>
      </c>
      <c r="Z5" s="45">
        <f>IF($J5="","",ROUND(($J5-30000)/1000,1)+(2.5-_xlfn.RANK.AVG($J5,($J5,$O5,$T5,$Y5)))*20+IF(_xlfn.RANK.EQ($J5,($J5,$O5,$T5,$Y5))=1,20/((_xlfn.RANK.AVG($J5,($J5,$O5,$T5,$Y5))-1)*2+1),0))</f>
        <v>6.5</v>
      </c>
      <c r="AA5" s="46">
        <f>IF($O5="","",ROUND(($O5-30000)/1000,1)+(2.5-_xlfn.RANK.AVG($O5,($J5,$O5,$T5,$Y5)))*20+IF(_xlfn.RANK.EQ($O5,($J5,$O5,$T5,$Y5))=1,20/((_xlfn.RANK.AVG($O5,($J5,$O5,$T5,$Y5))-1)*2+1),0))</f>
        <v>-37.799999999999997</v>
      </c>
      <c r="AB5" s="46">
        <f>IF($T5="","",ROUND(($T5-30000)/1000,1)+(2.5-_xlfn.RANK.AVG($T5,($J5,$O5,$T5,$Y5)))*20+IF(_xlfn.RANK.EQ($T5,($J5,$O5,$T5,$Y5))=1,20/((_xlfn.RANK.AVG($T5,($J5,$O5,$T5,$Y5))-1)*2+1),0))</f>
        <v>-15.5</v>
      </c>
      <c r="AC5" s="47">
        <f>IF($Y5="","",ROUND(($Y5-30000)/1000,1)+(2.5-_xlfn.RANK.AVG($Y5,($J5,$O5,$T5,$Y5)))*20+IF(_xlfn.RANK.EQ($Y5,($J5,$O5,$T5,$Y5))=1,20/((_xlfn.RANK.AVG($Y5,($J5,$O5,$T5,$Y5))-1)*2+1),0))</f>
        <v>46.8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1</v>
      </c>
      <c r="CU5" s="27">
        <v>30</v>
      </c>
      <c r="CV5" s="36" t="s">
        <v>77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中村季暉</v>
      </c>
      <c r="F6" s="5" t="s">
        <v>165</v>
      </c>
      <c r="G6" s="6">
        <v>2000</v>
      </c>
      <c r="H6" s="6"/>
      <c r="I6" s="6">
        <v>0</v>
      </c>
      <c r="J6" s="18">
        <f t="shared" si="2"/>
        <v>28500</v>
      </c>
      <c r="K6" s="5" t="s">
        <v>166</v>
      </c>
      <c r="L6" s="6">
        <v>-1000</v>
      </c>
      <c r="M6" s="6"/>
      <c r="N6" s="6">
        <v>0</v>
      </c>
      <c r="O6" s="18">
        <f t="shared" ref="O6:O30" si="8">IF(COUNTA($F6,$K6,$P6,$U6)&gt;0,O5+SUM(L6:N6),"")</f>
        <v>21200</v>
      </c>
      <c r="P6" s="5" t="s">
        <v>166</v>
      </c>
      <c r="Q6" s="6">
        <v>-500</v>
      </c>
      <c r="R6" s="6"/>
      <c r="S6" s="6">
        <v>0</v>
      </c>
      <c r="T6" s="18">
        <f t="shared" si="3"/>
        <v>24000</v>
      </c>
      <c r="U6" s="5" t="s">
        <v>166</v>
      </c>
      <c r="V6" s="6">
        <v>-500</v>
      </c>
      <c r="W6" s="6"/>
      <c r="X6" s="6">
        <v>0</v>
      </c>
      <c r="Y6" s="18">
        <f t="shared" si="4"/>
        <v>26300</v>
      </c>
      <c r="Z6" s="45">
        <f>IF($J6="","",ROUND(($J6-30000)/1000,1)+(2.5-_xlfn.RANK.AVG($J6,($J6,$O6,$T6,$Y6)))*20+IF(_xlfn.RANK.EQ($J6,($J6,$O6,$T6,$Y6))=1,20/((_xlfn.RANK.AVG($J6,($J6,$O6,$T6,$Y6))-1)*2+1),0))</f>
        <v>48.5</v>
      </c>
      <c r="AA6" s="46">
        <f>IF($O6="","",ROUND(($O6-30000)/1000,1)+(2.5-_xlfn.RANK.AVG($O6,($J6,$O6,$T6,$Y6)))*20+IF(_xlfn.RANK.EQ($O6,($J6,$O6,$T6,$Y6))=1,20/((_xlfn.RANK.AVG($O6,($J6,$O6,$T6,$Y6))-1)*2+1),0))</f>
        <v>-38.799999999999997</v>
      </c>
      <c r="AB6" s="46">
        <f>IF($T6="","",ROUND(($T6-30000)/1000,1)+(2.5-_xlfn.RANK.AVG($T6,($J6,$O6,$T6,$Y6)))*20+IF(_xlfn.RANK.EQ($T6,($J6,$O6,$T6,$Y6))=1,20/((_xlfn.RANK.AVG($T6,($J6,$O6,$T6,$Y6))-1)*2+1),0))</f>
        <v>-16</v>
      </c>
      <c r="AC6" s="47">
        <f>IF($Y6="","",ROUND(($Y6-30000)/1000,1)+(2.5-_xlfn.RANK.AVG($Y6,($J6,$O6,$T6,$Y6)))*20+IF(_xlfn.RANK.EQ($Y6,($J6,$O6,$T6,$Y6))=1,20/((_xlfn.RANK.AVG($Y6,($J6,$O6,$T6,$Y6))-1)*2+1),0))</f>
        <v>6.3</v>
      </c>
      <c r="AE6" s="5"/>
      <c r="AF6" s="30"/>
      <c r="AG6" s="23"/>
      <c r="AH6" s="23">
        <v>1</v>
      </c>
      <c r="AI6" s="23">
        <v>2</v>
      </c>
      <c r="AJ6" s="27">
        <v>30</v>
      </c>
      <c r="AK6" s="36" t="s">
        <v>77</v>
      </c>
      <c r="AL6" s="37" t="s">
        <v>169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佐藤成浩</v>
      </c>
      <c r="F7" s="5"/>
      <c r="G7" s="6"/>
      <c r="H7" s="6"/>
      <c r="I7" s="6"/>
      <c r="J7" s="18">
        <f t="shared" si="2"/>
        <v>28500</v>
      </c>
      <c r="K7" s="5" t="s">
        <v>167</v>
      </c>
      <c r="L7" s="6">
        <v>-12000</v>
      </c>
      <c r="M7" s="6"/>
      <c r="N7" s="6">
        <v>0</v>
      </c>
      <c r="O7" s="18">
        <f t="shared" si="8"/>
        <v>9200</v>
      </c>
      <c r="P7" s="5" t="s">
        <v>168</v>
      </c>
      <c r="Q7" s="6">
        <v>12000</v>
      </c>
      <c r="R7" s="6"/>
      <c r="S7" s="6">
        <v>0</v>
      </c>
      <c r="T7" s="18">
        <f t="shared" si="3"/>
        <v>36000</v>
      </c>
      <c r="U7" s="5"/>
      <c r="V7" s="6"/>
      <c r="W7" s="6"/>
      <c r="X7" s="6"/>
      <c r="Y7" s="18">
        <f t="shared" si="4"/>
        <v>26300</v>
      </c>
      <c r="Z7" s="45">
        <f>IF($J7="","",ROUND(($J7-30000)/1000,1)+(2.5-_xlfn.RANK.AVG($J7,($J7,$O7,$T7,$Y7)))*20+IF(_xlfn.RANK.EQ($J7,($J7,$O7,$T7,$Y7))=1,20/((_xlfn.RANK.AVG($J7,($J7,$O7,$T7,$Y7))-1)*2+1),0))</f>
        <v>8.5</v>
      </c>
      <c r="AA7" s="46">
        <f>IF($O7="","",ROUND(($O7-30000)/1000,1)+(2.5-_xlfn.RANK.AVG($O7,($J7,$O7,$T7,$Y7)))*20+IF(_xlfn.RANK.EQ($O7,($J7,$O7,$T7,$Y7))=1,20/((_xlfn.RANK.AVG($O7,($J7,$O7,$T7,$Y7))-1)*2+1),0))</f>
        <v>-50.8</v>
      </c>
      <c r="AB7" s="46">
        <f>IF($T7="","",ROUND(($T7-30000)/1000,1)+(2.5-_xlfn.RANK.AVG($T7,($J7,$O7,$T7,$Y7)))*20+IF(_xlfn.RANK.EQ($T7,($J7,$O7,$T7,$Y7))=1,20/((_xlfn.RANK.AVG($T7,($J7,$O7,$T7,$Y7))-1)*2+1),0))</f>
        <v>56</v>
      </c>
      <c r="AC7" s="47">
        <f>IF($Y7="","",ROUND(($Y7-30000)/1000,1)+(2.5-_xlfn.RANK.AVG($Y7,($J7,$O7,$T7,$Y7)))*20+IF(_xlfn.RANK.EQ($Y7,($J7,$O7,$T7,$Y7))=1,20/((_xlfn.RANK.AVG($Y7,($J7,$O7,$T7,$Y7))-1)*2+1),0))</f>
        <v>-13.7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4</v>
      </c>
      <c r="BZ7" s="27">
        <v>30</v>
      </c>
      <c r="CA7" s="36" t="s">
        <v>76</v>
      </c>
      <c r="CB7" s="37" t="s">
        <v>70</v>
      </c>
      <c r="CC7" s="37" t="s">
        <v>70</v>
      </c>
      <c r="CD7" s="37" t="s">
        <v>169</v>
      </c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佐藤成浩</v>
      </c>
      <c r="F8" s="5" t="s">
        <v>172</v>
      </c>
      <c r="G8" s="6">
        <v>-1000</v>
      </c>
      <c r="H8" s="6"/>
      <c r="I8" s="6"/>
      <c r="J8" s="18">
        <f t="shared" si="2"/>
        <v>27500</v>
      </c>
      <c r="K8" s="5" t="s">
        <v>172</v>
      </c>
      <c r="L8" s="6">
        <v>-1000</v>
      </c>
      <c r="M8" s="6"/>
      <c r="N8" s="6"/>
      <c r="O8" s="18">
        <f t="shared" si="8"/>
        <v>8200</v>
      </c>
      <c r="P8" s="5" t="s">
        <v>172</v>
      </c>
      <c r="Q8" s="6">
        <v>3000</v>
      </c>
      <c r="R8" s="6">
        <v>-1000</v>
      </c>
      <c r="S8" s="6"/>
      <c r="T8" s="18">
        <f t="shared" si="3"/>
        <v>38000</v>
      </c>
      <c r="U8" s="5" t="s">
        <v>172</v>
      </c>
      <c r="V8" s="6">
        <v>-1000</v>
      </c>
      <c r="W8" s="6"/>
      <c r="X8" s="6"/>
      <c r="Y8" s="18">
        <f t="shared" si="4"/>
        <v>25300</v>
      </c>
      <c r="Z8" s="45">
        <f>IF($J8="","",ROUND(($J8-30000)/1000,1)+(2.5-_xlfn.RANK.AVG($J8,($J8,$O8,$T8,$Y8)))*20+IF(_xlfn.RANK.EQ($J8,($J8,$O8,$T8,$Y8))=1,20/((_xlfn.RANK.AVG($J8,($J8,$O8,$T8,$Y8))-1)*2+1),0))</f>
        <v>7.5</v>
      </c>
      <c r="AA8" s="46">
        <f>IF($O8="","",ROUND(($O8-30000)/1000,1)+(2.5-_xlfn.RANK.AVG($O8,($J8,$O8,$T8,$Y8)))*20+IF(_xlfn.RANK.EQ($O8,($J8,$O8,$T8,$Y8))=1,20/((_xlfn.RANK.AVG($O8,($J8,$O8,$T8,$Y8))-1)*2+1),0))</f>
        <v>-51.8</v>
      </c>
      <c r="AB8" s="46">
        <f>IF($T8="","",ROUND(($T8-30000)/1000,1)+(2.5-_xlfn.RANK.AVG($T8,($J8,$O8,$T8,$Y8)))*20+IF(_xlfn.RANK.EQ($T8,($J8,$O8,$T8,$Y8))=1,20/((_xlfn.RANK.AVG($T8,($J8,$O8,$T8,$Y8))-1)*2+1),0))</f>
        <v>58</v>
      </c>
      <c r="AC8" s="47">
        <f>IF($Y8="","",ROUND(($Y8-30000)/1000,1)+(2.5-_xlfn.RANK.AVG($Y8,($J8,$O8,$T8,$Y8)))*20+IF(_xlfn.RANK.EQ($Y8,($J8,$O8,$T8,$Y8))=1,20/((_xlfn.RANK.AVG($Y8,($J8,$O8,$T8,$Y8))-1)*2+1),0))</f>
        <v>-14.7</v>
      </c>
      <c r="AE8" s="5" t="s">
        <v>170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170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1</v>
      </c>
      <c r="E9" s="58" t="str">
        <f>IF($P$1="","",$P$1)</f>
        <v>佐藤成浩</v>
      </c>
      <c r="F9" s="5" t="s">
        <v>172</v>
      </c>
      <c r="G9" s="6">
        <v>-3000</v>
      </c>
      <c r="H9" s="6"/>
      <c r="I9" s="6"/>
      <c r="J9" s="18">
        <f t="shared" si="2"/>
        <v>24500</v>
      </c>
      <c r="K9" s="5" t="s">
        <v>172</v>
      </c>
      <c r="L9" s="6">
        <v>1000</v>
      </c>
      <c r="M9" s="6">
        <v>-1000</v>
      </c>
      <c r="N9" s="6"/>
      <c r="O9" s="18">
        <f t="shared" si="8"/>
        <v>8200</v>
      </c>
      <c r="P9" s="5" t="s">
        <v>172</v>
      </c>
      <c r="Q9" s="6">
        <v>1000</v>
      </c>
      <c r="R9" s="6"/>
      <c r="S9" s="6"/>
      <c r="T9" s="18">
        <f t="shared" si="3"/>
        <v>39000</v>
      </c>
      <c r="U9" s="5" t="s">
        <v>172</v>
      </c>
      <c r="V9" s="6">
        <v>1000</v>
      </c>
      <c r="W9" s="6">
        <v>-1000</v>
      </c>
      <c r="X9" s="6"/>
      <c r="Y9" s="18">
        <f t="shared" si="4"/>
        <v>25300</v>
      </c>
      <c r="Z9" s="45">
        <f>IF($J9="","",ROUND(($J9-30000)/1000,1)+(2.5-_xlfn.RANK.AVG($J9,($J9,$O9,$T9,$Y9)))*20+IF(_xlfn.RANK.EQ($J9,($J9,$O9,$T9,$Y9))=1,20/((_xlfn.RANK.AVG($J9,($J9,$O9,$T9,$Y9))-1)*2+1),0))</f>
        <v>-15.5</v>
      </c>
      <c r="AA9" s="46">
        <f>IF($O9="","",ROUND(($O9-30000)/1000,1)+(2.5-_xlfn.RANK.AVG($O9,($J9,$O9,$T9,$Y9)))*20+IF(_xlfn.RANK.EQ($O9,($J9,$O9,$T9,$Y9))=1,20/((_xlfn.RANK.AVG($O9,($J9,$O9,$T9,$Y9))-1)*2+1),0))</f>
        <v>-51.8</v>
      </c>
      <c r="AB9" s="46">
        <f>IF($T9="","",ROUND(($T9-30000)/1000,1)+(2.5-_xlfn.RANK.AVG($T9,($J9,$O9,$T9,$Y9)))*20+IF(_xlfn.RANK.EQ($T9,($J9,$O9,$T9,$Y9))=1,20/((_xlfn.RANK.AVG($T9,($J9,$O9,$T9,$Y9))-1)*2+1),0))</f>
        <v>59</v>
      </c>
      <c r="AC9" s="47">
        <f>IF($Y9="","",ROUND(($Y9-30000)/1000,1)+(2.5-_xlfn.RANK.AVG($Y9,($J9,$O9,$T9,$Y9)))*20+IF(_xlfn.RANK.EQ($Y9,($J9,$O9,$T9,$Y9))=1,20/((_xlfn.RANK.AVG($Y9,($J9,$O9,$T9,$Y9))-1)*2+1),0))</f>
        <v>5.3</v>
      </c>
      <c r="AE9" s="5" t="s">
        <v>170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171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171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171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3</v>
      </c>
      <c r="D10" s="15">
        <f t="shared" si="7"/>
        <v>3</v>
      </c>
      <c r="E10" s="58" t="str">
        <f>IF($P$1="","",$P$1)</f>
        <v>佐藤成浩</v>
      </c>
      <c r="F10" s="5" t="s">
        <v>167</v>
      </c>
      <c r="G10" s="6">
        <v>-8000</v>
      </c>
      <c r="H10" s="6">
        <v>-1000</v>
      </c>
      <c r="I10" s="6">
        <v>-900</v>
      </c>
      <c r="J10" s="18">
        <f t="shared" si="2"/>
        <v>14600</v>
      </c>
      <c r="K10" s="5" t="s">
        <v>168</v>
      </c>
      <c r="L10" s="6">
        <v>8000</v>
      </c>
      <c r="M10" s="6">
        <v>4000</v>
      </c>
      <c r="N10" s="6">
        <v>900</v>
      </c>
      <c r="O10" s="18">
        <f t="shared" si="8"/>
        <v>21100</v>
      </c>
      <c r="P10" s="5"/>
      <c r="Q10" s="6"/>
      <c r="R10" s="6"/>
      <c r="S10" s="6"/>
      <c r="T10" s="18">
        <f t="shared" si="3"/>
        <v>39000</v>
      </c>
      <c r="U10" s="5"/>
      <c r="V10" s="6"/>
      <c r="W10" s="6"/>
      <c r="X10" s="6"/>
      <c r="Y10" s="18">
        <f t="shared" si="4"/>
        <v>25300</v>
      </c>
      <c r="Z10" s="45">
        <f>IF($J10="","",ROUND(($J10-30000)/1000,1)+(2.5-_xlfn.RANK.AVG($J10,($J10,$O10,$T10,$Y10)))*20+IF(_xlfn.RANK.EQ($J10,($J10,$O10,$T10,$Y10))=1,20/((_xlfn.RANK.AVG($J10,($J10,$O10,$T10,$Y10))-1)*2+1),0))</f>
        <v>-45.4</v>
      </c>
      <c r="AA10" s="46">
        <f>IF($O10="","",ROUND(($O10-30000)/1000,1)+(2.5-_xlfn.RANK.AVG($O10,($J10,$O10,$T10,$Y10)))*20+IF(_xlfn.RANK.EQ($O10,($J10,$O10,$T10,$Y10))=1,20/((_xlfn.RANK.AVG($O10,($J10,$O10,$T10,$Y10))-1)*2+1),0))</f>
        <v>-18.899999999999999</v>
      </c>
      <c r="AB10" s="46">
        <f>IF($T10="","",ROUND(($T10-30000)/1000,1)+(2.5-_xlfn.RANK.AVG($T10,($J10,$O10,$T10,$Y10)))*20+IF(_xlfn.RANK.EQ($T10,($J10,$O10,$T10,$Y10))=1,20/((_xlfn.RANK.AVG($T10,($J10,$O10,$T10,$Y10))-1)*2+1),0))</f>
        <v>59</v>
      </c>
      <c r="AC10" s="47">
        <f>IF($Y10="","",ROUND(($Y10-30000)/1000,1)+(2.5-_xlfn.RANK.AVG($Y10,($J10,$O10,$T10,$Y10)))*20+IF(_xlfn.RANK.EQ($Y10,($J10,$O10,$T10,$Y10))=1,20/((_xlfn.RANK.AVG($Y10,($J10,$O10,$T10,$Y10))-1)*2+1),0))</f>
        <v>5.3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30</v>
      </c>
      <c r="BF10" s="36" t="s">
        <v>173</v>
      </c>
      <c r="BG10" s="37" t="s">
        <v>74</v>
      </c>
      <c r="BH10" s="37" t="s">
        <v>70</v>
      </c>
      <c r="BI10" s="37" t="s">
        <v>71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松沢海輝</v>
      </c>
      <c r="F11" s="5" t="s">
        <v>172</v>
      </c>
      <c r="G11" s="6">
        <v>-1500</v>
      </c>
      <c r="H11" s="6"/>
      <c r="I11" s="6"/>
      <c r="J11" s="18">
        <f t="shared" si="2"/>
        <v>13100</v>
      </c>
      <c r="K11" s="5" t="s">
        <v>172</v>
      </c>
      <c r="L11" s="6">
        <v>1500</v>
      </c>
      <c r="M11" s="6">
        <v>-1000</v>
      </c>
      <c r="N11" s="6"/>
      <c r="O11" s="18">
        <f t="shared" si="8"/>
        <v>21600</v>
      </c>
      <c r="P11" s="5" t="s">
        <v>172</v>
      </c>
      <c r="Q11" s="6">
        <v>-1500</v>
      </c>
      <c r="R11" s="6">
        <v>2000</v>
      </c>
      <c r="S11" s="6"/>
      <c r="T11" s="18">
        <f t="shared" si="3"/>
        <v>39500</v>
      </c>
      <c r="U11" s="5" t="s">
        <v>172</v>
      </c>
      <c r="V11" s="6">
        <v>1500</v>
      </c>
      <c r="W11" s="6">
        <v>-1000</v>
      </c>
      <c r="X11" s="6"/>
      <c r="Y11" s="18">
        <f t="shared" si="4"/>
        <v>25800</v>
      </c>
      <c r="Z11" s="45">
        <f>IF($J11="","",ROUND(($J11-30000)/1000,1)+(2.5-_xlfn.RANK.AVG($J11,($J11,$O11,$T11,$Y11)))*20+IF(_xlfn.RANK.EQ($J11,($J11,$O11,$T11,$Y11))=1,20/((_xlfn.RANK.AVG($J11,($J11,$O11,$T11,$Y11))-1)*2+1),0))</f>
        <v>-46.9</v>
      </c>
      <c r="AA11" s="46">
        <f>IF($O11="","",ROUND(($O11-30000)/1000,1)+(2.5-_xlfn.RANK.AVG($O11,($J11,$O11,$T11,$Y11)))*20+IF(_xlfn.RANK.EQ($O11,($J11,$O11,$T11,$Y11))=1,20/((_xlfn.RANK.AVG($O11,($J11,$O11,$T11,$Y11))-1)*2+1),0))</f>
        <v>-18.399999999999999</v>
      </c>
      <c r="AB11" s="46">
        <f>IF($T11="","",ROUND(($T11-30000)/1000,1)+(2.5-_xlfn.RANK.AVG($T11,($J11,$O11,$T11,$Y11)))*20+IF(_xlfn.RANK.EQ($T11,($J11,$O11,$T11,$Y11))=1,20/((_xlfn.RANK.AVG($T11,($J11,$O11,$T11,$Y11))-1)*2+1),0))</f>
        <v>59.5</v>
      </c>
      <c r="AC11" s="47">
        <f>IF($Y11="","",ROUND(($Y11-30000)/1000,1)+(2.5-_xlfn.RANK.AVG($Y11,($J11,$O11,$T11,$Y11)))*20+IF(_xlfn.RANK.EQ($Y11,($J11,$O11,$T11,$Y11))=1,20/((_xlfn.RANK.AVG($Y11,($J11,$O11,$T11,$Y11))-1)*2+1),0))</f>
        <v>5.8</v>
      </c>
      <c r="AE11" s="5" t="s">
        <v>170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170</v>
      </c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171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A4E5A08-0236-4B49-8BAD-3D67F9094CCE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2025-11-06T08:31:31Z</dcterms:modified>
</cp:coreProperties>
</file>