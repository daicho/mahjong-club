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D94D3F96-8A12-44D8-B4C0-94965B46738F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/>
  <c r="D9" i="28"/>
  <c r="C8" i="28"/>
  <c r="D8" i="28"/>
  <c r="D7" i="28"/>
  <c r="C7" i="28"/>
  <c r="D6" i="28"/>
  <c r="Y5" i="28"/>
  <c r="T5" i="28"/>
  <c r="D5" i="28"/>
  <c r="Y4" i="28"/>
  <c r="T4" i="28"/>
  <c r="O4" i="28"/>
  <c r="O5" i="28" s="1"/>
  <c r="J4" i="28"/>
  <c r="E4" i="28"/>
  <c r="C5" i="28" s="1"/>
  <c r="C6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Z10" i="28" l="1"/>
  <c r="AA10" i="28"/>
  <c r="AB10" i="28"/>
  <c r="AC10" i="28"/>
  <c r="Z4" i="28"/>
  <c r="AC4" i="28"/>
  <c r="AB4" i="28"/>
  <c r="O6" i="28"/>
  <c r="AA4" i="28"/>
  <c r="J5" i="28"/>
  <c r="AB5" i="28" s="1"/>
  <c r="Y6" i="28"/>
  <c r="T6" i="28"/>
  <c r="C9" i="28"/>
  <c r="B5" i="28"/>
  <c r="A5" i="28" s="1"/>
  <c r="E4" i="27"/>
  <c r="AC5" i="28" l="1"/>
  <c r="Y7" i="28"/>
  <c r="J6" i="28"/>
  <c r="AA6" i="28" s="1"/>
  <c r="Z5" i="28"/>
  <c r="AA5" i="28"/>
  <c r="B6" i="28"/>
  <c r="A6" i="28" s="1"/>
  <c r="T7" i="28"/>
  <c r="O7" i="28"/>
  <c r="O5" i="27"/>
  <c r="AC3" i="27"/>
  <c r="AA3" i="27"/>
  <c r="AB3" i="27"/>
  <c r="Z3" i="27"/>
  <c r="AC6" i="28" l="1"/>
  <c r="AB6" i="28"/>
  <c r="T8" i="28"/>
  <c r="AB7" i="28"/>
  <c r="O8" i="28"/>
  <c r="Y8" i="28"/>
  <c r="B7" i="28"/>
  <c r="A7" i="28" s="1"/>
  <c r="J7" i="28"/>
  <c r="Z6" i="28"/>
  <c r="CP1" i="27"/>
  <c r="AC2" i="27"/>
  <c r="BU1" i="27"/>
  <c r="AB2" i="27"/>
  <c r="AZ1" i="27"/>
  <c r="AA2" i="27"/>
  <c r="AE1" i="27"/>
  <c r="Z2" i="27"/>
  <c r="Z7" i="28" l="1"/>
  <c r="J8" i="28"/>
  <c r="T9" i="28"/>
  <c r="AB8" i="28"/>
  <c r="B8" i="28"/>
  <c r="A8" i="28" s="1"/>
  <c r="AA8" i="28"/>
  <c r="O9" i="28"/>
  <c r="AC7" i="28"/>
  <c r="Y9" i="28"/>
  <c r="AC8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B9" i="28" l="1"/>
  <c r="A9" i="28" s="1"/>
  <c r="J9" i="28"/>
  <c r="AA9" i="28" s="1"/>
  <c r="Z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Z9" i="28"/>
  <c r="AC9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<sst xmlns="http://schemas.openxmlformats.org/spreadsheetml/2006/main" count="665" uniqueCount="176">
  <si>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</si>
  <si>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</si>
  <si>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</si>
  <si>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</si>
  <si>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</si>
  <si>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</si>
  <si>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</si>
  <si>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</si>
  <si>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</si>
  <si>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</si>
  <si>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</si>
  <si>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</si>
  <si>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</si>
  <si>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</si>
  <si>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</si>
  <si>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</si>
  <si>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</si>
  <si>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</si>
  <si>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</si>
  <si>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</si>
  <si>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</si>
  <si>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</si>
  <si>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</si>
  <si>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</si>
  <si>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</si>
  <si>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</si>
  <si>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</si>
  <si>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</si>
  <si>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</si>
  <si>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</si>
  <si>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</si>
  <si>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</si>
  <si>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</si>
  <si>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</si>
  <si>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</si>
  <si>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</si>
  <si>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</si>
  <si>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</si>
  <si>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</si>
  <si>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</si>
  <si>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</si>
  <si>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</si>
  <si>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</si>
  <si>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</si>
  <si>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</si>
  <si>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</si>
  <si>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</si>
  <si>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</si>
  <si>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</si>
  <si>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</si>
  <si>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</si>
  <si>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</si>
  <si>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</si>
  <si>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</si>
  <si>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</si>
  <si>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</si>
  <si>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</si>
  <si>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</si>
  <si>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</si>
  <si>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</si>
  <si>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</si>
  <si>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</si>
  <si>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</si>
  <si>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</si>
  <si>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</si>
  <si>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</si>
  <si>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</si>
  <si>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</si>
  <si>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</si>
  <si>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</si>
  <si>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</si>
  <si>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</si>
  <si>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</si>
  <si>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</si>
  <si>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</si>
  <si>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</si>
  <si>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</si>
  <si>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</si>
  <si>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</si>
  <si>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</si>
  <si>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</si>
  <si>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</si>
  <si>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</si>
  <si>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</si>
  <si>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</si>
  <si>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</si>
  <si>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</si>
  <si>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</si>
  <si>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</si>
  <si>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</si>
  <si>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</si>
  <si>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</si>
  <si>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</si>
  <si>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</si>
  <si>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</si>
  <si>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</si>
  <si>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</si>
  <si>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</si>
  <si>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</si>
  <si>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</si>
  <si>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</si>
  <si>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</si>
  <si>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</si>
  <si>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</si>
  <si>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</si>
  <si>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</si>
  <si>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</si>
  <si>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</si>
  <si>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</si>
  <si>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</si>
  <si>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</si>
  <si>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</si>
  <si>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</si>
  <si>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</si>
  <si>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</si>
  <si>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</si>
  <si>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</si>
  <si>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</si>
  <si>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</si>
  <si>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</si>
  <si>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</si>
  <si>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</si>
  <si>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</si>
  <si>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</si>
  <si>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</si>
  <si>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</si>
  <si>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</si>
  <si>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</si>
  <si>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</si>
  <si>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</si>
  <si>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</si>
  <si>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</si>
  <si>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</si>
  <si>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</si>
  <si>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</si>
  <si>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</si>
  <si>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</si>
  <si>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</si>
  <si>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</si>
  <si>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</si>
  <si>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</si>
  <si>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</si>
  <si>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</si>
  <si>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</si>
  <si>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</si>
  <si>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</si>
  <si>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</si>
  <si>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</si>
  <si>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</si>
  <si>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</si>
  <si>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</si>
  <si>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</si>
  <si>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</si>
  <si>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</si>
  <si>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</si>
  <si>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</si>
  <si>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</si>
  <si>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</si>
  <si>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</si>
  <si>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</si>
  <si>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</si>
  <si>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佐藤成浩</t>
  </si>
  <si>
    <t>長野柊馬</t>
  </si>
  <si>
    <t>西野修世</t>
  </si>
  <si>
    <t>所附快和</t>
  </si>
  <si>
    <t>T</t>
  </si>
  <si>
    <t>N</t>
  </si>
  <si>
    <t>流局</t>
    <phoneticPr fontId="1"/>
  </si>
  <si>
    <t>ツモ</t>
  </si>
  <si>
    <t>ツモ支払</t>
  </si>
  <si>
    <t>52</t>
  </si>
  <si>
    <t>ロン</t>
  </si>
  <si>
    <t>放銃</t>
  </si>
  <si>
    <t>01</t>
  </si>
  <si>
    <t>*</t>
  </si>
  <si>
    <t>山本悠介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</si>
</sst>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J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西野修世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長野柊馬</v>
      </c>
      <c r="AB2" s="56" t="str">
        <f>IF($P$1="","",$P$1)</f>
        <v>西野修世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167</v>
      </c>
      <c r="G4" s="6">
        <v>3000</v>
      </c>
      <c r="H4" s="6">
        <v>-1000</v>
      </c>
      <c r="I4" s="6"/>
      <c r="J4" s="18">
        <f>IF(COUNTA($F4,$K4,$P4,$U4)&gt;0,J3+SUM(G4:I4),"")</f>
        <v>27000</v>
      </c>
      <c r="K4" s="5" t="s">
        <v>167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167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167</v>
      </c>
      <c r="V4" s="6">
        <v>-1000</v>
      </c>
      <c r="W4" s="6"/>
      <c r="X4" s="6"/>
      <c r="Y4" s="18">
        <f>IF(COUNTA($F4,$K4,$P4,$U4)&gt;0,Y3+SUM(V4:X4),"")</f>
        <v>24000</v>
      </c>
      <c r="Z4" s="45">
        <f>IF($J4="","",ROUND(($J4-30000)/1000,1)+(2.5-_xlfn.RANK.AVG($J4,($J4,$O4,$T4,$Y4)))*20+IF(_xlfn.RANK.EQ($J4,($J4,$O4,$T4,$Y4))=1,20/((_xlfn.RANK.AVG($J4,($J4,$O4,$T4,$Y4))-1)*2+1),0))</f>
        <v>47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-16</v>
      </c>
      <c r="AE4" s="5" t="s">
        <v>165</v>
      </c>
      <c r="AF4" s="30"/>
      <c r="AG4" s="23">
        <v>1</v>
      </c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166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佐藤成浩</v>
      </c>
      <c r="F5" s="5" t="s">
        <v>168</v>
      </c>
      <c r="G5" s="6">
        <v>3000</v>
      </c>
      <c r="H5" s="6">
        <v>1000</v>
      </c>
      <c r="I5" s="6">
        <v>300</v>
      </c>
      <c r="J5" s="18">
        <f t="shared" ref="J5:J30" si="2">IF(COUNTA($F5,$K5,$P5,$U5)&gt;0,J4+SUM(G5:I5),"")</f>
        <v>31300</v>
      </c>
      <c r="K5" s="5" t="s">
        <v>169</v>
      </c>
      <c r="L5" s="6">
        <v>-1000</v>
      </c>
      <c r="M5" s="6"/>
      <c r="N5" s="6">
        <v>-100</v>
      </c>
      <c r="O5" s="18">
        <f>IF(COUNTA($F5,$K5,$P5,$U5)&gt;0,O4+SUM(L5:N5),"")</f>
        <v>22900</v>
      </c>
      <c r="P5" s="5" t="s">
        <v>169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22900</v>
      </c>
      <c r="U5" s="5" t="s">
        <v>169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22900</v>
      </c>
      <c r="Z5" s="45">
        <f>IF($J5="","",ROUND(($J5-30000)/1000,1)+(2.5-_xlfn.RANK.AVG($J5,($J5,$O5,$T5,$Y5)))*20+IF(_xlfn.RANK.EQ($J5,($J5,$O5,$T5,$Y5))=1,20/((_xlfn.RANK.AVG($J5,($J5,$O5,$T5,$Y5))-1)*2+1),0))</f>
        <v>51.3</v>
      </c>
      <c r="AA5" s="46">
        <f>IF($O5="","",ROUND(($O5-30000)/1000,1)+(2.5-_xlfn.RANK.AVG($O5,($J5,$O5,$T5,$Y5)))*20+IF(_xlfn.RANK.EQ($O5,($J5,$O5,$T5,$Y5))=1,20/((_xlfn.RANK.AVG($O5,($J5,$O5,$T5,$Y5))-1)*2+1),0))</f>
        <v>-17.100000000000001</v>
      </c>
      <c r="AB5" s="46">
        <f>IF($T5="","",ROUND(($T5-30000)/1000,1)+(2.5-_xlfn.RANK.AVG($T5,($J5,$O5,$T5,$Y5)))*20+IF(_xlfn.RANK.EQ($T5,($J5,$O5,$T5,$Y5))=1,20/((_xlfn.RANK.AVG($T5,($J5,$O5,$T5,$Y5))-1)*2+1),0))</f>
        <v>-17.100000000000001</v>
      </c>
      <c r="AC5" s="47">
        <f>IF($Y5="","",ROUND(($Y5-30000)/1000,1)+(2.5-_xlfn.RANK.AVG($Y5,($J5,$O5,$T5,$Y5)))*20+IF(_xlfn.RANK.EQ($Y5,($J5,$O5,$T5,$Y5))=1,20/((_xlfn.RANK.AVG($Y5,($J5,$O5,$T5,$Y5))-1)*2+1),0))</f>
        <v>-17.100000000000001</v>
      </c>
      <c r="AE5" s="5"/>
      <c r="AF5" s="30"/>
      <c r="AG5" s="23"/>
      <c r="AH5" s="23">
        <v>1</v>
      </c>
      <c r="AI5" s="23">
        <v>2</v>
      </c>
      <c r="AJ5" s="27">
        <v>30</v>
      </c>
      <c r="AK5" s="36" t="s">
        <v>70</v>
      </c>
      <c r="AL5" s="37" t="s">
        <v>76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佐藤成浩</v>
      </c>
      <c r="F6" s="5" t="s">
        <v>169</v>
      </c>
      <c r="G6" s="6">
        <v>-2000</v>
      </c>
      <c r="H6" s="6"/>
      <c r="I6" s="6">
        <v>-200</v>
      </c>
      <c r="J6" s="18">
        <f t="shared" si="2"/>
        <v>29100</v>
      </c>
      <c r="K6" s="5" t="s">
        <v>169</v>
      </c>
      <c r="L6" s="6">
        <v>-1000</v>
      </c>
      <c r="M6" s="6"/>
      <c r="N6" s="6">
        <v>-200</v>
      </c>
      <c r="O6" s="18">
        <f t="shared" ref="O6:O30" si="8">IF(COUNTA($F6,$K6,$P6,$U6)&gt;0,O5+SUM(L6:N6),"")</f>
        <v>21700</v>
      </c>
      <c r="P6" s="5" t="s">
        <v>169</v>
      </c>
      <c r="Q6" s="6">
        <v>-1000</v>
      </c>
      <c r="R6" s="6"/>
      <c r="S6" s="6">
        <v>-200</v>
      </c>
      <c r="T6" s="18">
        <f t="shared" si="3"/>
        <v>21700</v>
      </c>
      <c r="U6" s="5" t="s">
        <v>168</v>
      </c>
      <c r="V6" s="6">
        <v>4000</v>
      </c>
      <c r="W6" s="6"/>
      <c r="X6" s="6">
        <v>600</v>
      </c>
      <c r="Y6" s="18">
        <f t="shared" si="4"/>
        <v>27500</v>
      </c>
      <c r="Z6" s="45">
        <f>IF($J6="","",ROUND(($J6-30000)/1000,1)+(2.5-_xlfn.RANK.AVG($J6,($J6,$O6,$T6,$Y6)))*20+IF(_xlfn.RANK.EQ($J6,($J6,$O6,$T6,$Y6))=1,20/((_xlfn.RANK.AVG($J6,($J6,$O6,$T6,$Y6))-1)*2+1),0))</f>
        <v>49.1</v>
      </c>
      <c r="AA6" s="46">
        <f>IF($O6="","",ROUND(($O6-30000)/1000,1)+(2.5-_xlfn.RANK.AVG($O6,($J6,$O6,$T6,$Y6)))*20+IF(_xlfn.RANK.EQ($O6,($J6,$O6,$T6,$Y6))=1,20/((_xlfn.RANK.AVG($O6,($J6,$O6,$T6,$Y6))-1)*2+1),0))</f>
        <v>-28.3</v>
      </c>
      <c r="AB6" s="46">
        <f>IF($T6="","",ROUND(($T6-30000)/1000,1)+(2.5-_xlfn.RANK.AVG($T6,($J6,$O6,$T6,$Y6)))*20+IF(_xlfn.RANK.EQ($T6,($J6,$O6,$T6,$Y6))=1,20/((_xlfn.RANK.AVG($T6,($J6,$O6,$T6,$Y6))-1)*2+1),0))</f>
        <v>-28.3</v>
      </c>
      <c r="AC6" s="47">
        <f>IF($Y6="","",ROUND(($Y6-30000)/1000,1)+(2.5-_xlfn.RANK.AVG($Y6,($J6,$O6,$T6,$Y6)))*20+IF(_xlfn.RANK.EQ($Y6,($J6,$O6,$T6,$Y6))=1,20/((_xlfn.RANK.AVG($Y6,($J6,$O6,$T6,$Y6))-1)*2+1),0))</f>
        <v>7.5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3</v>
      </c>
      <c r="CU6" s="27">
        <v>30</v>
      </c>
      <c r="CV6" s="36" t="s">
        <v>76</v>
      </c>
      <c r="CW6" s="37" t="s">
        <v>70</v>
      </c>
      <c r="CX6" s="37" t="s">
        <v>170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長野柊馬</v>
      </c>
      <c r="F7" s="5"/>
      <c r="G7" s="6"/>
      <c r="H7" s="6"/>
      <c r="I7" s="6"/>
      <c r="J7" s="18">
        <f t="shared" si="2"/>
        <v>29100</v>
      </c>
      <c r="K7" s="5" t="s">
        <v>171</v>
      </c>
      <c r="L7" s="6">
        <v>2000</v>
      </c>
      <c r="M7" s="6"/>
      <c r="N7" s="6">
        <v>0</v>
      </c>
      <c r="O7" s="18">
        <f t="shared" si="8"/>
        <v>23700</v>
      </c>
      <c r="P7" s="5"/>
      <c r="Q7" s="6"/>
      <c r="R7" s="6"/>
      <c r="S7" s="6"/>
      <c r="T7" s="18">
        <f t="shared" si="3"/>
        <v>21700</v>
      </c>
      <c r="U7" s="5" t="s">
        <v>172</v>
      </c>
      <c r="V7" s="6">
        <v>-2000</v>
      </c>
      <c r="W7" s="6"/>
      <c r="X7" s="6">
        <v>0</v>
      </c>
      <c r="Y7" s="18">
        <f t="shared" si="4"/>
        <v>25500</v>
      </c>
      <c r="Z7" s="45">
        <f>IF($J7="","",ROUND(($J7-30000)/1000,1)+(2.5-_xlfn.RANK.AVG($J7,($J7,$O7,$T7,$Y7)))*20+IF(_xlfn.RANK.EQ($J7,($J7,$O7,$T7,$Y7))=1,20/((_xlfn.RANK.AVG($J7,($J7,$O7,$T7,$Y7))-1)*2+1),0))</f>
        <v>49.1</v>
      </c>
      <c r="AA7" s="46">
        <f>IF($O7="","",ROUND(($O7-30000)/1000,1)+(2.5-_xlfn.RANK.AVG($O7,($J7,$O7,$T7,$Y7)))*20+IF(_xlfn.RANK.EQ($O7,($J7,$O7,$T7,$Y7))=1,20/((_xlfn.RANK.AVG($O7,($J7,$O7,$T7,$Y7))-1)*2+1),0))</f>
        <v>-16.3</v>
      </c>
      <c r="AB7" s="46">
        <f>IF($T7="","",ROUND(($T7-30000)/1000,1)+(2.5-_xlfn.RANK.AVG($T7,($J7,$O7,$T7,$Y7)))*20+IF(_xlfn.RANK.EQ($T7,($J7,$O7,$T7,$Y7))=1,20/((_xlfn.RANK.AVG($T7,($J7,$O7,$T7,$Y7))-1)*2+1),0))</f>
        <v>-38.299999999999997</v>
      </c>
      <c r="AC7" s="47">
        <f>IF($Y7="","",ROUND(($Y7-30000)/1000,1)+(2.5-_xlfn.RANK.AVG($Y7,($J7,$O7,$T7,$Y7)))*20+IF(_xlfn.RANK.EQ($Y7,($J7,$O7,$T7,$Y7))=1,20/((_xlfn.RANK.AVG($Y7,($J7,$O7,$T7,$Y7))-1)*2+1),0))</f>
        <v>5.5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1</v>
      </c>
      <c r="BE7" s="27">
        <v>40</v>
      </c>
      <c r="BF7" s="36" t="s">
        <v>173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長野柊馬</v>
      </c>
      <c r="F8" s="5" t="s">
        <v>169</v>
      </c>
      <c r="G8" s="6">
        <v>-4000</v>
      </c>
      <c r="H8" s="6"/>
      <c r="I8" s="6">
        <v>-100</v>
      </c>
      <c r="J8" s="18">
        <f t="shared" si="2"/>
        <v>25000</v>
      </c>
      <c r="K8" s="5" t="s">
        <v>168</v>
      </c>
      <c r="L8" s="6">
        <v>12000</v>
      </c>
      <c r="M8" s="6">
        <v>1000</v>
      </c>
      <c r="N8" s="6">
        <v>300</v>
      </c>
      <c r="O8" s="18">
        <f t="shared" si="8"/>
        <v>37000</v>
      </c>
      <c r="P8" s="5" t="s">
        <v>169</v>
      </c>
      <c r="Q8" s="6">
        <v>-4000</v>
      </c>
      <c r="R8" s="6"/>
      <c r="S8" s="6">
        <v>-100</v>
      </c>
      <c r="T8" s="18">
        <f t="shared" si="3"/>
        <v>17600</v>
      </c>
      <c r="U8" s="5" t="s">
        <v>169</v>
      </c>
      <c r="V8" s="6">
        <v>-4000</v>
      </c>
      <c r="W8" s="6">
        <v>-1000</v>
      </c>
      <c r="X8" s="6">
        <v>-100</v>
      </c>
      <c r="Y8" s="18">
        <f t="shared" si="4"/>
        <v>20400</v>
      </c>
      <c r="Z8" s="45">
        <f>IF($J8="","",ROUND(($J8-30000)/1000,1)+(2.5-_xlfn.RANK.AVG($J8,($J8,$O8,$T8,$Y8)))*20+IF(_xlfn.RANK.EQ($J8,($J8,$O8,$T8,$Y8))=1,20/((_xlfn.RANK.AVG($J8,($J8,$O8,$T8,$Y8))-1)*2+1),0))</f>
        <v>5</v>
      </c>
      <c r="AA8" s="46">
        <f>IF($O8="","",ROUND(($O8-30000)/1000,1)+(2.5-_xlfn.RANK.AVG($O8,($J8,$O8,$T8,$Y8)))*20+IF(_xlfn.RANK.EQ($O8,($J8,$O8,$T8,$Y8))=1,20/((_xlfn.RANK.AVG($O8,($J8,$O8,$T8,$Y8))-1)*2+1),0))</f>
        <v>57</v>
      </c>
      <c r="AB8" s="46">
        <f>IF($T8="","",ROUND(($T8-30000)/1000,1)+(2.5-_xlfn.RANK.AVG($T8,($J8,$O8,$T8,$Y8)))*20+IF(_xlfn.RANK.EQ($T8,($J8,$O8,$T8,$Y8))=1,20/((_xlfn.RANK.AVG($T8,($J8,$O8,$T8,$Y8))-1)*2+1),0))</f>
        <v>-42.4</v>
      </c>
      <c r="AC8" s="47">
        <f>IF($Y8="","",ROUND(($Y8-30000)/1000,1)+(2.5-_xlfn.RANK.AVG($Y8,($J8,$O8,$T8,$Y8)))*20+IF(_xlfn.RANK.EQ($Y8,($J8,$O8,$T8,$Y8))=1,20/((_xlfn.RANK.AVG($Y8,($J8,$O8,$T8,$Y8))-1)*2+1),0))</f>
        <v>-19.600000000000001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5</v>
      </c>
      <c r="BE8" s="27" t="s">
        <v>174</v>
      </c>
      <c r="BF8" s="36" t="s">
        <v>173</v>
      </c>
      <c r="BG8" s="37" t="s">
        <v>73</v>
      </c>
      <c r="BH8" s="37" t="s">
        <v>74</v>
      </c>
      <c r="BI8" s="37" t="s">
        <v>76</v>
      </c>
      <c r="BJ8" s="37" t="s">
        <v>70</v>
      </c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2</v>
      </c>
      <c r="D9" s="15">
        <f t="shared" si="7"/>
        <v>0</v>
      </c>
      <c r="E9" s="58" t="str">
        <f>IF($K$1="","",$K$1)</f>
        <v>長野柊馬</v>
      </c>
      <c r="F9" s="5"/>
      <c r="G9" s="6"/>
      <c r="H9" s="6">
        <v>-1000</v>
      </c>
      <c r="I9" s="6"/>
      <c r="J9" s="18">
        <f t="shared" si="2"/>
        <v>24000</v>
      </c>
      <c r="K9" s="5"/>
      <c r="L9" s="6"/>
      <c r="M9" s="6">
        <v>0</v>
      </c>
      <c r="N9" s="6"/>
      <c r="O9" s="18">
        <f t="shared" si="8"/>
        <v>37000</v>
      </c>
      <c r="P9" s="5" t="s">
        <v>171</v>
      </c>
      <c r="Q9" s="6">
        <v>12000</v>
      </c>
      <c r="R9" s="6">
        <v>1000</v>
      </c>
      <c r="S9" s="6">
        <v>600</v>
      </c>
      <c r="T9" s="18">
        <f t="shared" si="3"/>
        <v>31200</v>
      </c>
      <c r="U9" s="5" t="s">
        <v>172</v>
      </c>
      <c r="V9" s="6">
        <v>-12000</v>
      </c>
      <c r="W9" s="6"/>
      <c r="X9" s="6">
        <v>-600</v>
      </c>
      <c r="Y9" s="18">
        <f t="shared" si="4"/>
        <v>7800</v>
      </c>
      <c r="Z9" s="45">
        <f>IF($J9="","",ROUND(($J9-30000)/1000,1)+(2.5-_xlfn.RANK.AVG($J9,($J9,$O9,$T9,$Y9)))*20+IF(_xlfn.RANK.EQ($J9,($J9,$O9,$T9,$Y9))=1,20/((_xlfn.RANK.AVG($J9,($J9,$O9,$T9,$Y9))-1)*2+1),0))</f>
        <v>-16</v>
      </c>
      <c r="AA9" s="46">
        <f>IF($O9="","",ROUND(($O9-30000)/1000,1)+(2.5-_xlfn.RANK.AVG($O9,($J9,$O9,$T9,$Y9)))*20+IF(_xlfn.RANK.EQ($O9,($J9,$O9,$T9,$Y9))=1,20/((_xlfn.RANK.AVG($O9,($J9,$O9,$T9,$Y9))-1)*2+1),0))</f>
        <v>57</v>
      </c>
      <c r="AB9" s="46">
        <f>IF($T9="","",ROUND(($T9-30000)/1000,1)+(2.5-_xlfn.RANK.AVG($T9,($J9,$O9,$T9,$Y9)))*20+IF(_xlfn.RANK.EQ($T9,($J9,$O9,$T9,$Y9))=1,20/((_xlfn.RANK.AVG($T9,($J9,$O9,$T9,$Y9))-1)*2+1),0))</f>
        <v>11.2</v>
      </c>
      <c r="AC9" s="47">
        <f>IF($Y9="","",ROUND(($Y9-30000)/1000,1)+(2.5-_xlfn.RANK.AVG($Y9,($J9,$O9,$T9,$Y9)))*20+IF(_xlfn.RANK.EQ($Y9,($J9,$O9,$T9,$Y9))=1,20/((_xlfn.RANK.AVG($Y9,($J9,$O9,$T9,$Y9))-1)*2+1),0))</f>
        <v>-52.2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6</v>
      </c>
      <c r="BZ9" s="27" t="s">
        <v>174</v>
      </c>
      <c r="CA9" s="36" t="s">
        <v>77</v>
      </c>
      <c r="CB9" s="37" t="s">
        <v>95</v>
      </c>
      <c r="CC9" s="37" t="s">
        <v>170</v>
      </c>
      <c r="CD9" s="37" t="s">
        <v>70</v>
      </c>
      <c r="CE9" s="37" t="s">
        <v>70</v>
      </c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3F8F551D-7725-44FC-9225-B837E8B82938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1EE6A-4870-4353-958B-D07D9DB80CF0}">
  <sheetPr codeName="Sheet10">
    <pageSetUpPr fitToPage="1"/>
  </sheetPr>
  <dimension ref="A1:DJ30"/>
  <sheetViews>
    <sheetView tabSelected="1" topLeftCell="G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佐藤成浩</v>
      </c>
      <c r="AF1" s="70" t="str">
        <f t="shared" ref="AF1:AY1" si="0">$F$1</f>
        <v>佐藤成浩</v>
      </c>
      <c r="AG1" s="61" t="str">
        <f t="shared" si="0"/>
        <v>佐藤成浩</v>
      </c>
      <c r="AH1" s="61" t="str">
        <f t="shared" si="0"/>
        <v>佐藤成浩</v>
      </c>
      <c r="AI1" s="61" t="str">
        <f t="shared" si="0"/>
        <v>佐藤成浩</v>
      </c>
      <c r="AJ1" s="61" t="str">
        <f t="shared" si="0"/>
        <v>佐藤成浩</v>
      </c>
      <c r="AK1" s="61" t="str">
        <f t="shared" si="0"/>
        <v>佐藤成浩</v>
      </c>
      <c r="AL1" s="61" t="str">
        <f t="shared" si="0"/>
        <v>佐藤成浩</v>
      </c>
      <c r="AM1" s="61" t="str">
        <f t="shared" si="0"/>
        <v>佐藤成浩</v>
      </c>
      <c r="AN1" s="61" t="str">
        <f t="shared" si="0"/>
        <v>佐藤成浩</v>
      </c>
      <c r="AO1" s="61" t="str">
        <f t="shared" si="0"/>
        <v>佐藤成浩</v>
      </c>
      <c r="AP1" s="61" t="str">
        <f t="shared" si="0"/>
        <v>佐藤成浩</v>
      </c>
      <c r="AQ1" s="61" t="str">
        <f t="shared" si="0"/>
        <v>佐藤成浩</v>
      </c>
      <c r="AR1" s="61" t="str">
        <f t="shared" si="0"/>
        <v>佐藤成浩</v>
      </c>
      <c r="AS1" s="61" t="str">
        <f t="shared" si="0"/>
        <v>佐藤成浩</v>
      </c>
      <c r="AT1" s="61" t="str">
        <f t="shared" si="0"/>
        <v>佐藤成浩</v>
      </c>
      <c r="AU1" s="61" t="str">
        <f t="shared" si="0"/>
        <v>佐藤成浩</v>
      </c>
      <c r="AV1" s="61" t="str">
        <f t="shared" si="0"/>
        <v>佐藤成浩</v>
      </c>
      <c r="AW1" s="61" t="str">
        <f t="shared" si="0"/>
        <v>佐藤成浩</v>
      </c>
      <c r="AX1" s="61" t="str">
        <f t="shared" si="0"/>
        <v>佐藤成浩</v>
      </c>
      <c r="AY1" s="63" t="str">
        <f t="shared" si="0"/>
        <v>佐藤成浩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佐藤成浩</v>
      </c>
      <c r="AA2" s="56" t="str">
        <f>IF($K$1="","",$K$1)</f>
        <v>山本悠介</v>
      </c>
      <c r="AB2" s="56" t="str">
        <f>IF($P$1="","",$P$1)</f>
        <v>所附快和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佐藤成浩</v>
      </c>
      <c r="F4" s="5" t="s">
        <v>171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172</v>
      </c>
      <c r="V4" s="6">
        <v>-12000</v>
      </c>
      <c r="W4" s="6"/>
      <c r="X4" s="6">
        <v>0</v>
      </c>
      <c r="Y4" s="18">
        <f>IF(COUNTA($F4,$K4,$P4,$U4)&gt;0,Y3+SUM(V4:X4),"")</f>
        <v>13000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-47</v>
      </c>
      <c r="AE4" s="5"/>
      <c r="AF4" s="30"/>
      <c r="AG4" s="23"/>
      <c r="AH4" s="23">
        <v>1</v>
      </c>
      <c r="AI4" s="23">
        <v>4</v>
      </c>
      <c r="AJ4" s="27">
        <v>30</v>
      </c>
      <c r="AK4" s="36" t="s">
        <v>70</v>
      </c>
      <c r="AL4" s="37" t="s">
        <v>170</v>
      </c>
      <c r="AM4" s="37" t="s">
        <v>77</v>
      </c>
      <c r="AN4" s="37" t="s">
        <v>77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佐藤成浩</v>
      </c>
      <c r="F5" s="5" t="s">
        <v>171</v>
      </c>
      <c r="G5" s="6">
        <v>12000</v>
      </c>
      <c r="H5" s="6"/>
      <c r="I5" s="6">
        <v>300</v>
      </c>
      <c r="J5" s="18">
        <f t="shared" ref="J5:J30" si="2">IF(COUNTA($F5,$K5,$P5,$U5)&gt;0,J4+SUM(G5:I5),"")</f>
        <v>49300</v>
      </c>
      <c r="K5" s="5"/>
      <c r="L5" s="6"/>
      <c r="M5" s="6"/>
      <c r="N5" s="6"/>
      <c r="O5" s="18">
        <f>IF(COUNTA($F5,$K5,$P5,$U5)&gt;0,O4+SUM(L5:N5),"")</f>
        <v>25000</v>
      </c>
      <c r="P5" s="5" t="s">
        <v>172</v>
      </c>
      <c r="Q5" s="6">
        <v>-12000</v>
      </c>
      <c r="R5" s="6"/>
      <c r="S5" s="6">
        <v>-300</v>
      </c>
      <c r="T5" s="18">
        <f t="shared" ref="T5:T30" si="3">IF(COUNTA($F5,$K5,$P5,$U5)&gt;0,T4+SUM(Q5:S5),"")</f>
        <v>12700</v>
      </c>
      <c r="U5" s="5"/>
      <c r="V5" s="6"/>
      <c r="W5" s="6"/>
      <c r="X5" s="6"/>
      <c r="Y5" s="18">
        <f t="shared" ref="Y5:Y30" si="4">IF(COUNTA($F5,$K5,$P5,$U5)&gt;0,Y4+SUM(V5:X5),"")</f>
        <v>13000</v>
      </c>
      <c r="Z5" s="45">
        <f>IF($J5="","",ROUND(($J5-30000)/1000,1)+(2.5-_xlfn.RANK.AVG($J5,($J5,$O5,$T5,$Y5)))*20+IF(_xlfn.RANK.EQ($J5,($J5,$O5,$T5,$Y5))=1,20/((_xlfn.RANK.AVG($J5,($J5,$O5,$T5,$Y5))-1)*2+1),0))</f>
        <v>69.3</v>
      </c>
      <c r="AA5" s="46">
        <f>IF($O5="","",ROUND(($O5-30000)/1000,1)+(2.5-_xlfn.RANK.AVG($O5,($J5,$O5,$T5,$Y5)))*20+IF(_xlfn.RANK.EQ($O5,($J5,$O5,$T5,$Y5))=1,20/((_xlfn.RANK.AVG($O5,($J5,$O5,$T5,$Y5))-1)*2+1),0))</f>
        <v>5</v>
      </c>
      <c r="AB5" s="46">
        <f>IF($T5="","",ROUND(($T5-30000)/1000,1)+(2.5-_xlfn.RANK.AVG($T5,($J5,$O5,$T5,$Y5)))*20+IF(_xlfn.RANK.EQ($T5,($J5,$O5,$T5,$Y5))=1,20/((_xlfn.RANK.AVG($T5,($J5,$O5,$T5,$Y5))-1)*2+1),0))</f>
        <v>-47.3</v>
      </c>
      <c r="AC5" s="47">
        <f>IF($Y5="","",ROUND(($Y5-30000)/1000,1)+(2.5-_xlfn.RANK.AVG($Y5,($J5,$O5,$T5,$Y5)))*20+IF(_xlfn.RANK.EQ($Y5,($J5,$O5,$T5,$Y5))=1,20/((_xlfn.RANK.AVG($Y5,($J5,$O5,$T5,$Y5))-1)*2+1),0))</f>
        <v>-27</v>
      </c>
      <c r="AE5" s="5"/>
      <c r="AF5" s="30"/>
      <c r="AG5" s="23"/>
      <c r="AH5" s="23">
        <v>1</v>
      </c>
      <c r="AI5" s="23">
        <v>4</v>
      </c>
      <c r="AJ5" s="27">
        <v>30</v>
      </c>
      <c r="AK5" s="36" t="s">
        <v>77</v>
      </c>
      <c r="AL5" s="37" t="s">
        <v>70</v>
      </c>
      <c r="AM5" s="37" t="s">
        <v>70</v>
      </c>
      <c r="AN5" s="37" t="s">
        <v>170</v>
      </c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佐藤成浩</v>
      </c>
      <c r="F6" s="5" t="s">
        <v>169</v>
      </c>
      <c r="G6" s="6">
        <v>-2000</v>
      </c>
      <c r="H6" s="6"/>
      <c r="I6" s="6">
        <v>-200</v>
      </c>
      <c r="J6" s="18">
        <f t="shared" si="2"/>
        <v>47100</v>
      </c>
      <c r="K6" s="5" t="s">
        <v>169</v>
      </c>
      <c r="L6" s="6">
        <v>-1000</v>
      </c>
      <c r="M6" s="6"/>
      <c r="N6" s="6">
        <v>-200</v>
      </c>
      <c r="O6" s="18">
        <f t="shared" ref="O6:O30" si="8">IF(COUNTA($F6,$K6,$P6,$U6)&gt;0,O5+SUM(L6:N6),"")</f>
        <v>23800</v>
      </c>
      <c r="P6" s="5" t="s">
        <v>169</v>
      </c>
      <c r="Q6" s="6">
        <v>-1000</v>
      </c>
      <c r="R6" s="6">
        <v>-1000</v>
      </c>
      <c r="S6" s="6">
        <v>-200</v>
      </c>
      <c r="T6" s="18">
        <f t="shared" si="3"/>
        <v>10500</v>
      </c>
      <c r="U6" s="5" t="s">
        <v>168</v>
      </c>
      <c r="V6" s="6">
        <v>4000</v>
      </c>
      <c r="W6" s="6">
        <v>1000</v>
      </c>
      <c r="X6" s="6">
        <v>600</v>
      </c>
      <c r="Y6" s="18">
        <f t="shared" si="4"/>
        <v>18600</v>
      </c>
      <c r="Z6" s="45">
        <f>IF($J6="","",ROUND(($J6-30000)/1000,1)+(2.5-_xlfn.RANK.AVG($J6,($J6,$O6,$T6,$Y6)))*20+IF(_xlfn.RANK.EQ($J6,($J6,$O6,$T6,$Y6))=1,20/((_xlfn.RANK.AVG($J6,($J6,$O6,$T6,$Y6))-1)*2+1),0))</f>
        <v>67.099999999999994</v>
      </c>
      <c r="AA6" s="46">
        <f>IF($O6="","",ROUND(($O6-30000)/1000,1)+(2.5-_xlfn.RANK.AVG($O6,($J6,$O6,$T6,$Y6)))*20+IF(_xlfn.RANK.EQ($O6,($J6,$O6,$T6,$Y6))=1,20/((_xlfn.RANK.AVG($O6,($J6,$O6,$T6,$Y6))-1)*2+1),0))</f>
        <v>3.8</v>
      </c>
      <c r="AB6" s="46">
        <f>IF($T6="","",ROUND(($T6-30000)/1000,1)+(2.5-_xlfn.RANK.AVG($T6,($J6,$O6,$T6,$Y6)))*20+IF(_xlfn.RANK.EQ($T6,($J6,$O6,$T6,$Y6))=1,20/((_xlfn.RANK.AVG($T6,($J6,$O6,$T6,$Y6))-1)*2+1),0))</f>
        <v>-49.5</v>
      </c>
      <c r="AC6" s="47">
        <f>IF($Y6="","",ROUND(($Y6-30000)/1000,1)+(2.5-_xlfn.RANK.AVG($Y6,($J6,$O6,$T6,$Y6)))*20+IF(_xlfn.RANK.EQ($Y6,($J6,$O6,$T6,$Y6))=1,20/((_xlfn.RANK.AVG($Y6,($J6,$O6,$T6,$Y6))-1)*2+1),0))</f>
        <v>-21.4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3</v>
      </c>
      <c r="CU6" s="27">
        <v>30</v>
      </c>
      <c r="CV6" s="36" t="s">
        <v>77</v>
      </c>
      <c r="CW6" s="37" t="s">
        <v>70</v>
      </c>
      <c r="CX6" s="37" t="s">
        <v>170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山本悠介</v>
      </c>
      <c r="F7" s="5"/>
      <c r="G7" s="6"/>
      <c r="H7" s="6"/>
      <c r="I7" s="6"/>
      <c r="J7" s="18">
        <f t="shared" si="2"/>
        <v>47100</v>
      </c>
      <c r="K7" s="5" t="s">
        <v>171</v>
      </c>
      <c r="L7" s="6">
        <v>5800</v>
      </c>
      <c r="M7" s="6"/>
      <c r="N7" s="6">
        <v>0</v>
      </c>
      <c r="O7" s="18">
        <f t="shared" si="8"/>
        <v>29600</v>
      </c>
      <c r="P7" s="5" t="s">
        <v>172</v>
      </c>
      <c r="Q7" s="6">
        <v>-5800</v>
      </c>
      <c r="R7" s="6"/>
      <c r="S7" s="6">
        <v>0</v>
      </c>
      <c r="T7" s="18">
        <f t="shared" si="3"/>
        <v>4700</v>
      </c>
      <c r="U7" s="5"/>
      <c r="V7" s="6"/>
      <c r="W7" s="6"/>
      <c r="X7" s="6"/>
      <c r="Y7" s="18">
        <f t="shared" si="4"/>
        <v>18600</v>
      </c>
      <c r="Z7" s="45">
        <f>IF($J7="","",ROUND(($J7-30000)/1000,1)+(2.5-_xlfn.RANK.AVG($J7,($J7,$O7,$T7,$Y7)))*20+IF(_xlfn.RANK.EQ($J7,($J7,$O7,$T7,$Y7))=1,20/((_xlfn.RANK.AVG($J7,($J7,$O7,$T7,$Y7))-1)*2+1),0))</f>
        <v>67.099999999999994</v>
      </c>
      <c r="AA7" s="46">
        <f>IF($O7="","",ROUND(($O7-30000)/1000,1)+(2.5-_xlfn.RANK.AVG($O7,($J7,$O7,$T7,$Y7)))*20+IF(_xlfn.RANK.EQ($O7,($J7,$O7,$T7,$Y7))=1,20/((_xlfn.RANK.AVG($O7,($J7,$O7,$T7,$Y7))-1)*2+1),0))</f>
        <v>9.6</v>
      </c>
      <c r="AB7" s="46">
        <f>IF($T7="","",ROUND(($T7-30000)/1000,1)+(2.5-_xlfn.RANK.AVG($T7,($J7,$O7,$T7,$Y7)))*20+IF(_xlfn.RANK.EQ($T7,($J7,$O7,$T7,$Y7))=1,20/((_xlfn.RANK.AVG($T7,($J7,$O7,$T7,$Y7))-1)*2+1),0))</f>
        <v>-55.3</v>
      </c>
      <c r="AC7" s="47">
        <f>IF($Y7="","",ROUND(($Y7-30000)/1000,1)+(2.5-_xlfn.RANK.AVG($Y7,($J7,$O7,$T7,$Y7)))*20+IF(_xlfn.RANK.EQ($Y7,($J7,$O7,$T7,$Y7))=1,20/((_xlfn.RANK.AVG($Y7,($J7,$O7,$T7,$Y7))-1)*2+1),0))</f>
        <v>-21.4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3</v>
      </c>
      <c r="BE7" s="27">
        <v>30</v>
      </c>
      <c r="BF7" s="36" t="s">
        <v>76</v>
      </c>
      <c r="BG7" s="37" t="s">
        <v>70</v>
      </c>
      <c r="BH7" s="37" t="s">
        <v>170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山本悠介</v>
      </c>
      <c r="F8" s="5"/>
      <c r="G8" s="6"/>
      <c r="H8" s="6"/>
      <c r="I8" s="6"/>
      <c r="J8" s="18">
        <f t="shared" si="2"/>
        <v>47100</v>
      </c>
      <c r="K8" s="5"/>
      <c r="L8" s="6"/>
      <c r="M8" s="6"/>
      <c r="N8" s="6"/>
      <c r="O8" s="18">
        <f t="shared" si="8"/>
        <v>29600</v>
      </c>
      <c r="P8" s="5" t="s">
        <v>171</v>
      </c>
      <c r="Q8" s="6">
        <v>6400</v>
      </c>
      <c r="R8" s="6"/>
      <c r="S8" s="6">
        <v>300</v>
      </c>
      <c r="T8" s="18">
        <f t="shared" si="3"/>
        <v>11400</v>
      </c>
      <c r="U8" s="5" t="s">
        <v>172</v>
      </c>
      <c r="V8" s="6">
        <v>-6400</v>
      </c>
      <c r="W8" s="6"/>
      <c r="X8" s="6">
        <v>-300</v>
      </c>
      <c r="Y8" s="18">
        <f t="shared" si="4"/>
        <v>11900</v>
      </c>
      <c r="Z8" s="45">
        <f>IF($J8="","",ROUND(($J8-30000)/1000,1)+(2.5-_xlfn.RANK.AVG($J8,($J8,$O8,$T8,$Y8)))*20+IF(_xlfn.RANK.EQ($J8,($J8,$O8,$T8,$Y8))=1,20/((_xlfn.RANK.AVG($J8,($J8,$O8,$T8,$Y8))-1)*2+1),0))</f>
        <v>67.099999999999994</v>
      </c>
      <c r="AA8" s="46">
        <f>IF($O8="","",ROUND(($O8-30000)/1000,1)+(2.5-_xlfn.RANK.AVG($O8,($J8,$O8,$T8,$Y8)))*20+IF(_xlfn.RANK.EQ($O8,($J8,$O8,$T8,$Y8))=1,20/((_xlfn.RANK.AVG($O8,($J8,$O8,$T8,$Y8))-1)*2+1),0))</f>
        <v>9.6</v>
      </c>
      <c r="AB8" s="46">
        <f>IF($T8="","",ROUND(($T8-30000)/1000,1)+(2.5-_xlfn.RANK.AVG($T8,($J8,$O8,$T8,$Y8)))*20+IF(_xlfn.RANK.EQ($T8,($J8,$O8,$T8,$Y8))=1,20/((_xlfn.RANK.AVG($T8,($J8,$O8,$T8,$Y8))-1)*2+1),0))</f>
        <v>-48.6</v>
      </c>
      <c r="AC8" s="47">
        <f>IF($Y8="","",ROUND(($Y8-30000)/1000,1)+(2.5-_xlfn.RANK.AVG($Y8,($J8,$O8,$T8,$Y8)))*20+IF(_xlfn.RANK.EQ($Y8,($J8,$O8,$T8,$Y8))=1,20/((_xlfn.RANK.AVG($Y8,($J8,$O8,$T8,$Y8))-1)*2+1),0))</f>
        <v>-28.1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4</v>
      </c>
      <c r="BZ8" s="27">
        <v>25</v>
      </c>
      <c r="CA8" s="36" t="s">
        <v>173</v>
      </c>
      <c r="CB8" s="37" t="s">
        <v>92</v>
      </c>
      <c r="CC8" s="37" t="s">
        <v>170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所附快和</v>
      </c>
      <c r="F9" s="5" t="s">
        <v>169</v>
      </c>
      <c r="G9" s="6">
        <v>-4000</v>
      </c>
      <c r="H9" s="6"/>
      <c r="I9" s="6">
        <v>0</v>
      </c>
      <c r="J9" s="18">
        <f t="shared" si="2"/>
        <v>43100</v>
      </c>
      <c r="K9" s="5" t="s">
        <v>169</v>
      </c>
      <c r="L9" s="6">
        <v>-4000</v>
      </c>
      <c r="M9" s="6"/>
      <c r="N9" s="6">
        <v>0</v>
      </c>
      <c r="O9" s="18">
        <f t="shared" si="8"/>
        <v>25600</v>
      </c>
      <c r="P9" s="5" t="s">
        <v>168</v>
      </c>
      <c r="Q9" s="6">
        <v>12000</v>
      </c>
      <c r="R9" s="6"/>
      <c r="S9" s="6">
        <v>0</v>
      </c>
      <c r="T9" s="18">
        <f t="shared" si="3"/>
        <v>23400</v>
      </c>
      <c r="U9" s="5" t="s">
        <v>169</v>
      </c>
      <c r="V9" s="6">
        <v>-4000</v>
      </c>
      <c r="W9" s="6"/>
      <c r="X9" s="6">
        <v>0</v>
      </c>
      <c r="Y9" s="18">
        <f t="shared" si="4"/>
        <v>7900</v>
      </c>
      <c r="Z9" s="45">
        <f>IF($J9="","",ROUND(($J9-30000)/1000,1)+(2.5-_xlfn.RANK.AVG($J9,($J9,$O9,$T9,$Y9)))*20+IF(_xlfn.RANK.EQ($J9,($J9,$O9,$T9,$Y9))=1,20/((_xlfn.RANK.AVG($J9,($J9,$O9,$T9,$Y9))-1)*2+1),0))</f>
        <v>63.1</v>
      </c>
      <c r="AA9" s="46">
        <f>IF($O9="","",ROUND(($O9-30000)/1000,1)+(2.5-_xlfn.RANK.AVG($O9,($J9,$O9,$T9,$Y9)))*20+IF(_xlfn.RANK.EQ($O9,($J9,$O9,$T9,$Y9))=1,20/((_xlfn.RANK.AVG($O9,($J9,$O9,$T9,$Y9))-1)*2+1),0))</f>
        <v>5.6</v>
      </c>
      <c r="AB9" s="46">
        <f>IF($T9="","",ROUND(($T9-30000)/1000,1)+(2.5-_xlfn.RANK.AVG($T9,($J9,$O9,$T9,$Y9)))*20+IF(_xlfn.RANK.EQ($T9,($J9,$O9,$T9,$Y9))=1,20/((_xlfn.RANK.AVG($T9,($J9,$O9,$T9,$Y9))-1)*2+1),0))</f>
        <v>-16.600000000000001</v>
      </c>
      <c r="AC9" s="47">
        <f>IF($Y9="","",ROUND(($Y9-30000)/1000,1)+(2.5-_xlfn.RANK.AVG($Y9,($J9,$O9,$T9,$Y9)))*20+IF(_xlfn.RANK.EQ($Y9,($J9,$O9,$T9,$Y9))=1,20/((_xlfn.RANK.AVG($Y9,($J9,$O9,$T9,$Y9))-1)*2+1),0))</f>
        <v>-52.1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5</v>
      </c>
      <c r="BZ9" s="27" t="s">
        <v>174</v>
      </c>
      <c r="CA9" s="36" t="s">
        <v>173</v>
      </c>
      <c r="CB9" s="37" t="s">
        <v>73</v>
      </c>
      <c r="CC9" s="37" t="s">
        <v>170</v>
      </c>
      <c r="CD9" s="37" t="s">
        <v>170</v>
      </c>
      <c r="CE9" s="37" t="s">
        <v>70</v>
      </c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所附快和</v>
      </c>
      <c r="F10" s="5" t="s">
        <v>167</v>
      </c>
      <c r="G10" s="6">
        <v>-1000</v>
      </c>
      <c r="H10" s="6">
        <v>1000</v>
      </c>
      <c r="I10" s="6"/>
      <c r="J10" s="18">
        <f t="shared" si="2"/>
        <v>43100</v>
      </c>
      <c r="K10" s="5" t="s">
        <v>167</v>
      </c>
      <c r="L10" s="6">
        <v>-1000</v>
      </c>
      <c r="M10" s="6"/>
      <c r="N10" s="6"/>
      <c r="O10" s="18">
        <f t="shared" si="8"/>
        <v>24600</v>
      </c>
      <c r="P10" s="5" t="s">
        <v>167</v>
      </c>
      <c r="Q10" s="6">
        <v>-1000</v>
      </c>
      <c r="R10" s="6"/>
      <c r="S10" s="6"/>
      <c r="T10" s="18">
        <f t="shared" si="3"/>
        <v>22400</v>
      </c>
      <c r="U10" s="5" t="s">
        <v>167</v>
      </c>
      <c r="V10" s="6">
        <v>3000</v>
      </c>
      <c r="W10" s="6">
        <v>-1000</v>
      </c>
      <c r="X10" s="6"/>
      <c r="Y10" s="18">
        <f t="shared" si="4"/>
        <v>9900</v>
      </c>
      <c r="Z10" s="45">
        <f>IF($J10="","",ROUND(($J10-30000)/1000,1)+(2.5-_xlfn.RANK.AVG($J10,($J10,$O10,$T10,$Y10)))*20+IF(_xlfn.RANK.EQ($J10,($J10,$O10,$T10,$Y10))=1,20/((_xlfn.RANK.AVG($J10,($J10,$O10,$T10,$Y10))-1)*2+1),0))</f>
        <v>63.1</v>
      </c>
      <c r="AA10" s="46">
        <f>IF($O10="","",ROUND(($O10-30000)/1000,1)+(2.5-_xlfn.RANK.AVG($O10,($J10,$O10,$T10,$Y10)))*20+IF(_xlfn.RANK.EQ($O10,($J10,$O10,$T10,$Y10))=1,20/((_xlfn.RANK.AVG($O10,($J10,$O10,$T10,$Y10))-1)*2+1),0))</f>
        <v>4.5999999999999996</v>
      </c>
      <c r="AB10" s="46">
        <f>IF($T10="","",ROUND(($T10-30000)/1000,1)+(2.5-_xlfn.RANK.AVG($T10,($J10,$O10,$T10,$Y10)))*20+IF(_xlfn.RANK.EQ($T10,($J10,$O10,$T10,$Y10))=1,20/((_xlfn.RANK.AVG($T10,($J10,$O10,$T10,$Y10))-1)*2+1),0))</f>
        <v>-17.600000000000001</v>
      </c>
      <c r="AC10" s="47">
        <f>IF($Y10="","",ROUND(($Y10-30000)/1000,1)+(2.5-_xlfn.RANK.AVG($Y10,($J10,$O10,$T10,$Y10)))*20+IF(_xlfn.RANK.EQ($Y10,($J10,$O10,$T10,$Y10))=1,20/((_xlfn.RANK.AVG($Y10,($J10,$O10,$T10,$Y10))-1)*2+1),0))</f>
        <v>-50.1</v>
      </c>
      <c r="AE10" s="5" t="s">
        <v>166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166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166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165</v>
      </c>
      <c r="CQ10" s="30"/>
      <c r="CR10" s="23">
        <v>1</v>
      </c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7055F1A-2A07-4172-AA57-11382A286F3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C921984B-7A67-4E47-AEBF-A1206A318628}">
      <formula1>"ロン,ツモ,放銃,ツモ支払,流局,チョンボ"</formula1>
    </dataValidation>
    <dataValidation type="list" allowBlank="1" showInputMessage="1" showErrorMessage="1" sqref="E4:E30" xr:uid="{2EA5C780-F274-4197-B503-F7D54B7A8936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2024-05-30T09:32:40Z</dcterms:modified>
</cp:coreProperties>
</file>