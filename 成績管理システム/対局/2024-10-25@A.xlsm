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山本悠介\Desktop\麻雀\mahjong-club\成績管理システム\対局\"/>
    </mc:Choice>
  </mc:AlternateContent>
  <xr:revisionPtr revIDLastSave="0" documentId="13_ncr:1_{EA090BCF-2EFC-4D41-899C-D1B4169790D7}" xr6:coauthVersionLast="47" xr6:coauthVersionMax="47" xr10:uidLastSave="{00000000-0000-0000-0000-000000000000}"/>
  <bookViews>
    <workbookView xWindow="-110" yWindow="-110" windowWidth="19420" windowHeight="10300" activeTab="1" xr2:uid="{4CDB34E1-560F-4998-ABAB-D6F7F2862621}"/>
  </bookViews>
  <sheets>
    <sheet name="Sheet1" sheetId="27" r:id="rId1"/>
    <sheet name="Sheet2" sheetId="28" r:id="rId2"/>
    <sheet name="役一覧" sheetId="15" state="hidden" r:id="rId3"/>
    <sheet name="点数表(親ロン)" sheetId="20" state="hidden" r:id="rId4"/>
    <sheet name="点数表(親ツモ)" sheetId="21" state="hidden" r:id="rId5"/>
    <sheet name="点数表(子→親)" sheetId="22" state="hidden" r:id="rId6"/>
    <sheet name="点数表(子ロン)" sheetId="23" state="hidden" r:id="rId7"/>
    <sheet name="点数表(子ツモ)" sheetId="24" state="hidden" r:id="rId8"/>
    <sheet name="点数表(子→子)" sheetId="25" state="hidden" r:id="rId9"/>
    <sheet name="点数表(親→子)" sheetId="2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0" i="28" l="1"/>
  <c r="E9" i="28"/>
  <c r="D9" i="28" s="1"/>
  <c r="E8" i="28"/>
  <c r="E7" i="28"/>
  <c r="C7" i="28" s="1"/>
  <c r="E6" i="28"/>
  <c r="E5" i="28"/>
  <c r="D5" i="28" s="1"/>
  <c r="Y30" i="28"/>
  <c r="AC30" i="28" s="1"/>
  <c r="T30" i="28"/>
  <c r="AB30" i="28" s="1"/>
  <c r="O30" i="28"/>
  <c r="AA30" i="28" s="1"/>
  <c r="J30" i="28"/>
  <c r="Z30" i="28" s="1"/>
  <c r="D30" i="28"/>
  <c r="C30" i="28"/>
  <c r="B30" i="28"/>
  <c r="A30" i="28"/>
  <c r="Y29" i="28"/>
  <c r="AC29" i="28" s="1"/>
  <c r="T29" i="28"/>
  <c r="AB29" i="28" s="1"/>
  <c r="O29" i="28"/>
  <c r="AA29" i="28" s="1"/>
  <c r="J29" i="28"/>
  <c r="Z29" i="28" s="1"/>
  <c r="D29" i="28"/>
  <c r="C29" i="28"/>
  <c r="B29" i="28"/>
  <c r="A29" i="28"/>
  <c r="Y28" i="28"/>
  <c r="AC28" i="28" s="1"/>
  <c r="T28" i="28"/>
  <c r="AB28" i="28" s="1"/>
  <c r="O28" i="28"/>
  <c r="AA28" i="28" s="1"/>
  <c r="J28" i="28"/>
  <c r="Z28" i="28" s="1"/>
  <c r="D28" i="28"/>
  <c r="C28" i="28"/>
  <c r="B28" i="28"/>
  <c r="A28" i="28"/>
  <c r="Y27" i="28"/>
  <c r="AC27" i="28" s="1"/>
  <c r="T27" i="28"/>
  <c r="AB27" i="28" s="1"/>
  <c r="O27" i="28"/>
  <c r="AA27" i="28" s="1"/>
  <c r="J27" i="28"/>
  <c r="Z27" i="28" s="1"/>
  <c r="D27" i="28"/>
  <c r="C27" i="28"/>
  <c r="B27" i="28"/>
  <c r="A27" i="28"/>
  <c r="Y26" i="28"/>
  <c r="AC26" i="28" s="1"/>
  <c r="T26" i="28"/>
  <c r="AB26" i="28" s="1"/>
  <c r="O26" i="28"/>
  <c r="AA26" i="28" s="1"/>
  <c r="J26" i="28"/>
  <c r="Z26" i="28" s="1"/>
  <c r="D26" i="28"/>
  <c r="C26" i="28"/>
  <c r="B26" i="28"/>
  <c r="A26" i="28"/>
  <c r="Y25" i="28"/>
  <c r="AC25" i="28" s="1"/>
  <c r="T25" i="28"/>
  <c r="AB25" i="28" s="1"/>
  <c r="O25" i="28"/>
  <c r="AA25" i="28" s="1"/>
  <c r="J25" i="28"/>
  <c r="Z25" i="28" s="1"/>
  <c r="D25" i="28"/>
  <c r="C25" i="28"/>
  <c r="B25" i="28"/>
  <c r="A25" i="28"/>
  <c r="Y24" i="28"/>
  <c r="AC24" i="28" s="1"/>
  <c r="T24" i="28"/>
  <c r="AB24" i="28" s="1"/>
  <c r="O24" i="28"/>
  <c r="AA24" i="28" s="1"/>
  <c r="J24" i="28"/>
  <c r="Z24" i="28" s="1"/>
  <c r="D24" i="28"/>
  <c r="C24" i="28"/>
  <c r="B24" i="28"/>
  <c r="A24" i="28"/>
  <c r="Y23" i="28"/>
  <c r="AC23" i="28" s="1"/>
  <c r="T23" i="28"/>
  <c r="AB23" i="28" s="1"/>
  <c r="O23" i="28"/>
  <c r="AA23" i="28" s="1"/>
  <c r="J23" i="28"/>
  <c r="Z23" i="28" s="1"/>
  <c r="D23" i="28"/>
  <c r="C23" i="28"/>
  <c r="B23" i="28"/>
  <c r="A23" i="28"/>
  <c r="Y22" i="28"/>
  <c r="AC22" i="28" s="1"/>
  <c r="T22" i="28"/>
  <c r="AB22" i="28" s="1"/>
  <c r="O22" i="28"/>
  <c r="AA22" i="28" s="1"/>
  <c r="J22" i="28"/>
  <c r="Z22" i="28" s="1"/>
  <c r="D22" i="28"/>
  <c r="C22" i="28"/>
  <c r="B22" i="28"/>
  <c r="A22" i="28"/>
  <c r="Y21" i="28"/>
  <c r="AC21" i="28" s="1"/>
  <c r="T21" i="28"/>
  <c r="AB21" i="28" s="1"/>
  <c r="O21" i="28"/>
  <c r="AA21" i="28" s="1"/>
  <c r="J21" i="28"/>
  <c r="Z21" i="28" s="1"/>
  <c r="D21" i="28"/>
  <c r="C21" i="28"/>
  <c r="B21" i="28"/>
  <c r="A21" i="28"/>
  <c r="Y20" i="28"/>
  <c r="AC20" i="28" s="1"/>
  <c r="T20" i="28"/>
  <c r="AB20" i="28" s="1"/>
  <c r="O20" i="28"/>
  <c r="AA20" i="28" s="1"/>
  <c r="J20" i="28"/>
  <c r="Z20" i="28" s="1"/>
  <c r="D20" i="28"/>
  <c r="C20" i="28"/>
  <c r="B20" i="28"/>
  <c r="A20" i="28"/>
  <c r="Y19" i="28"/>
  <c r="AC19" i="28" s="1"/>
  <c r="T19" i="28"/>
  <c r="AB19" i="28" s="1"/>
  <c r="O19" i="28"/>
  <c r="AA19" i="28" s="1"/>
  <c r="J19" i="28"/>
  <c r="Z19" i="28" s="1"/>
  <c r="D19" i="28"/>
  <c r="C19" i="28"/>
  <c r="B19" i="28"/>
  <c r="A19" i="28"/>
  <c r="Y18" i="28"/>
  <c r="AC18" i="28" s="1"/>
  <c r="T18" i="28"/>
  <c r="AB18" i="28" s="1"/>
  <c r="O18" i="28"/>
  <c r="AA18" i="28" s="1"/>
  <c r="J18" i="28"/>
  <c r="Z18" i="28" s="1"/>
  <c r="D18" i="28"/>
  <c r="C18" i="28"/>
  <c r="B18" i="28"/>
  <c r="A18" i="28"/>
  <c r="Y17" i="28"/>
  <c r="AC17" i="28" s="1"/>
  <c r="T17" i="28"/>
  <c r="AB17" i="28" s="1"/>
  <c r="O17" i="28"/>
  <c r="AA17" i="28" s="1"/>
  <c r="J17" i="28"/>
  <c r="Z17" i="28" s="1"/>
  <c r="D17" i="28"/>
  <c r="C17" i="28"/>
  <c r="B17" i="28"/>
  <c r="A17" i="28"/>
  <c r="Y16" i="28"/>
  <c r="AC16" i="28" s="1"/>
  <c r="T16" i="28"/>
  <c r="AB16" i="28" s="1"/>
  <c r="O16" i="28"/>
  <c r="AA16" i="28" s="1"/>
  <c r="J16" i="28"/>
  <c r="Z16" i="28" s="1"/>
  <c r="D16" i="28"/>
  <c r="C16" i="28"/>
  <c r="B16" i="28"/>
  <c r="A16" i="28"/>
  <c r="Y15" i="28"/>
  <c r="AC15" i="28" s="1"/>
  <c r="T15" i="28"/>
  <c r="AB15" i="28" s="1"/>
  <c r="O15" i="28"/>
  <c r="AA15" i="28" s="1"/>
  <c r="J15" i="28"/>
  <c r="Z15" i="28" s="1"/>
  <c r="D15" i="28"/>
  <c r="C15" i="28"/>
  <c r="B15" i="28"/>
  <c r="A15" i="28"/>
  <c r="Y14" i="28"/>
  <c r="AC14" i="28" s="1"/>
  <c r="T14" i="28"/>
  <c r="AB14" i="28" s="1"/>
  <c r="O14" i="28"/>
  <c r="AA14" i="28" s="1"/>
  <c r="J14" i="28"/>
  <c r="Z14" i="28" s="1"/>
  <c r="D14" i="28"/>
  <c r="C14" i="28"/>
  <c r="B14" i="28"/>
  <c r="A14" i="28"/>
  <c r="Y13" i="28"/>
  <c r="AC13" i="28" s="1"/>
  <c r="T13" i="28"/>
  <c r="AB13" i="28" s="1"/>
  <c r="O13" i="28"/>
  <c r="AA13" i="28" s="1"/>
  <c r="J13" i="28"/>
  <c r="Z13" i="28" s="1"/>
  <c r="D13" i="28"/>
  <c r="C13" i="28"/>
  <c r="B13" i="28"/>
  <c r="A13" i="28"/>
  <c r="Y12" i="28"/>
  <c r="AC12" i="28" s="1"/>
  <c r="T12" i="28"/>
  <c r="AB12" i="28" s="1"/>
  <c r="O12" i="28"/>
  <c r="AA12" i="28" s="1"/>
  <c r="J12" i="28"/>
  <c r="Z12" i="28" s="1"/>
  <c r="D12" i="28"/>
  <c r="C12" i="28"/>
  <c r="B12" i="28"/>
  <c r="A12" i="28"/>
  <c r="Y11" i="28"/>
  <c r="AC11" i="28" s="1"/>
  <c r="T11" i="28"/>
  <c r="AB11" i="28" s="1"/>
  <c r="O11" i="28"/>
  <c r="AA11" i="28" s="1"/>
  <c r="J11" i="28"/>
  <c r="Z11" i="28" s="1"/>
  <c r="Y10" i="28"/>
  <c r="T10" i="28"/>
  <c r="O10" i="28"/>
  <c r="J10" i="28"/>
  <c r="D10" i="28"/>
  <c r="C10" i="28"/>
  <c r="B10" i="28"/>
  <c r="A10" i="28"/>
  <c r="D8" i="28"/>
  <c r="D7" i="28"/>
  <c r="T6" i="28"/>
  <c r="T5" i="28"/>
  <c r="O5" i="28"/>
  <c r="O6" i="28" s="1"/>
  <c r="J5" i="28"/>
  <c r="J6" i="28" s="1"/>
  <c r="Y4" i="28"/>
  <c r="Y5" i="28" s="1"/>
  <c r="T4" i="28"/>
  <c r="O4" i="28"/>
  <c r="J4" i="28"/>
  <c r="Z4" i="28" s="1"/>
  <c r="E4" i="28"/>
  <c r="AC3" i="28"/>
  <c r="AB3" i="28"/>
  <c r="AA3" i="28"/>
  <c r="Z3" i="28"/>
  <c r="AC2" i="28"/>
  <c r="AB2" i="28"/>
  <c r="AA2" i="28"/>
  <c r="Z2" i="28"/>
  <c r="CP1" i="28"/>
  <c r="BU1" i="28"/>
  <c r="AZ1" i="28"/>
  <c r="AY1" i="28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E9" i="27"/>
  <c r="E8" i="27"/>
  <c r="E7" i="27"/>
  <c r="E6" i="27"/>
  <c r="E5" i="27"/>
  <c r="B11" i="28" l="1"/>
  <c r="A11" i="28" s="1"/>
  <c r="C11" i="28"/>
  <c r="D11" i="28"/>
  <c r="AA10" i="28"/>
  <c r="AC10" i="28"/>
  <c r="AB10" i="28"/>
  <c r="Z10" i="28"/>
  <c r="C9" i="28"/>
  <c r="D6" i="28"/>
  <c r="AB5" i="28"/>
  <c r="AB4" i="28"/>
  <c r="AA4" i="28"/>
  <c r="AC4" i="28"/>
  <c r="AC5" i="28"/>
  <c r="Y6" i="28"/>
  <c r="O7" i="28"/>
  <c r="J7" i="28"/>
  <c r="B5" i="28"/>
  <c r="Z5" i="28"/>
  <c r="T7" i="28"/>
  <c r="C8" i="28"/>
  <c r="C5" i="28"/>
  <c r="AA5" i="28"/>
  <c r="E4" i="27"/>
  <c r="C6" i="28" l="1"/>
  <c r="Y7" i="28"/>
  <c r="AC6" i="28"/>
  <c r="J8" i="28"/>
  <c r="O8" i="28"/>
  <c r="T8" i="28"/>
  <c r="AA6" i="28"/>
  <c r="B6" i="28"/>
  <c r="A5" i="28"/>
  <c r="Z6" i="28"/>
  <c r="AB6" i="28"/>
  <c r="O5" i="27"/>
  <c r="AC3" i="27"/>
  <c r="AA3" i="27"/>
  <c r="AB3" i="27"/>
  <c r="Z3" i="27"/>
  <c r="Z7" i="28" l="1"/>
  <c r="B7" i="28"/>
  <c r="O9" i="28"/>
  <c r="AC7" i="28"/>
  <c r="Y8" i="28"/>
  <c r="AB7" i="28"/>
  <c r="T9" i="28"/>
  <c r="AB8" i="28"/>
  <c r="AA7" i="28"/>
  <c r="A6" i="28"/>
  <c r="J9" i="28"/>
  <c r="CP1" i="27"/>
  <c r="AC2" i="27"/>
  <c r="BU1" i="27"/>
  <c r="AB2" i="27"/>
  <c r="AZ1" i="27"/>
  <c r="AA2" i="27"/>
  <c r="AE1" i="27"/>
  <c r="Z2" i="27"/>
  <c r="B8" i="28" l="1"/>
  <c r="A7" i="28"/>
  <c r="Y9" i="28"/>
  <c r="AA9" i="28" s="1"/>
  <c r="AC8" i="28"/>
  <c r="Z8" i="28"/>
  <c r="AA8" i="28"/>
  <c r="AY1" i="27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Y30" i="27"/>
  <c r="AC30" i="27" s="1"/>
  <c r="T30" i="27"/>
  <c r="AB30" i="27" s="1"/>
  <c r="O30" i="27"/>
  <c r="AA30" i="27" s="1"/>
  <c r="J30" i="27"/>
  <c r="Z30" i="27" s="1"/>
  <c r="D30" i="27"/>
  <c r="C30" i="27"/>
  <c r="B30" i="27"/>
  <c r="A30" i="27"/>
  <c r="Y29" i="27"/>
  <c r="AC29" i="27" s="1"/>
  <c r="T29" i="27"/>
  <c r="AB29" i="27" s="1"/>
  <c r="O29" i="27"/>
  <c r="AA29" i="27" s="1"/>
  <c r="J29" i="27"/>
  <c r="Z29" i="27" s="1"/>
  <c r="D29" i="27"/>
  <c r="C29" i="27"/>
  <c r="B29" i="27"/>
  <c r="A29" i="27"/>
  <c r="Y28" i="27"/>
  <c r="AC28" i="27" s="1"/>
  <c r="T28" i="27"/>
  <c r="AB28" i="27" s="1"/>
  <c r="O28" i="27"/>
  <c r="AA28" i="27" s="1"/>
  <c r="J28" i="27"/>
  <c r="Z28" i="27" s="1"/>
  <c r="D28" i="27"/>
  <c r="C28" i="27"/>
  <c r="B28" i="27"/>
  <c r="A28" i="27"/>
  <c r="Y27" i="27"/>
  <c r="AC27" i="27" s="1"/>
  <c r="T27" i="27"/>
  <c r="AB27" i="27" s="1"/>
  <c r="O27" i="27"/>
  <c r="AA27" i="27" s="1"/>
  <c r="J27" i="27"/>
  <c r="Z27" i="27" s="1"/>
  <c r="D27" i="27"/>
  <c r="C27" i="27"/>
  <c r="B27" i="27"/>
  <c r="A27" i="27"/>
  <c r="Y26" i="27"/>
  <c r="AC26" i="27" s="1"/>
  <c r="T26" i="27"/>
  <c r="AB26" i="27" s="1"/>
  <c r="O26" i="27"/>
  <c r="AA26" i="27" s="1"/>
  <c r="J26" i="27"/>
  <c r="Z26" i="27" s="1"/>
  <c r="D26" i="27"/>
  <c r="C26" i="27"/>
  <c r="B26" i="27"/>
  <c r="A26" i="27"/>
  <c r="Y25" i="27"/>
  <c r="AC25" i="27" s="1"/>
  <c r="T25" i="27"/>
  <c r="AB25" i="27" s="1"/>
  <c r="O25" i="27"/>
  <c r="AA25" i="27" s="1"/>
  <c r="J25" i="27"/>
  <c r="Z25" i="27" s="1"/>
  <c r="D25" i="27"/>
  <c r="C25" i="27"/>
  <c r="B25" i="27"/>
  <c r="A25" i="27"/>
  <c r="Y24" i="27"/>
  <c r="AC24" i="27" s="1"/>
  <c r="T24" i="27"/>
  <c r="AB24" i="27" s="1"/>
  <c r="O24" i="27"/>
  <c r="AA24" i="27" s="1"/>
  <c r="J24" i="27"/>
  <c r="Z24" i="27" s="1"/>
  <c r="D24" i="27"/>
  <c r="C24" i="27"/>
  <c r="B24" i="27"/>
  <c r="A24" i="27"/>
  <c r="Y23" i="27"/>
  <c r="AC23" i="27" s="1"/>
  <c r="T23" i="27"/>
  <c r="AB23" i="27" s="1"/>
  <c r="O23" i="27"/>
  <c r="AA23" i="27" s="1"/>
  <c r="J23" i="27"/>
  <c r="Z23" i="27" s="1"/>
  <c r="D23" i="27"/>
  <c r="C23" i="27"/>
  <c r="B23" i="27"/>
  <c r="A23" i="27"/>
  <c r="Y22" i="27"/>
  <c r="AC22" i="27" s="1"/>
  <c r="T22" i="27"/>
  <c r="AB22" i="27" s="1"/>
  <c r="O22" i="27"/>
  <c r="AA22" i="27" s="1"/>
  <c r="J22" i="27"/>
  <c r="Z22" i="27" s="1"/>
  <c r="D22" i="27"/>
  <c r="C22" i="27"/>
  <c r="B22" i="27"/>
  <c r="A22" i="27"/>
  <c r="Y21" i="27"/>
  <c r="AC21" i="27" s="1"/>
  <c r="T21" i="27"/>
  <c r="AB21" i="27" s="1"/>
  <c r="O21" i="27"/>
  <c r="AA21" i="27" s="1"/>
  <c r="J21" i="27"/>
  <c r="Z21" i="27" s="1"/>
  <c r="D21" i="27"/>
  <c r="C21" i="27"/>
  <c r="B21" i="27"/>
  <c r="A21" i="27"/>
  <c r="Y20" i="27"/>
  <c r="AC20" i="27" s="1"/>
  <c r="T20" i="27"/>
  <c r="AB20" i="27" s="1"/>
  <c r="O20" i="27"/>
  <c r="AA20" i="27" s="1"/>
  <c r="J20" i="27"/>
  <c r="Z20" i="27" s="1"/>
  <c r="D20" i="27"/>
  <c r="C20" i="27"/>
  <c r="B20" i="27"/>
  <c r="A20" i="27"/>
  <c r="Y19" i="27"/>
  <c r="AC19" i="27" s="1"/>
  <c r="T19" i="27"/>
  <c r="AB19" i="27" s="1"/>
  <c r="O19" i="27"/>
  <c r="AA19" i="27" s="1"/>
  <c r="J19" i="27"/>
  <c r="Z19" i="27" s="1"/>
  <c r="D19" i="27"/>
  <c r="C19" i="27"/>
  <c r="B19" i="27"/>
  <c r="A19" i="27"/>
  <c r="Y18" i="27"/>
  <c r="AC18" i="27" s="1"/>
  <c r="T18" i="27"/>
  <c r="AB18" i="27" s="1"/>
  <c r="O18" i="27"/>
  <c r="AA18" i="27" s="1"/>
  <c r="J18" i="27"/>
  <c r="Z18" i="27" s="1"/>
  <c r="D18" i="27"/>
  <c r="C18" i="27"/>
  <c r="B18" i="27"/>
  <c r="A18" i="27"/>
  <c r="Y17" i="27"/>
  <c r="AC17" i="27" s="1"/>
  <c r="T17" i="27"/>
  <c r="AB17" i="27" s="1"/>
  <c r="O17" i="27"/>
  <c r="AA17" i="27" s="1"/>
  <c r="J17" i="27"/>
  <c r="Z17" i="27" s="1"/>
  <c r="D17" i="27"/>
  <c r="C17" i="27"/>
  <c r="B17" i="27"/>
  <c r="A17" i="27"/>
  <c r="Y16" i="27"/>
  <c r="AC16" i="27" s="1"/>
  <c r="T16" i="27"/>
  <c r="AB16" i="27" s="1"/>
  <c r="O16" i="27"/>
  <c r="AA16" i="27" s="1"/>
  <c r="J16" i="27"/>
  <c r="Z16" i="27" s="1"/>
  <c r="D16" i="27"/>
  <c r="C16" i="27"/>
  <c r="B16" i="27"/>
  <c r="A16" i="27"/>
  <c r="Y15" i="27"/>
  <c r="AC15" i="27" s="1"/>
  <c r="T15" i="27"/>
  <c r="AB15" i="27" s="1"/>
  <c r="O15" i="27"/>
  <c r="AA15" i="27" s="1"/>
  <c r="J15" i="27"/>
  <c r="Z15" i="27" s="1"/>
  <c r="D15" i="27"/>
  <c r="C15" i="27"/>
  <c r="B15" i="27"/>
  <c r="A15" i="27" s="1"/>
  <c r="Y14" i="27"/>
  <c r="T14" i="27"/>
  <c r="O14" i="27"/>
  <c r="J14" i="27"/>
  <c r="D14" i="27"/>
  <c r="C14" i="27"/>
  <c r="B14" i="27"/>
  <c r="A14" i="27" s="1"/>
  <c r="Y13" i="27"/>
  <c r="T13" i="27"/>
  <c r="O13" i="27"/>
  <c r="J13" i="27"/>
  <c r="D13" i="27"/>
  <c r="C13" i="27"/>
  <c r="B13" i="27"/>
  <c r="A13" i="27" s="1"/>
  <c r="Y12" i="27"/>
  <c r="T12" i="27"/>
  <c r="O12" i="27"/>
  <c r="J12" i="27"/>
  <c r="D12" i="27"/>
  <c r="C12" i="27"/>
  <c r="B12" i="27"/>
  <c r="A12" i="27" s="1"/>
  <c r="Y11" i="27"/>
  <c r="T11" i="27"/>
  <c r="O11" i="27"/>
  <c r="J11" i="27"/>
  <c r="D11" i="27"/>
  <c r="C11" i="27"/>
  <c r="B11" i="27"/>
  <c r="A11" i="27" s="1"/>
  <c r="Y10" i="27"/>
  <c r="T10" i="27"/>
  <c r="O10" i="27"/>
  <c r="J10" i="27"/>
  <c r="D10" i="27"/>
  <c r="C10" i="27"/>
  <c r="B10" i="27"/>
  <c r="A10" i="27" s="1"/>
  <c r="Y9" i="27"/>
  <c r="T9" i="27"/>
  <c r="O9" i="27"/>
  <c r="J9" i="27"/>
  <c r="D9" i="27"/>
  <c r="C9" i="27"/>
  <c r="B9" i="27"/>
  <c r="A9" i="27" s="1"/>
  <c r="J8" i="27"/>
  <c r="D8" i="27"/>
  <c r="C8" i="27"/>
  <c r="B8" i="27"/>
  <c r="A8" i="27" s="1"/>
  <c r="J7" i="27"/>
  <c r="D7" i="27"/>
  <c r="C7" i="27"/>
  <c r="B7" i="27"/>
  <c r="A7" i="27" s="1"/>
  <c r="J6" i="27"/>
  <c r="D6" i="27"/>
  <c r="C6" i="27"/>
  <c r="B6" i="27"/>
  <c r="A6" i="27" s="1"/>
  <c r="J5" i="27"/>
  <c r="D5" i="27"/>
  <c r="C5" i="27"/>
  <c r="B5" i="27"/>
  <c r="A5" i="27" s="1"/>
  <c r="Y4" i="27"/>
  <c r="T4" i="27"/>
  <c r="O4" i="27"/>
  <c r="J4" i="27"/>
  <c r="Z9" i="28" l="1"/>
  <c r="AB9" i="28"/>
  <c r="AC9" i="28"/>
  <c r="B9" i="28"/>
  <c r="A9" i="28" s="1"/>
  <c r="A8" i="28"/>
  <c r="Z14" i="27"/>
  <c r="AA14" i="27"/>
  <c r="AC14" i="27"/>
  <c r="AB14" i="27"/>
  <c r="AC13" i="27"/>
  <c r="Z13" i="27"/>
  <c r="AA13" i="27"/>
  <c r="AB13" i="27"/>
  <c r="AA12" i="27"/>
  <c r="AB12" i="27"/>
  <c r="Z12" i="27"/>
  <c r="AC12" i="27"/>
  <c r="AA11" i="27"/>
  <c r="AB11" i="27"/>
  <c r="AC11" i="27"/>
  <c r="Z11" i="27"/>
  <c r="AA10" i="27"/>
  <c r="Z10" i="27"/>
  <c r="AB10" i="27"/>
  <c r="AC10" i="27"/>
  <c r="AA9" i="27"/>
  <c r="AB9" i="27"/>
  <c r="Z9" i="27"/>
  <c r="AC9" i="27"/>
  <c r="AB4" i="27"/>
  <c r="Y5" i="27"/>
  <c r="AC4" i="27"/>
  <c r="O6" i="27"/>
  <c r="AA4" i="27"/>
  <c r="Z4" i="27"/>
  <c r="Y6" i="27"/>
  <c r="O7" i="27"/>
  <c r="T5" i="27"/>
  <c r="Z5" i="27" l="1"/>
  <c r="AB5" i="27"/>
  <c r="AA5" i="27"/>
  <c r="AC5" i="27"/>
  <c r="Y7" i="27"/>
  <c r="O8" i="27"/>
  <c r="T6" i="27"/>
  <c r="AC6" i="27" l="1"/>
  <c r="AB6" i="27"/>
  <c r="Z6" i="27"/>
  <c r="AA6" i="27"/>
  <c r="Y8" i="27"/>
  <c r="T7" i="27"/>
  <c r="AB7" i="27" l="1"/>
  <c r="Z7" i="27"/>
  <c r="AA7" i="27"/>
  <c r="AC7" i="27"/>
  <c r="T8" i="27"/>
  <c r="AC8" i="27" l="1"/>
  <c r="AB8" i="27"/>
  <c r="Z8" i="27"/>
  <c r="AA8" i="27"/>
</calcChain>
</file>

<file path=xl/sharedStrings.xml><?xml version="1.0" encoding="utf-8"?>
<sst xmlns="http://schemas.openxmlformats.org/spreadsheetml/2006/main" count="667" uniqueCount="176">
  <si>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</si>
  <si>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</si>
  <si>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</si>
  <si>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</si>
  <si>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</si>
  <si>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</si>
  <si>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</si>
  <si>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</si>
  <si>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</si>
  <si>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</si>
  <si>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</si>
  <si>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</si>
  <si>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</si>
  <si>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</si>
  <si>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</si>
  <si>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</si>
  <si>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</si>
  <si>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</si>
  <si>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</si>
  <si>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</si>
  <si>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</si>
  <si>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</si>
  <si>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</si>
  <si>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</si>
  <si>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</si>
  <si>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</si>
  <si>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</si>
  <si>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</si>
  <si>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</si>
  <si>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</si>
  <si>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</si>
  <si>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</si>
  <si>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</si>
  <si>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</si>
  <si>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</si>
  <si>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</si>
  <si>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</si>
  <si>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</si>
  <si>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</si>
  <si>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</si>
  <si>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</si>
  <si>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</si>
  <si>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</si>
  <si>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</si>
  <si>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</si>
  <si>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</si>
  <si>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</si>
  <si>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</si>
  <si>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</si>
  <si>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</si>
  <si>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</si>
  <si>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</si>
  <si>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</si>
  <si>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</si>
  <si>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</si>
  <si>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</si>
  <si>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</si>
  <si>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</si>
  <si>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</si>
  <si>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</si>
  <si>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</si>
  <si>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</si>
  <si>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</si>
  <si>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</si>
  <si>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</si>
  <si>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</si>
  <si>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</si>
  <si>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</si>
  <si>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</si>
  <si>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</si>
  <si>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</si>
  <si>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</si>
  <si>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</si>
  <si>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</si>
  <si>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</si>
  <si>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</si>
  <si>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</si>
  <si>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</si>
  <si>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</si>
  <si>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</si>
  <si>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</si>
  <si>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</si>
  <si>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</si>
  <si>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</si>
  <si>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</si>
  <si>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</si>
  <si>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</si>
  <si>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</si>
  <si>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</si>
  <si>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</si>
  <si>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</si>
  <si>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</si>
  <si>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</si>
  <si>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</si>
  <si>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</si>
  <si>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</si>
  <si>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</si>
  <si>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</si>
  <si>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</si>
  <si>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</si>
  <si>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</si>
  <si>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</si>
  <si>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</si>
  <si>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</si>
  <si>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</si>
  <si>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</si>
  <si>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</si>
  <si>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</si>
  <si>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</si>
  <si>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</si>
  <si>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</si>
  <si>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</si>
  <si>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</si>
  <si>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</si>
  <si>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</si>
  <si>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</si>
  <si>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</si>
  <si>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</si>
  <si>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</si>
  <si>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</si>
  <si>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</si>
  <si>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</si>
  <si>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</si>
  <si>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</si>
  <si>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</si>
  <si>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</si>
  <si>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</si>
  <si>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</si>
  <si>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</si>
  <si>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</si>
  <si>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</si>
  <si>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</si>
  <si>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</si>
  <si>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</si>
  <si>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</si>
  <si>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</si>
  <si>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</si>
  <si>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</si>
  <si>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</si>
  <si>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</si>
  <si>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</si>
  <si>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</si>
  <si>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</si>
  <si>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</si>
  <si>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</si>
  <si>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</si>
  <si>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</si>
  <si>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</si>
  <si>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</si>
  <si>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</si>
  <si>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</si>
  <si>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</si>
  <si>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</si>
  <si>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</si>
  <si>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</si>
  <si>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</si>
  <si>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</si>
  <si>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</si>
  <si>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</si>
  <si>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</si>
  <si>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o</t>
    <phoneticPr fontId="1"/>
  </si>
  <si>
    <t>長野柊馬</t>
  </si>
  <si>
    <t>中村花菜</t>
  </si>
  <si>
    <t>所附快和</t>
  </si>
  <si>
    <t>高橋英将</t>
  </si>
  <si>
    <t>放銃</t>
  </si>
  <si>
    <t>ロン</t>
  </si>
  <si>
    <t>N</t>
  </si>
  <si>
    <t>T</t>
  </si>
  <si>
    <t>流局</t>
    <phoneticPr fontId="1"/>
  </si>
  <si>
    <t>01</t>
  </si>
  <si>
    <t>52</t>
  </si>
  <si>
    <t>ツモ支払</t>
  </si>
  <si>
    <t>ツモ</t>
  </si>
  <si>
    <t>清水常緑</t>
  </si>
  <si>
    <t>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</si>
</sst>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2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Alignment="1">
      <alignment vertical="center" shrinkToFit="1"/>
    </xf>
    <xf numFmtId="0" fontId="0" fillId="0" borderId="0" xfId="0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9" xfId="0" applyFill="1" applyBorder="1" applyAlignment="1">
      <alignment horizontal="center" vertical="center" shrinkToFit="1"/>
    </xf>
    <xf numFmtId="0" fontId="0" fillId="3" borderId="5" xfId="0" applyFill="1" applyBorder="1" applyAlignment="1">
      <alignment horizontal="center" vertical="center" shrinkToFit="1"/>
    </xf>
    <xf numFmtId="0" fontId="0" fillId="3" borderId="7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8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</cellXfs>
  <cellStyles count="1">
    <cellStyle name="標準" xfId="0" builtinId="0"/>
  </cellStyles>
  <dxfs count="2"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A3E6-6320-48BB-8A63-D7BF1F84B412}">
  <sheetPr codeName="Sheet1">
    <pageSetUpPr fitToPage="1"/>
  </sheetPr>
  <dimension ref="A1:DJ30"/>
  <sheetViews>
    <sheetView zoomScaleNormal="100" workbookViewId="0">
      <selection sqref="A1:A2"/>
    </sheetView>
  </sheetViews>
  <sheetFormatPr defaultColWidth="3.5" defaultRowHeight="18" x14ac:dyDescent="0.55000000000000004"/>
  <cols>
    <col min="1" max="4" width="5.164062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55000000000000004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161</v>
      </c>
      <c r="G1" s="61"/>
      <c r="H1" s="61"/>
      <c r="I1" s="62"/>
      <c r="J1" s="63"/>
      <c r="K1" s="60" t="s">
        <v>162</v>
      </c>
      <c r="L1" s="61"/>
      <c r="M1" s="61"/>
      <c r="N1" s="62"/>
      <c r="O1" s="63"/>
      <c r="P1" s="60" t="s">
        <v>163</v>
      </c>
      <c r="Q1" s="61"/>
      <c r="R1" s="61"/>
      <c r="S1" s="62"/>
      <c r="T1" s="63"/>
      <c r="U1" s="60" t="s">
        <v>164</v>
      </c>
      <c r="V1" s="61"/>
      <c r="W1" s="61"/>
      <c r="X1" s="62"/>
      <c r="Y1" s="63"/>
      <c r="Z1" s="60" t="s">
        <v>6</v>
      </c>
      <c r="AA1" s="70"/>
      <c r="AB1" s="61"/>
      <c r="AC1" s="63"/>
      <c r="AE1" s="60" t="str">
        <f>IF($F$1="","",$F$1)</f>
        <v>長野柊馬</v>
      </c>
      <c r="AF1" s="70" t="str">
        <f t="shared" ref="AF1:AY1" si="0">$F$1</f>
        <v>長野柊馬</v>
      </c>
      <c r="AG1" s="61" t="str">
        <f t="shared" si="0"/>
        <v>長野柊馬</v>
      </c>
      <c r="AH1" s="61" t="str">
        <f t="shared" si="0"/>
        <v>長野柊馬</v>
      </c>
      <c r="AI1" s="61" t="str">
        <f t="shared" si="0"/>
        <v>長野柊馬</v>
      </c>
      <c r="AJ1" s="61" t="str">
        <f t="shared" si="0"/>
        <v>長野柊馬</v>
      </c>
      <c r="AK1" s="61" t="str">
        <f t="shared" si="0"/>
        <v>長野柊馬</v>
      </c>
      <c r="AL1" s="61" t="str">
        <f t="shared" si="0"/>
        <v>長野柊馬</v>
      </c>
      <c r="AM1" s="61" t="str">
        <f t="shared" si="0"/>
        <v>長野柊馬</v>
      </c>
      <c r="AN1" s="61" t="str">
        <f t="shared" si="0"/>
        <v>長野柊馬</v>
      </c>
      <c r="AO1" s="61" t="str">
        <f t="shared" si="0"/>
        <v>長野柊馬</v>
      </c>
      <c r="AP1" s="61" t="str">
        <f t="shared" si="0"/>
        <v>長野柊馬</v>
      </c>
      <c r="AQ1" s="61" t="str">
        <f t="shared" si="0"/>
        <v>長野柊馬</v>
      </c>
      <c r="AR1" s="61" t="str">
        <f t="shared" si="0"/>
        <v>長野柊馬</v>
      </c>
      <c r="AS1" s="61" t="str">
        <f t="shared" si="0"/>
        <v>長野柊馬</v>
      </c>
      <c r="AT1" s="61" t="str">
        <f t="shared" si="0"/>
        <v>長野柊馬</v>
      </c>
      <c r="AU1" s="61" t="str">
        <f t="shared" si="0"/>
        <v>長野柊馬</v>
      </c>
      <c r="AV1" s="61" t="str">
        <f t="shared" si="0"/>
        <v>長野柊馬</v>
      </c>
      <c r="AW1" s="61" t="str">
        <f t="shared" si="0"/>
        <v>長野柊馬</v>
      </c>
      <c r="AX1" s="61" t="str">
        <f t="shared" si="0"/>
        <v>長野柊馬</v>
      </c>
      <c r="AY1" s="63" t="str">
        <f t="shared" si="0"/>
        <v>長野柊馬</v>
      </c>
      <c r="AZ1" s="60" t="str">
        <f>IF($K$1="","",$K$1)</f>
        <v>中村花菜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所附快和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高橋英将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55000000000000004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長野柊馬</v>
      </c>
      <c r="AA2" s="56" t="str">
        <f>IF($K$1="","",$K$1)</f>
        <v>中村花菜</v>
      </c>
      <c r="AB2" s="56" t="str">
        <f>IF($P$1="","",$P$1)</f>
        <v>所附快和</v>
      </c>
      <c r="AC2" s="13" t="str">
        <f>IF($U$1="","",$U$1)</f>
        <v>高橋英将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55000000000000004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55000000000000004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長野柊馬</v>
      </c>
      <c r="F4" s="5"/>
      <c r="G4" s="6"/>
      <c r="H4" s="6"/>
      <c r="I4" s="6"/>
      <c r="J4" s="18">
        <f>IF(COUNTA($F4,$K4,$P4,$U4)&gt;0,J3+SUM(G4:I4),"")</f>
        <v>25000</v>
      </c>
      <c r="K4" s="5"/>
      <c r="L4" s="6"/>
      <c r="M4" s="6"/>
      <c r="N4" s="6"/>
      <c r="O4" s="18">
        <f>IF(COUNTA($F4,$K4,$P4,$U4)&gt;0,O3+SUM(L4:N4),"")</f>
        <v>25000</v>
      </c>
      <c r="P4" s="5" t="s">
        <v>165</v>
      </c>
      <c r="Q4" s="6">
        <v>-1000</v>
      </c>
      <c r="R4" s="6">
        <v>-1000</v>
      </c>
      <c r="S4" s="6">
        <v>0</v>
      </c>
      <c r="T4" s="18">
        <f>IF(COUNTA($F4,$K4,$P4,$U4)&gt;0,T3+SUM(Q4:S4),"")</f>
        <v>23000</v>
      </c>
      <c r="U4" s="5" t="s">
        <v>166</v>
      </c>
      <c r="V4" s="6">
        <v>1000</v>
      </c>
      <c r="W4" s="6">
        <v>1000</v>
      </c>
      <c r="X4" s="6">
        <v>0</v>
      </c>
      <c r="Y4" s="18">
        <f>IF(COUNTA($F4,$K4,$P4,$U4)&gt;0,Y3+SUM(V4:X4),"")</f>
        <v>27000</v>
      </c>
      <c r="Z4" s="45">
        <f>IF($J4="","",ROUND(($J4-30000)/1000,1)+(2.5-_xlfn.RANK.AVG($J4,($J4,$O4,$T4,$Y4)))*20+IF(_xlfn.RANK.EQ($J4,($J4,$O4,$T4,$Y4))=1,20/((_xlfn.RANK.AVG($J4,($J4,$O4,$T4,$Y4))-1)*2+1),0))</f>
        <v>-5</v>
      </c>
      <c r="AA4" s="46">
        <f>IF($O4="","",ROUND(($O4-30000)/1000,1)+(2.5-_xlfn.RANK.AVG($O4,($J4,$O4,$T4,$Y4)))*20+IF(_xlfn.RANK.EQ($O4,($J4,$O4,$T4,$Y4))=1,20/((_xlfn.RANK.AVG($O4,($J4,$O4,$T4,$Y4))-1)*2+1),0))</f>
        <v>-5</v>
      </c>
      <c r="AB4" s="46">
        <f>IF($T4="","",ROUND(($T4-30000)/1000,1)+(2.5-_xlfn.RANK.AVG($T4,($J4,$O4,$T4,$Y4)))*20+IF(_xlfn.RANK.EQ($T4,($J4,$O4,$T4,$Y4))=1,20/((_xlfn.RANK.AVG($T4,($J4,$O4,$T4,$Y4))-1)*2+1),0))</f>
        <v>-37</v>
      </c>
      <c r="AC4" s="47">
        <f>IF($Y4="","",ROUND(($Y4-30000)/1000,1)+(2.5-_xlfn.RANK.AVG($Y4,($J4,$O4,$T4,$Y4)))*20+IF(_xlfn.RANK.EQ($Y4,($J4,$O4,$T4,$Y4))=1,20/((_xlfn.RANK.AVG($Y4,($J4,$O4,$T4,$Y4))-1)*2+1),0))</f>
        <v>47</v>
      </c>
      <c r="AE4" s="5"/>
      <c r="AF4" s="30"/>
      <c r="AG4" s="23"/>
      <c r="AH4" s="23"/>
      <c r="AI4" s="23"/>
      <c r="AJ4" s="27"/>
      <c r="AK4" s="36"/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/>
      <c r="BA4" s="30"/>
      <c r="BB4" s="23"/>
      <c r="BC4" s="23"/>
      <c r="BD4" s="23"/>
      <c r="BE4" s="27"/>
      <c r="BF4" s="36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/>
      <c r="BV4" s="30"/>
      <c r="BW4" s="23">
        <v>1</v>
      </c>
      <c r="BX4" s="23"/>
      <c r="BY4" s="23"/>
      <c r="BZ4" s="27"/>
      <c r="CA4" s="36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/>
      <c r="CQ4" s="30"/>
      <c r="CR4" s="23"/>
      <c r="CS4" s="23">
        <v>1</v>
      </c>
      <c r="CT4" s="23">
        <v>1</v>
      </c>
      <c r="CU4" s="27">
        <v>30</v>
      </c>
      <c r="CV4" s="36" t="s">
        <v>77</v>
      </c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55000000000000004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2</v>
      </c>
      <c r="C5" s="15">
        <f>IF($E5="","",IF($F4="チョンボ",C4,IF(OR($E4=$E5,$F4="流局"),C4+1,0)))</f>
        <v>0</v>
      </c>
      <c r="D5" s="15">
        <f>IF($E5="","",IF(OR($F4="流局",$F4="チョンボ"),D4+($H4+$M4+$R4+$W4)/-1000,0))</f>
        <v>0</v>
      </c>
      <c r="E5" s="58" t="str">
        <f>IF($K$1="","",$K$1)</f>
        <v>中村花菜</v>
      </c>
      <c r="F5" s="5" t="s">
        <v>169</v>
      </c>
      <c r="G5" s="6">
        <v>-1500</v>
      </c>
      <c r="H5" s="6"/>
      <c r="I5" s="6"/>
      <c r="J5" s="18">
        <f t="shared" ref="J5:J30" si="2">IF(COUNTA($F5,$K5,$P5,$U5)&gt;0,J4+SUM(G5:I5),"")</f>
        <v>23500</v>
      </c>
      <c r="K5" s="5" t="s">
        <v>169</v>
      </c>
      <c r="L5" s="6">
        <v>1500</v>
      </c>
      <c r="M5" s="6"/>
      <c r="N5" s="6"/>
      <c r="O5" s="18">
        <f>IF(COUNTA($F5,$K5,$P5,$U5)&gt;0,O4+SUM(L5:N5),"")</f>
        <v>26500</v>
      </c>
      <c r="P5" s="5" t="s">
        <v>169</v>
      </c>
      <c r="Q5" s="6">
        <v>1500</v>
      </c>
      <c r="R5" s="6">
        <v>-1000</v>
      </c>
      <c r="S5" s="6"/>
      <c r="T5" s="18">
        <f t="shared" ref="T5:T30" si="3">IF(COUNTA($F5,$K5,$P5,$U5)&gt;0,T4+SUM(Q5:S5),"")</f>
        <v>23500</v>
      </c>
      <c r="U5" s="5" t="s">
        <v>169</v>
      </c>
      <c r="V5" s="6">
        <v>-1500</v>
      </c>
      <c r="W5" s="6"/>
      <c r="X5" s="6"/>
      <c r="Y5" s="18">
        <f t="shared" ref="Y5:Y30" si="4">IF(COUNTA($F5,$K5,$P5,$U5)&gt;0,Y4+SUM(V5:X5),"")</f>
        <v>25500</v>
      </c>
      <c r="Z5" s="45">
        <f>IF($J5="","",ROUND(($J5-30000)/1000,1)+(2.5-_xlfn.RANK.AVG($J5,($J5,$O5,$T5,$Y5)))*20+IF(_xlfn.RANK.EQ($J5,($J5,$O5,$T5,$Y5))=1,20/((_xlfn.RANK.AVG($J5,($J5,$O5,$T5,$Y5))-1)*2+1),0))</f>
        <v>-26.5</v>
      </c>
      <c r="AA5" s="46">
        <f>IF($O5="","",ROUND(($O5-30000)/1000,1)+(2.5-_xlfn.RANK.AVG($O5,($J5,$O5,$T5,$Y5)))*20+IF(_xlfn.RANK.EQ($O5,($J5,$O5,$T5,$Y5))=1,20/((_xlfn.RANK.AVG($O5,($J5,$O5,$T5,$Y5))-1)*2+1),0))</f>
        <v>46.5</v>
      </c>
      <c r="AB5" s="46">
        <f>IF($T5="","",ROUND(($T5-30000)/1000,1)+(2.5-_xlfn.RANK.AVG($T5,($J5,$O5,$T5,$Y5)))*20+IF(_xlfn.RANK.EQ($T5,($J5,$O5,$T5,$Y5))=1,20/((_xlfn.RANK.AVG($T5,($J5,$O5,$T5,$Y5))-1)*2+1),0))</f>
        <v>-26.5</v>
      </c>
      <c r="AC5" s="47">
        <f>IF($Y5="","",ROUND(($Y5-30000)/1000,1)+(2.5-_xlfn.RANK.AVG($Y5,($J5,$O5,$T5,$Y5)))*20+IF(_xlfn.RANK.EQ($Y5,($J5,$O5,$T5,$Y5))=1,20/((_xlfn.RANK.AVG($Y5,($J5,$O5,$T5,$Y5))-1)*2+1),0))</f>
        <v>5.5</v>
      </c>
      <c r="AE5" s="5" t="s">
        <v>167</v>
      </c>
      <c r="AF5" s="30"/>
      <c r="AG5" s="23"/>
      <c r="AH5" s="23">
        <v>1</v>
      </c>
      <c r="AI5" s="23"/>
      <c r="AJ5" s="27"/>
      <c r="AK5" s="36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 t="s">
        <v>168</v>
      </c>
      <c r="BA5" s="30"/>
      <c r="BB5" s="23"/>
      <c r="BC5" s="23">
        <v>1</v>
      </c>
      <c r="BD5" s="23"/>
      <c r="BE5" s="27"/>
      <c r="BF5" s="36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 t="s">
        <v>168</v>
      </c>
      <c r="BV5" s="30"/>
      <c r="BW5" s="23">
        <v>1</v>
      </c>
      <c r="BX5" s="23"/>
      <c r="BY5" s="23"/>
      <c r="BZ5" s="27"/>
      <c r="CA5" s="36"/>
      <c r="CB5" s="37"/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 t="s">
        <v>167</v>
      </c>
      <c r="CQ5" s="30"/>
      <c r="CR5" s="23"/>
      <c r="CS5" s="23"/>
      <c r="CT5" s="23"/>
      <c r="CU5" s="27"/>
      <c r="CV5" s="36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55000000000000004">
      <c r="A6" s="10" t="str">
        <f t="shared" si="1"/>
        <v>東</v>
      </c>
      <c r="B6" s="15">
        <f t="shared" ref="B6:B30" si="5">IF($E6="","",IF($E5=$E6,B5,IF(B5=4,1,B5+1)))</f>
        <v>2</v>
      </c>
      <c r="C6" s="15">
        <f t="shared" ref="C6:C30" si="6">IF($E6="","",IF($F5="チョンボ",C5,IF(OR($E5=$E6,$F5="流局"),C5+1,0)))</f>
        <v>1</v>
      </c>
      <c r="D6" s="15">
        <f t="shared" ref="D6:D30" si="7">IF($E6="","",IF(OR($F5="流局",$F5="チョンボ"),D5+($H5+$M5+$R5+$W5)/-1000,0))</f>
        <v>1</v>
      </c>
      <c r="E6" s="58" t="str">
        <f>IF($K$1="","",$K$1)</f>
        <v>中村花菜</v>
      </c>
      <c r="F6" s="5"/>
      <c r="G6" s="6"/>
      <c r="H6" s="6"/>
      <c r="I6" s="6"/>
      <c r="J6" s="18">
        <f t="shared" si="2"/>
        <v>23500</v>
      </c>
      <c r="K6" s="5" t="s">
        <v>165</v>
      </c>
      <c r="L6" s="6">
        <v>-8000</v>
      </c>
      <c r="M6" s="6"/>
      <c r="N6" s="6">
        <v>-300</v>
      </c>
      <c r="O6" s="18">
        <f t="shared" ref="O6:O30" si="8">IF(COUNTA($F6,$K6,$P6,$U6)&gt;0,O5+SUM(L6:N6),"")</f>
        <v>18200</v>
      </c>
      <c r="P6" s="5" t="s">
        <v>166</v>
      </c>
      <c r="Q6" s="6">
        <v>8000</v>
      </c>
      <c r="R6" s="6">
        <v>1000</v>
      </c>
      <c r="S6" s="6">
        <v>300</v>
      </c>
      <c r="T6" s="18">
        <f t="shared" si="3"/>
        <v>32800</v>
      </c>
      <c r="U6" s="5"/>
      <c r="V6" s="6"/>
      <c r="W6" s="6"/>
      <c r="X6" s="6"/>
      <c r="Y6" s="18">
        <f t="shared" si="4"/>
        <v>25500</v>
      </c>
      <c r="Z6" s="45">
        <f>IF($J6="","",ROUND(($J6-30000)/1000,1)+(2.5-_xlfn.RANK.AVG($J6,($J6,$O6,$T6,$Y6)))*20+IF(_xlfn.RANK.EQ($J6,($J6,$O6,$T6,$Y6))=1,20/((_xlfn.RANK.AVG($J6,($J6,$O6,$T6,$Y6))-1)*2+1),0))</f>
        <v>-16.5</v>
      </c>
      <c r="AA6" s="46">
        <f>IF($O6="","",ROUND(($O6-30000)/1000,1)+(2.5-_xlfn.RANK.AVG($O6,($J6,$O6,$T6,$Y6)))*20+IF(_xlfn.RANK.EQ($O6,($J6,$O6,$T6,$Y6))=1,20/((_xlfn.RANK.AVG($O6,($J6,$O6,$T6,$Y6))-1)*2+1),0))</f>
        <v>-41.8</v>
      </c>
      <c r="AB6" s="46">
        <f>IF($T6="","",ROUND(($T6-30000)/1000,1)+(2.5-_xlfn.RANK.AVG($T6,($J6,$O6,$T6,$Y6)))*20+IF(_xlfn.RANK.EQ($T6,($J6,$O6,$T6,$Y6))=1,20/((_xlfn.RANK.AVG($T6,($J6,$O6,$T6,$Y6))-1)*2+1),0))</f>
        <v>52.8</v>
      </c>
      <c r="AC6" s="47">
        <f>IF($Y6="","",ROUND(($Y6-30000)/1000,1)+(2.5-_xlfn.RANK.AVG($Y6,($J6,$O6,$T6,$Y6)))*20+IF(_xlfn.RANK.EQ($Y6,($J6,$O6,$T6,$Y6))=1,20/((_xlfn.RANK.AVG($Y6,($J6,$O6,$T6,$Y6))-1)*2+1),0))</f>
        <v>5.5</v>
      </c>
      <c r="AE6" s="5"/>
      <c r="AF6" s="30"/>
      <c r="AG6" s="23"/>
      <c r="AH6" s="23">
        <v>1</v>
      </c>
      <c r="AI6" s="23"/>
      <c r="AJ6" s="27"/>
      <c r="AK6" s="36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/>
      <c r="BA6" s="30"/>
      <c r="BB6" s="23"/>
      <c r="BC6" s="23">
        <v>1</v>
      </c>
      <c r="BD6" s="23"/>
      <c r="BE6" s="27"/>
      <c r="BF6" s="36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/>
      <c r="BV6" s="30"/>
      <c r="BW6" s="23">
        <v>1</v>
      </c>
      <c r="BX6" s="23"/>
      <c r="BY6" s="23">
        <v>4</v>
      </c>
      <c r="BZ6" s="27">
        <v>30</v>
      </c>
      <c r="CA6" s="36" t="s">
        <v>170</v>
      </c>
      <c r="CB6" s="37" t="s">
        <v>74</v>
      </c>
      <c r="CC6" s="37" t="s">
        <v>171</v>
      </c>
      <c r="CD6" s="37" t="s">
        <v>71</v>
      </c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/>
      <c r="CQ6" s="30"/>
      <c r="CR6" s="23"/>
      <c r="CS6" s="23"/>
      <c r="CT6" s="23"/>
      <c r="CU6" s="27"/>
      <c r="CV6" s="36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55000000000000004">
      <c r="A7" s="10" t="str">
        <f t="shared" si="1"/>
        <v>東</v>
      </c>
      <c r="B7" s="15">
        <f t="shared" si="5"/>
        <v>3</v>
      </c>
      <c r="C7" s="15">
        <f t="shared" si="6"/>
        <v>0</v>
      </c>
      <c r="D7" s="15">
        <f t="shared" si="7"/>
        <v>0</v>
      </c>
      <c r="E7" s="58" t="str">
        <f>IF($P$1="","",$P$1)</f>
        <v>所附快和</v>
      </c>
      <c r="F7" s="5" t="s">
        <v>169</v>
      </c>
      <c r="G7" s="6">
        <v>-1500</v>
      </c>
      <c r="H7" s="6"/>
      <c r="I7" s="6"/>
      <c r="J7" s="18">
        <f t="shared" si="2"/>
        <v>22000</v>
      </c>
      <c r="K7" s="5" t="s">
        <v>169</v>
      </c>
      <c r="L7" s="6">
        <v>1500</v>
      </c>
      <c r="M7" s="6"/>
      <c r="N7" s="6"/>
      <c r="O7" s="18">
        <f t="shared" si="8"/>
        <v>19700</v>
      </c>
      <c r="P7" s="5" t="s">
        <v>169</v>
      </c>
      <c r="Q7" s="6">
        <v>1500</v>
      </c>
      <c r="R7" s="6"/>
      <c r="S7" s="6"/>
      <c r="T7" s="18">
        <f t="shared" si="3"/>
        <v>34300</v>
      </c>
      <c r="U7" s="5" t="s">
        <v>169</v>
      </c>
      <c r="V7" s="6">
        <v>-1500</v>
      </c>
      <c r="W7" s="6"/>
      <c r="X7" s="6"/>
      <c r="Y7" s="18">
        <f t="shared" si="4"/>
        <v>24000</v>
      </c>
      <c r="Z7" s="45">
        <f>IF($J7="","",ROUND(($J7-30000)/1000,1)+(2.5-_xlfn.RANK.AVG($J7,($J7,$O7,$T7,$Y7)))*20+IF(_xlfn.RANK.EQ($J7,($J7,$O7,$T7,$Y7))=1,20/((_xlfn.RANK.AVG($J7,($J7,$O7,$T7,$Y7))-1)*2+1),0))</f>
        <v>-18</v>
      </c>
      <c r="AA7" s="46">
        <f>IF($O7="","",ROUND(($O7-30000)/1000,1)+(2.5-_xlfn.RANK.AVG($O7,($J7,$O7,$T7,$Y7)))*20+IF(_xlfn.RANK.EQ($O7,($J7,$O7,$T7,$Y7))=1,20/((_xlfn.RANK.AVG($O7,($J7,$O7,$T7,$Y7))-1)*2+1),0))</f>
        <v>-40.299999999999997</v>
      </c>
      <c r="AB7" s="46">
        <f>IF($T7="","",ROUND(($T7-30000)/1000,1)+(2.5-_xlfn.RANK.AVG($T7,($J7,$O7,$T7,$Y7)))*20+IF(_xlfn.RANK.EQ($T7,($J7,$O7,$T7,$Y7))=1,20/((_xlfn.RANK.AVG($T7,($J7,$O7,$T7,$Y7))-1)*2+1),0))</f>
        <v>54.3</v>
      </c>
      <c r="AC7" s="47">
        <f>IF($Y7="","",ROUND(($Y7-30000)/1000,1)+(2.5-_xlfn.RANK.AVG($Y7,($J7,$O7,$T7,$Y7)))*20+IF(_xlfn.RANK.EQ($Y7,($J7,$O7,$T7,$Y7))=1,20/((_xlfn.RANK.AVG($Y7,($J7,$O7,$T7,$Y7))-1)*2+1),0))</f>
        <v>4</v>
      </c>
      <c r="AE7" s="5" t="s">
        <v>167</v>
      </c>
      <c r="AF7" s="30"/>
      <c r="AG7" s="23"/>
      <c r="AH7" s="23">
        <v>1</v>
      </c>
      <c r="AI7" s="23"/>
      <c r="AJ7" s="27"/>
      <c r="AK7" s="36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 t="s">
        <v>168</v>
      </c>
      <c r="BA7" s="30"/>
      <c r="BB7" s="23"/>
      <c r="BC7" s="23">
        <v>1</v>
      </c>
      <c r="BD7" s="23"/>
      <c r="BE7" s="27"/>
      <c r="BF7" s="36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 t="s">
        <v>168</v>
      </c>
      <c r="BV7" s="30"/>
      <c r="BW7" s="23"/>
      <c r="BX7" s="23">
        <v>1</v>
      </c>
      <c r="BY7" s="23"/>
      <c r="BZ7" s="27"/>
      <c r="CA7" s="36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 t="s">
        <v>167</v>
      </c>
      <c r="CQ7" s="30"/>
      <c r="CR7" s="23"/>
      <c r="CS7" s="23"/>
      <c r="CT7" s="23"/>
      <c r="CU7" s="27"/>
      <c r="CV7" s="36"/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55000000000000004">
      <c r="A8" s="10" t="str">
        <f t="shared" si="1"/>
        <v>東</v>
      </c>
      <c r="B8" s="15">
        <f t="shared" si="5"/>
        <v>3</v>
      </c>
      <c r="C8" s="15">
        <f t="shared" si="6"/>
        <v>1</v>
      </c>
      <c r="D8" s="15">
        <f>IF($E8="","",IF(OR($F7="流局",$F7="チョンボ"),D7+($H7+$M7+$R7+$W7)/-1000,0))</f>
        <v>0</v>
      </c>
      <c r="E8" s="58" t="str">
        <f>IF($P$1="","",$P$1)</f>
        <v>所附快和</v>
      </c>
      <c r="F8" s="5"/>
      <c r="G8" s="6"/>
      <c r="H8" s="6"/>
      <c r="I8" s="6"/>
      <c r="J8" s="18">
        <f t="shared" si="2"/>
        <v>22000</v>
      </c>
      <c r="K8" s="5" t="s">
        <v>166</v>
      </c>
      <c r="L8" s="6">
        <v>5200</v>
      </c>
      <c r="M8" s="6">
        <v>2000</v>
      </c>
      <c r="N8" s="6">
        <v>300</v>
      </c>
      <c r="O8" s="18">
        <f t="shared" si="8"/>
        <v>27200</v>
      </c>
      <c r="P8" s="5" t="s">
        <v>165</v>
      </c>
      <c r="Q8" s="6">
        <v>-5200</v>
      </c>
      <c r="R8" s="6">
        <v>-1000</v>
      </c>
      <c r="S8" s="6">
        <v>-300</v>
      </c>
      <c r="T8" s="18">
        <f t="shared" si="3"/>
        <v>27800</v>
      </c>
      <c r="U8" s="5"/>
      <c r="V8" s="6"/>
      <c r="W8" s="6">
        <v>-1000</v>
      </c>
      <c r="X8" s="6"/>
      <c r="Y8" s="18">
        <f t="shared" si="4"/>
        <v>23000</v>
      </c>
      <c r="Z8" s="45">
        <f>IF($J8="","",ROUND(($J8-30000)/1000,1)+(2.5-_xlfn.RANK.AVG($J8,($J8,$O8,$T8,$Y8)))*20+IF(_xlfn.RANK.EQ($J8,($J8,$O8,$T8,$Y8))=1,20/((_xlfn.RANK.AVG($J8,($J8,$O8,$T8,$Y8))-1)*2+1),0))</f>
        <v>-38</v>
      </c>
      <c r="AA8" s="46">
        <f>IF($O8="","",ROUND(($O8-30000)/1000,1)+(2.5-_xlfn.RANK.AVG($O8,($J8,$O8,$T8,$Y8)))*20+IF(_xlfn.RANK.EQ($O8,($J8,$O8,$T8,$Y8))=1,20/((_xlfn.RANK.AVG($O8,($J8,$O8,$T8,$Y8))-1)*2+1),0))</f>
        <v>7.2</v>
      </c>
      <c r="AB8" s="46">
        <f>IF($T8="","",ROUND(($T8-30000)/1000,1)+(2.5-_xlfn.RANK.AVG($T8,($J8,$O8,$T8,$Y8)))*20+IF(_xlfn.RANK.EQ($T8,($J8,$O8,$T8,$Y8))=1,20/((_xlfn.RANK.AVG($T8,($J8,$O8,$T8,$Y8))-1)*2+1),0))</f>
        <v>47.8</v>
      </c>
      <c r="AC8" s="47">
        <f>IF($Y8="","",ROUND(($Y8-30000)/1000,1)+(2.5-_xlfn.RANK.AVG($Y8,($J8,$O8,$T8,$Y8)))*20+IF(_xlfn.RANK.EQ($Y8,($J8,$O8,$T8,$Y8))=1,20/((_xlfn.RANK.AVG($Y8,($J8,$O8,$T8,$Y8))-1)*2+1),0))</f>
        <v>-17</v>
      </c>
      <c r="AE8" s="5"/>
      <c r="AF8" s="30"/>
      <c r="AG8" s="23"/>
      <c r="AH8" s="23"/>
      <c r="AI8" s="23"/>
      <c r="AJ8" s="27"/>
      <c r="AK8" s="36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/>
      <c r="BA8" s="30"/>
      <c r="BB8" s="23">
        <v>1</v>
      </c>
      <c r="BC8" s="23"/>
      <c r="BD8" s="23">
        <v>3</v>
      </c>
      <c r="BE8" s="27">
        <v>40</v>
      </c>
      <c r="BF8" s="36" t="s">
        <v>170</v>
      </c>
      <c r="BG8" s="37" t="s">
        <v>171</v>
      </c>
      <c r="BH8" s="37" t="s">
        <v>70</v>
      </c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/>
      <c r="BV8" s="30"/>
      <c r="BW8" s="23">
        <v>1</v>
      </c>
      <c r="BX8" s="23"/>
      <c r="BY8" s="23"/>
      <c r="BZ8" s="27"/>
      <c r="CA8" s="36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/>
      <c r="CQ8" s="30"/>
      <c r="CR8" s="23">
        <v>1</v>
      </c>
      <c r="CS8" s="23"/>
      <c r="CT8" s="23"/>
      <c r="CU8" s="27"/>
      <c r="CV8" s="36"/>
      <c r="CW8" s="37"/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55000000000000004">
      <c r="A9" s="10" t="str">
        <f t="shared" si="1"/>
        <v>東</v>
      </c>
      <c r="B9" s="15">
        <f t="shared" si="5"/>
        <v>4</v>
      </c>
      <c r="C9" s="15">
        <f t="shared" si="6"/>
        <v>0</v>
      </c>
      <c r="D9" s="15">
        <f t="shared" si="7"/>
        <v>0</v>
      </c>
      <c r="E9" s="58" t="str">
        <f>IF($U$1="","",$U$1)</f>
        <v>高橋英将</v>
      </c>
      <c r="F9" s="5" t="s">
        <v>172</v>
      </c>
      <c r="G9" s="6">
        <v>-1300</v>
      </c>
      <c r="H9" s="6"/>
      <c r="I9" s="6">
        <v>0</v>
      </c>
      <c r="J9" s="18">
        <f t="shared" si="2"/>
        <v>20700</v>
      </c>
      <c r="K9" s="5" t="s">
        <v>172</v>
      </c>
      <c r="L9" s="6">
        <v>-1300</v>
      </c>
      <c r="M9" s="6"/>
      <c r="N9" s="6">
        <v>0</v>
      </c>
      <c r="O9" s="18">
        <f t="shared" si="8"/>
        <v>25900</v>
      </c>
      <c r="P9" s="5" t="s">
        <v>172</v>
      </c>
      <c r="Q9" s="6">
        <v>-1300</v>
      </c>
      <c r="R9" s="6"/>
      <c r="S9" s="6">
        <v>0</v>
      </c>
      <c r="T9" s="18">
        <f t="shared" si="3"/>
        <v>26500</v>
      </c>
      <c r="U9" s="5" t="s">
        <v>173</v>
      </c>
      <c r="V9" s="6">
        <v>3900</v>
      </c>
      <c r="W9" s="6">
        <v>0</v>
      </c>
      <c r="X9" s="6">
        <v>0</v>
      </c>
      <c r="Y9" s="18">
        <f t="shared" si="4"/>
        <v>26900</v>
      </c>
      <c r="Z9" s="45">
        <f>IF($J9="","",ROUND(($J9-30000)/1000,1)+(2.5-_xlfn.RANK.AVG($J9,($J9,$O9,$T9,$Y9)))*20+IF(_xlfn.RANK.EQ($J9,($J9,$O9,$T9,$Y9))=1,20/((_xlfn.RANK.AVG($J9,($J9,$O9,$T9,$Y9))-1)*2+1),0))</f>
        <v>-39.299999999999997</v>
      </c>
      <c r="AA9" s="46">
        <f>IF($O9="","",ROUND(($O9-30000)/1000,1)+(2.5-_xlfn.RANK.AVG($O9,($J9,$O9,$T9,$Y9)))*20+IF(_xlfn.RANK.EQ($O9,($J9,$O9,$T9,$Y9))=1,20/((_xlfn.RANK.AVG($O9,($J9,$O9,$T9,$Y9))-1)*2+1),0))</f>
        <v>-14.1</v>
      </c>
      <c r="AB9" s="46">
        <f>IF($T9="","",ROUND(($T9-30000)/1000,1)+(2.5-_xlfn.RANK.AVG($T9,($J9,$O9,$T9,$Y9)))*20+IF(_xlfn.RANK.EQ($T9,($J9,$O9,$T9,$Y9))=1,20/((_xlfn.RANK.AVG($T9,($J9,$O9,$T9,$Y9))-1)*2+1),0))</f>
        <v>6.5</v>
      </c>
      <c r="AC9" s="47">
        <f>IF($Y9="","",ROUND(($Y9-30000)/1000,1)+(2.5-_xlfn.RANK.AVG($Y9,($J9,$O9,$T9,$Y9)))*20+IF(_xlfn.RANK.EQ($Y9,($J9,$O9,$T9,$Y9))=1,20/((_xlfn.RANK.AVG($Y9,($J9,$O9,$T9,$Y9))-1)*2+1),0))</f>
        <v>46.9</v>
      </c>
      <c r="AE9" s="5"/>
      <c r="AF9" s="30"/>
      <c r="AG9" s="23"/>
      <c r="AH9" s="23">
        <v>1</v>
      </c>
      <c r="AI9" s="23"/>
      <c r="AJ9" s="27"/>
      <c r="AK9" s="36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/>
      <c r="BA9" s="30"/>
      <c r="BB9" s="23"/>
      <c r="BC9" s="23">
        <v>1</v>
      </c>
      <c r="BD9" s="23"/>
      <c r="BE9" s="27"/>
      <c r="BF9" s="36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/>
      <c r="BV9" s="30"/>
      <c r="BW9" s="23"/>
      <c r="BX9" s="23">
        <v>1</v>
      </c>
      <c r="BY9" s="23"/>
      <c r="BZ9" s="27"/>
      <c r="CA9" s="36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/>
      <c r="CQ9" s="30"/>
      <c r="CR9" s="23">
        <v>1</v>
      </c>
      <c r="CS9" s="23"/>
      <c r="CT9" s="23">
        <v>3</v>
      </c>
      <c r="CU9" s="27">
        <v>20</v>
      </c>
      <c r="CV9" s="36" t="s">
        <v>170</v>
      </c>
      <c r="CW9" s="37" t="s">
        <v>74</v>
      </c>
      <c r="CX9" s="37" t="s">
        <v>73</v>
      </c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55000000000000004">
      <c r="A10" s="10" t="str">
        <f>IF($E10="","",IF(AND(B9=4,B10=1),_xlfn.SWITCH(A9,"東","南","南","西","西","北","北","東"),A9))</f>
        <v/>
      </c>
      <c r="B10" s="15" t="str">
        <f t="shared" si="5"/>
        <v/>
      </c>
      <c r="C10" s="15" t="str">
        <f t="shared" si="6"/>
        <v/>
      </c>
      <c r="D10" s="15" t="str">
        <f t="shared" si="7"/>
        <v/>
      </c>
      <c r="E10" s="58"/>
      <c r="F10" s="5"/>
      <c r="G10" s="6"/>
      <c r="H10" s="6"/>
      <c r="I10" s="6"/>
      <c r="J10" s="18" t="str">
        <f t="shared" si="2"/>
        <v/>
      </c>
      <c r="K10" s="5"/>
      <c r="L10" s="6"/>
      <c r="M10" s="6"/>
      <c r="N10" s="6"/>
      <c r="O10" s="18" t="str">
        <f t="shared" si="8"/>
        <v/>
      </c>
      <c r="P10" s="5"/>
      <c r="Q10" s="6"/>
      <c r="R10" s="6"/>
      <c r="S10" s="6"/>
      <c r="T10" s="18" t="str">
        <f t="shared" si="3"/>
        <v/>
      </c>
      <c r="U10" s="5"/>
      <c r="V10" s="6"/>
      <c r="W10" s="6"/>
      <c r="X10" s="6"/>
      <c r="Y10" s="18" t="str">
        <f t="shared" si="4"/>
        <v/>
      </c>
      <c r="Z10" s="45" t="str">
        <f>IF($J10="","",ROUND(($J10-30000)/1000,1)+(2.5-_xlfn.RANK.AVG($J10,($J10,$O10,$T10,$Y10)))*20+IF(_xlfn.RANK.EQ($J10,($J10,$O10,$T10,$Y10))=1,20/((_xlfn.RANK.AVG($J10,($J10,$O10,$T10,$Y10))-1)*2+1),0))</f>
        <v/>
      </c>
      <c r="AA10" s="46" t="str">
        <f>IF($O10="","",ROUND(($O10-30000)/1000,1)+(2.5-_xlfn.RANK.AVG($O10,($J10,$O10,$T10,$Y10)))*20+IF(_xlfn.RANK.EQ($O10,($J10,$O10,$T10,$Y10))=1,20/((_xlfn.RANK.AVG($O10,($J10,$O10,$T10,$Y10))-1)*2+1),0))</f>
        <v/>
      </c>
      <c r="AB10" s="46" t="str">
        <f>IF($T10="","",ROUND(($T10-30000)/1000,1)+(2.5-_xlfn.RANK.AVG($T10,($J10,$O10,$T10,$Y10)))*20+IF(_xlfn.RANK.EQ($T10,($J10,$O10,$T10,$Y10))=1,20/((_xlfn.RANK.AVG($T10,($J10,$O10,$T10,$Y10))-1)*2+1),0))</f>
        <v/>
      </c>
      <c r="AC10" s="47" t="str">
        <f>IF($Y10="","",ROUND(($Y10-30000)/1000,1)+(2.5-_xlfn.RANK.AVG($Y10,($J10,$O10,$T10,$Y10)))*20+IF(_xlfn.RANK.EQ($Y10,($J10,$O10,$T10,$Y10))=1,20/((_xlfn.RANK.AVG($Y10,($J10,$O10,$T10,$Y10))-1)*2+1),0))</f>
        <v/>
      </c>
      <c r="AE10" s="5"/>
      <c r="AF10" s="30"/>
      <c r="AG10" s="23"/>
      <c r="AH10" s="23"/>
      <c r="AI10" s="23"/>
      <c r="AJ10" s="27"/>
      <c r="AK10" s="36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3"/>
      <c r="BC10" s="23"/>
      <c r="BD10" s="23"/>
      <c r="BE10" s="27"/>
      <c r="BF10" s="36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/>
      <c r="BX10" s="23"/>
      <c r="BY10" s="23"/>
      <c r="BZ10" s="27"/>
      <c r="CA10" s="36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/>
      <c r="CS10" s="23"/>
      <c r="CT10" s="23"/>
      <c r="CU10" s="27"/>
      <c r="CV10" s="36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55000000000000004">
      <c r="A11" s="10" t="str">
        <f t="shared" ref="A11:A30" si="9">IF($E11="","",IF(AND(B10=4,B11=1),_xlfn.SWITCH(A10,"東","南","南","西","西","北","北","東"),A10))</f>
        <v/>
      </c>
      <c r="B11" s="15" t="str">
        <f t="shared" si="5"/>
        <v/>
      </c>
      <c r="C11" s="15" t="str">
        <f t="shared" si="6"/>
        <v/>
      </c>
      <c r="D11" s="15" t="str">
        <f t="shared" si="7"/>
        <v/>
      </c>
      <c r="E11" s="58"/>
      <c r="F11" s="5"/>
      <c r="G11" s="6"/>
      <c r="H11" s="6"/>
      <c r="I11" s="6"/>
      <c r="J11" s="18" t="str">
        <f t="shared" si="2"/>
        <v/>
      </c>
      <c r="K11" s="5"/>
      <c r="L11" s="6"/>
      <c r="M11" s="6"/>
      <c r="N11" s="6"/>
      <c r="O11" s="18" t="str">
        <f t="shared" si="8"/>
        <v/>
      </c>
      <c r="P11" s="5"/>
      <c r="Q11" s="6"/>
      <c r="R11" s="6"/>
      <c r="S11" s="6"/>
      <c r="T11" s="18" t="str">
        <f t="shared" si="3"/>
        <v/>
      </c>
      <c r="U11" s="5"/>
      <c r="V11" s="6"/>
      <c r="W11" s="6"/>
      <c r="X11" s="6"/>
      <c r="Y11" s="18" t="str">
        <f t="shared" si="4"/>
        <v/>
      </c>
      <c r="Z11" s="45" t="str">
        <f>IF($J11="","",ROUND(($J11-30000)/1000,1)+(2.5-_xlfn.RANK.AVG($J11,($J11,$O11,$T11,$Y11)))*20+IF(_xlfn.RANK.EQ($J11,($J11,$O11,$T11,$Y11))=1,20/((_xlfn.RANK.AVG($J11,($J11,$O11,$T11,$Y11))-1)*2+1),0))</f>
        <v/>
      </c>
      <c r="AA11" s="46" t="str">
        <f>IF($O11="","",ROUND(($O11-30000)/1000,1)+(2.5-_xlfn.RANK.AVG($O11,($J11,$O11,$T11,$Y11)))*20+IF(_xlfn.RANK.EQ($O11,($J11,$O11,$T11,$Y11))=1,20/((_xlfn.RANK.AVG($O11,($J11,$O11,$T11,$Y11))-1)*2+1),0))</f>
        <v/>
      </c>
      <c r="AB11" s="46" t="str">
        <f>IF($T11="","",ROUND(($T11-30000)/1000,1)+(2.5-_xlfn.RANK.AVG($T11,($J11,$O11,$T11,$Y11)))*20+IF(_xlfn.RANK.EQ($T11,($J11,$O11,$T11,$Y11))=1,20/((_xlfn.RANK.AVG($T11,($J11,$O11,$T11,$Y11))-1)*2+1),0))</f>
        <v/>
      </c>
      <c r="AC11" s="47" t="str">
        <f>IF($Y11="","",ROUND(($Y11-30000)/1000,1)+(2.5-_xlfn.RANK.AVG($Y11,($J11,$O11,$T11,$Y11)))*20+IF(_xlfn.RANK.EQ($Y11,($J11,$O11,$T11,$Y11))=1,20/((_xlfn.RANK.AVG($Y11,($J11,$O11,$T11,$Y11))-1)*2+1),0))</f>
        <v/>
      </c>
      <c r="AE11" s="5"/>
      <c r="AF11" s="30"/>
      <c r="AG11" s="23"/>
      <c r="AH11" s="23"/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/>
      <c r="BC11" s="23"/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3"/>
      <c r="BX11" s="23"/>
      <c r="BY11" s="23"/>
      <c r="BZ11" s="27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/>
      <c r="CS11" s="23"/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55000000000000004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58"/>
      <c r="F12" s="5"/>
      <c r="G12" s="6"/>
      <c r="H12" s="6"/>
      <c r="I12" s="6"/>
      <c r="J12" s="18" t="str">
        <f t="shared" si="2"/>
        <v/>
      </c>
      <c r="K12" s="5"/>
      <c r="L12" s="6"/>
      <c r="M12" s="6"/>
      <c r="N12" s="6"/>
      <c r="O12" s="18" t="str">
        <f t="shared" si="8"/>
        <v/>
      </c>
      <c r="P12" s="5"/>
      <c r="Q12" s="6"/>
      <c r="R12" s="6"/>
      <c r="S12" s="6"/>
      <c r="T12" s="18" t="str">
        <f t="shared" si="3"/>
        <v/>
      </c>
      <c r="U12" s="5"/>
      <c r="V12" s="6"/>
      <c r="W12" s="6"/>
      <c r="X12" s="6"/>
      <c r="Y12" s="18" t="str">
        <f t="shared" si="4"/>
        <v/>
      </c>
      <c r="Z12" s="45" t="str">
        <f>IF($J12="","",ROUND(($J12-30000)/1000,1)+(2.5-_xlfn.RANK.AVG($J12,($J12,$O12,$T12,$Y12)))*20+IF(_xlfn.RANK.EQ($J12,($J12,$O12,$T12,$Y12))=1,20/((_xlfn.RANK.AVG($J12,($J12,$O12,$T12,$Y12))-1)*2+1),0))</f>
        <v/>
      </c>
      <c r="AA12" s="46" t="str">
        <f>IF($O12="","",ROUND(($O12-30000)/1000,1)+(2.5-_xlfn.RANK.AVG($O12,($J12,$O12,$T12,$Y12)))*20+IF(_xlfn.RANK.EQ($O12,($J12,$O12,$T12,$Y12))=1,20/((_xlfn.RANK.AVG($O12,($J12,$O12,$T12,$Y12))-1)*2+1),0))</f>
        <v/>
      </c>
      <c r="AB12" s="46" t="str">
        <f>IF($T12="","",ROUND(($T12-30000)/1000,1)+(2.5-_xlfn.RANK.AVG($T12,($J12,$O12,$T12,$Y12)))*20+IF(_xlfn.RANK.EQ($T12,($J12,$O12,$T12,$Y12))=1,20/((_xlfn.RANK.AVG($T12,($J12,$O12,$T12,$Y12))-1)*2+1),0))</f>
        <v/>
      </c>
      <c r="AC12" s="47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0"/>
      <c r="AG12" s="23"/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/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55000000000000004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58"/>
      <c r="F13" s="5"/>
      <c r="G13" s="6"/>
      <c r="H13" s="6"/>
      <c r="I13" s="6"/>
      <c r="J13" s="18" t="str">
        <f t="shared" si="2"/>
        <v/>
      </c>
      <c r="K13" s="5"/>
      <c r="L13" s="6"/>
      <c r="M13" s="6"/>
      <c r="N13" s="6"/>
      <c r="O13" s="18" t="str">
        <f t="shared" si="8"/>
        <v/>
      </c>
      <c r="P13" s="5"/>
      <c r="Q13" s="6"/>
      <c r="R13" s="6"/>
      <c r="S13" s="6"/>
      <c r="T13" s="18" t="str">
        <f t="shared" si="3"/>
        <v/>
      </c>
      <c r="U13" s="5"/>
      <c r="V13" s="6"/>
      <c r="W13" s="6"/>
      <c r="X13" s="6"/>
      <c r="Y13" s="18" t="str">
        <f t="shared" si="4"/>
        <v/>
      </c>
      <c r="Z13" s="45" t="str">
        <f>IF($J13="","",ROUND(($J13-30000)/1000,1)+(2.5-_xlfn.RANK.AVG($J13,($J13,$O13,$T13,$Y13)))*20+IF(_xlfn.RANK.EQ($J13,($J13,$O13,$T13,$Y13))=1,20/((_xlfn.RANK.AVG($J13,($J13,$O13,$T13,$Y13))-1)*2+1),0))</f>
        <v/>
      </c>
      <c r="AA13" s="46" t="str">
        <f>IF($O13="","",ROUND(($O13-30000)/1000,1)+(2.5-_xlfn.RANK.AVG($O13,($J13,$O13,$T13,$Y13)))*20+IF(_xlfn.RANK.EQ($O13,($J13,$O13,$T13,$Y13))=1,20/((_xlfn.RANK.AVG($O13,($J13,$O13,$T13,$Y13))-1)*2+1),0))</f>
        <v/>
      </c>
      <c r="AB13" s="46" t="str">
        <f>IF($T13="","",ROUND(($T13-30000)/1000,1)+(2.5-_xlfn.RANK.AVG($T13,($J13,$O13,$T13,$Y13)))*20+IF(_xlfn.RANK.EQ($T13,($J13,$O13,$T13,$Y13))=1,20/((_xlfn.RANK.AVG($T13,($J13,$O13,$T13,$Y13))-1)*2+1),0))</f>
        <v/>
      </c>
      <c r="AC13" s="47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55000000000000004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55000000000000004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55000000000000004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55000000000000004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55000000000000004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55000000000000004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55000000000000004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55000000000000004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55000000000000004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55000000000000004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55000000000000004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55000000000000004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55000000000000004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55000000000000004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55000000000000004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55000000000000004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55000000000000004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AK2:AY2"/>
    <mergeCell ref="BF2:BT2"/>
    <mergeCell ref="CA2:CO2"/>
    <mergeCell ref="CP1:DJ1"/>
    <mergeCell ref="CV2:DJ2"/>
    <mergeCell ref="AZ1:BT1"/>
    <mergeCell ref="K1:O1"/>
    <mergeCell ref="P1:T1"/>
    <mergeCell ref="U1:Y1"/>
    <mergeCell ref="Z1:AC1"/>
    <mergeCell ref="AE1:AY1"/>
    <mergeCell ref="F1:J1"/>
    <mergeCell ref="A1:A2"/>
    <mergeCell ref="B1:B2"/>
    <mergeCell ref="C1:C2"/>
    <mergeCell ref="D1:D2"/>
    <mergeCell ref="E1:E2"/>
  </mergeCells>
  <phoneticPr fontId="1"/>
  <conditionalFormatting sqref="F1:Y1">
    <cfRule type="duplicateValues" dxfId="1" priority="2"/>
  </conditionalFormatting>
  <dataValidations count="3">
    <dataValidation type="list" allowBlank="1" showInputMessage="1" showErrorMessage="1" sqref="E4:E30" xr:uid="{C6D8E678-0CEF-48C6-936A-0092F3815AE7}">
      <formula1>$Z$2:$AC$2</formula1>
    </dataValidation>
    <dataValidation type="list" showInputMessage="1" showErrorMessage="1" sqref="K4:K30 P4:P30 F4:F30 U4:U30" xr:uid="{723420DD-8438-448C-B428-B3284B5CB670}">
      <formula1>"ロン,ツモ,放銃,ツモ支払,流局,チョンボ"</formula1>
    </dataValidation>
    <dataValidation type="list" allowBlank="1" showInputMessage="1" sqref="F1:Y1" xr:uid="{B9E6117B-C1B8-495E-A5A8-D155F84F218A}">
      <formula1>"百瀬成空,佐藤成浩,川上翔大,中川弘崇,宮澤七星,中村花菜,山本瑛人,春日爽,伊藤仁城,坂本羽弥斗,塩入悠,中村季暉,渡部陵瑛,湯本咲蔵,山本悠介,田名網新,石原凛人,唐澤聖矢,清水常緑,所附快和,長野柊馬,西野修世,高橋英将,佐藤成,有馬藍,柳澤奏太,宮坂晴海,手塚心優寧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3CBD9B-16BA-4E3B-B87A-12B3919DC479}">
  <sheetPr codeName="Sheet10">
    <pageSetUpPr fitToPage="1"/>
  </sheetPr>
  <dimension ref="A1:DJ30"/>
  <sheetViews>
    <sheetView tabSelected="1" zoomScaleNormal="100" workbookViewId="0">
      <selection sqref="A1:A2"/>
    </sheetView>
  </sheetViews>
  <sheetFormatPr defaultColWidth="3.5" defaultRowHeight="18" x14ac:dyDescent="0.55000000000000004"/>
  <cols>
    <col min="1" max="4" width="5.1640625" style="21" customWidth="1"/>
    <col min="5" max="17" width="9" style="21" customWidth="1"/>
    <col min="18" max="18" width="9.08203125" style="21" customWidth="1"/>
    <col min="19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55000000000000004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163</v>
      </c>
      <c r="G1" s="61"/>
      <c r="H1" s="61"/>
      <c r="I1" s="62"/>
      <c r="J1" s="63"/>
      <c r="K1" s="60" t="s">
        <v>161</v>
      </c>
      <c r="L1" s="61"/>
      <c r="M1" s="61"/>
      <c r="N1" s="62"/>
      <c r="O1" s="63"/>
      <c r="P1" s="60" t="s">
        <v>174</v>
      </c>
      <c r="Q1" s="61"/>
      <c r="R1" s="61"/>
      <c r="S1" s="62"/>
      <c r="T1" s="63"/>
      <c r="U1" s="60" t="s">
        <v>162</v>
      </c>
      <c r="V1" s="61"/>
      <c r="W1" s="61"/>
      <c r="X1" s="62"/>
      <c r="Y1" s="63"/>
      <c r="Z1" s="60" t="s">
        <v>6</v>
      </c>
      <c r="AA1" s="70"/>
      <c r="AB1" s="61"/>
      <c r="AC1" s="63"/>
      <c r="AE1" s="60" t="str">
        <f>IF($F$1="","",$F$1)</f>
        <v>所附快和</v>
      </c>
      <c r="AF1" s="70" t="str">
        <f t="shared" ref="AF1:AY1" si="0">$F$1</f>
        <v>所附快和</v>
      </c>
      <c r="AG1" s="61" t="str">
        <f t="shared" si="0"/>
        <v>所附快和</v>
      </c>
      <c r="AH1" s="61" t="str">
        <f t="shared" si="0"/>
        <v>所附快和</v>
      </c>
      <c r="AI1" s="61" t="str">
        <f t="shared" si="0"/>
        <v>所附快和</v>
      </c>
      <c r="AJ1" s="61" t="str">
        <f t="shared" si="0"/>
        <v>所附快和</v>
      </c>
      <c r="AK1" s="61" t="str">
        <f t="shared" si="0"/>
        <v>所附快和</v>
      </c>
      <c r="AL1" s="61" t="str">
        <f t="shared" si="0"/>
        <v>所附快和</v>
      </c>
      <c r="AM1" s="61" t="str">
        <f t="shared" si="0"/>
        <v>所附快和</v>
      </c>
      <c r="AN1" s="61" t="str">
        <f t="shared" si="0"/>
        <v>所附快和</v>
      </c>
      <c r="AO1" s="61" t="str">
        <f t="shared" si="0"/>
        <v>所附快和</v>
      </c>
      <c r="AP1" s="61" t="str">
        <f t="shared" si="0"/>
        <v>所附快和</v>
      </c>
      <c r="AQ1" s="61" t="str">
        <f t="shared" si="0"/>
        <v>所附快和</v>
      </c>
      <c r="AR1" s="61" t="str">
        <f t="shared" si="0"/>
        <v>所附快和</v>
      </c>
      <c r="AS1" s="61" t="str">
        <f t="shared" si="0"/>
        <v>所附快和</v>
      </c>
      <c r="AT1" s="61" t="str">
        <f t="shared" si="0"/>
        <v>所附快和</v>
      </c>
      <c r="AU1" s="61" t="str">
        <f t="shared" si="0"/>
        <v>所附快和</v>
      </c>
      <c r="AV1" s="61" t="str">
        <f t="shared" si="0"/>
        <v>所附快和</v>
      </c>
      <c r="AW1" s="61" t="str">
        <f t="shared" si="0"/>
        <v>所附快和</v>
      </c>
      <c r="AX1" s="61" t="str">
        <f t="shared" si="0"/>
        <v>所附快和</v>
      </c>
      <c r="AY1" s="63" t="str">
        <f t="shared" si="0"/>
        <v>所附快和</v>
      </c>
      <c r="AZ1" s="60" t="str">
        <f>IF($K$1="","",$K$1)</f>
        <v>長野柊馬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清水常緑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中村花菜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55000000000000004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所附快和</v>
      </c>
      <c r="AA2" s="56" t="str">
        <f>IF($K$1="","",$K$1)</f>
        <v>長野柊馬</v>
      </c>
      <c r="AB2" s="56" t="str">
        <f>IF($P$1="","",$P$1)</f>
        <v>清水常緑</v>
      </c>
      <c r="AC2" s="13" t="str">
        <f>IF($U$1="","",$U$1)</f>
        <v>中村花菜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55000000000000004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55000000000000004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所附快和</v>
      </c>
      <c r="F4" s="5" t="s">
        <v>166</v>
      </c>
      <c r="G4" s="6">
        <v>12000</v>
      </c>
      <c r="H4" s="6"/>
      <c r="I4" s="6">
        <v>0</v>
      </c>
      <c r="J4" s="18">
        <f>IF(COUNTA($F4,$K4,$P4,$U4)&gt;0,J3+SUM(G4:I4),"")</f>
        <v>37000</v>
      </c>
      <c r="K4" s="5"/>
      <c r="L4" s="6"/>
      <c r="M4" s="6"/>
      <c r="N4" s="6"/>
      <c r="O4" s="18">
        <f>IF(COUNTA($F4,$K4,$P4,$U4)&gt;0,O3+SUM(L4:N4),"")</f>
        <v>25000</v>
      </c>
      <c r="P4" s="5"/>
      <c r="Q4" s="6"/>
      <c r="R4" s="6"/>
      <c r="S4" s="6"/>
      <c r="T4" s="18">
        <f>IF(COUNTA($F4,$K4,$P4,$U4)&gt;0,T3+SUM(Q4:S4),"")</f>
        <v>25000</v>
      </c>
      <c r="U4" s="5" t="s">
        <v>165</v>
      </c>
      <c r="V4" s="6">
        <v>-12000</v>
      </c>
      <c r="W4" s="6"/>
      <c r="X4" s="6">
        <v>0</v>
      </c>
      <c r="Y4" s="18">
        <f>IF(COUNTA($F4,$K4,$P4,$U4)&gt;0,Y3+SUM(V4:X4),"")</f>
        <v>13000</v>
      </c>
      <c r="Z4" s="45">
        <f>IF($J4="","",ROUND(($J4-30000)/1000,1)+(2.5-_xlfn.RANK.AVG($J4,($J4,$O4,$T4,$Y4)))*20+IF(_xlfn.RANK.EQ($J4,($J4,$O4,$T4,$Y4))=1,20/((_xlfn.RANK.AVG($J4,($J4,$O4,$T4,$Y4))-1)*2+1),0))</f>
        <v>57</v>
      </c>
      <c r="AA4" s="46">
        <f>IF($O4="","",ROUND(($O4-30000)/1000,1)+(2.5-_xlfn.RANK.AVG($O4,($J4,$O4,$T4,$Y4)))*20+IF(_xlfn.RANK.EQ($O4,($J4,$O4,$T4,$Y4))=1,20/((_xlfn.RANK.AVG($O4,($J4,$O4,$T4,$Y4))-1)*2+1),0))</f>
        <v>-5</v>
      </c>
      <c r="AB4" s="46">
        <f>IF($T4="","",ROUND(($T4-30000)/1000,1)+(2.5-_xlfn.RANK.AVG($T4,($J4,$O4,$T4,$Y4)))*20+IF(_xlfn.RANK.EQ($T4,($J4,$O4,$T4,$Y4))=1,20/((_xlfn.RANK.AVG($T4,($J4,$O4,$T4,$Y4))-1)*2+1),0))</f>
        <v>-5</v>
      </c>
      <c r="AC4" s="47">
        <f>IF($Y4="","",ROUND(($Y4-30000)/1000,1)+(2.5-_xlfn.RANK.AVG($Y4,($J4,$O4,$T4,$Y4)))*20+IF(_xlfn.RANK.EQ($Y4,($J4,$O4,$T4,$Y4))=1,20/((_xlfn.RANK.AVG($Y4,($J4,$O4,$T4,$Y4))-1)*2+1),0))</f>
        <v>-47</v>
      </c>
      <c r="AE4" s="5"/>
      <c r="AF4" s="30"/>
      <c r="AG4" s="23"/>
      <c r="AH4" s="23">
        <v>1</v>
      </c>
      <c r="AI4" s="23">
        <v>4</v>
      </c>
      <c r="AJ4" s="27">
        <v>30</v>
      </c>
      <c r="AK4" s="36" t="s">
        <v>77</v>
      </c>
      <c r="AL4" s="37" t="s">
        <v>70</v>
      </c>
      <c r="AM4" s="37" t="s">
        <v>70</v>
      </c>
      <c r="AN4" s="37" t="s">
        <v>77</v>
      </c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/>
      <c r="BA4" s="30"/>
      <c r="BB4" s="23"/>
      <c r="BC4" s="23">
        <v>1</v>
      </c>
      <c r="BD4" s="23"/>
      <c r="BE4" s="27"/>
      <c r="BF4" s="36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/>
      <c r="BV4" s="30"/>
      <c r="BW4" s="23"/>
      <c r="BX4" s="23"/>
      <c r="BY4" s="23"/>
      <c r="BZ4" s="27"/>
      <c r="CA4" s="36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/>
      <c r="CQ4" s="30"/>
      <c r="CR4" s="23"/>
      <c r="CS4" s="23"/>
      <c r="CT4" s="23"/>
      <c r="CU4" s="27"/>
      <c r="CV4" s="36"/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55000000000000004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1</v>
      </c>
      <c r="C5" s="15">
        <f>IF($E5="","",IF($F4="チョンボ",C4,IF(OR($E4=$E5,$F4="流局"),C4+1,0)))</f>
        <v>1</v>
      </c>
      <c r="D5" s="15">
        <f>IF($E5="","",IF(OR($F4="流局",$F4="チョンボ"),D4+($H4+$M4+$R4+$W4)/-1000,0))</f>
        <v>0</v>
      </c>
      <c r="E5" s="58" t="str">
        <f>IF($F$1="","",$F$1)</f>
        <v>所附快和</v>
      </c>
      <c r="F5" s="5" t="s">
        <v>172</v>
      </c>
      <c r="G5" s="6">
        <v>-6000</v>
      </c>
      <c r="H5" s="6"/>
      <c r="I5" s="6">
        <v>-100</v>
      </c>
      <c r="J5" s="18">
        <f t="shared" ref="J5:J30" si="2">IF(COUNTA($F5,$K5,$P5,$U5)&gt;0,J4+SUM(G5:I5),"")</f>
        <v>30900</v>
      </c>
      <c r="K5" s="5" t="s">
        <v>172</v>
      </c>
      <c r="L5" s="6">
        <v>-3000</v>
      </c>
      <c r="M5" s="6"/>
      <c r="N5" s="6">
        <v>-100</v>
      </c>
      <c r="O5" s="18">
        <f>IF(COUNTA($F5,$K5,$P5,$U5)&gt;0,O4+SUM(L5:N5),"")</f>
        <v>21900</v>
      </c>
      <c r="P5" s="5" t="s">
        <v>172</v>
      </c>
      <c r="Q5" s="6">
        <v>-3000</v>
      </c>
      <c r="R5" s="6"/>
      <c r="S5" s="6">
        <v>-100</v>
      </c>
      <c r="T5" s="18">
        <f t="shared" ref="T5:T30" si="3">IF(COUNTA($F5,$K5,$P5,$U5)&gt;0,T4+SUM(Q5:S5),"")</f>
        <v>21900</v>
      </c>
      <c r="U5" s="5" t="s">
        <v>173</v>
      </c>
      <c r="V5" s="6">
        <v>12000</v>
      </c>
      <c r="W5" s="6"/>
      <c r="X5" s="6">
        <v>300</v>
      </c>
      <c r="Y5" s="18">
        <f t="shared" ref="Y5:Y30" si="4">IF(COUNTA($F5,$K5,$P5,$U5)&gt;0,Y4+SUM(V5:X5),"")</f>
        <v>25300</v>
      </c>
      <c r="Z5" s="45">
        <f>IF($J5="","",ROUND(($J5-30000)/1000,1)+(2.5-_xlfn.RANK.AVG($J5,($J5,$O5,$T5,$Y5)))*20+IF(_xlfn.RANK.EQ($J5,($J5,$O5,$T5,$Y5))=1,20/((_xlfn.RANK.AVG($J5,($J5,$O5,$T5,$Y5))-1)*2+1),0))</f>
        <v>50.9</v>
      </c>
      <c r="AA5" s="46">
        <f>IF($O5="","",ROUND(($O5-30000)/1000,1)+(2.5-_xlfn.RANK.AVG($O5,($J5,$O5,$T5,$Y5)))*20+IF(_xlfn.RANK.EQ($O5,($J5,$O5,$T5,$Y5))=1,20/((_xlfn.RANK.AVG($O5,($J5,$O5,$T5,$Y5))-1)*2+1),0))</f>
        <v>-28.1</v>
      </c>
      <c r="AB5" s="46">
        <f>IF($T5="","",ROUND(($T5-30000)/1000,1)+(2.5-_xlfn.RANK.AVG($T5,($J5,$O5,$T5,$Y5)))*20+IF(_xlfn.RANK.EQ($T5,($J5,$O5,$T5,$Y5))=1,20/((_xlfn.RANK.AVG($T5,($J5,$O5,$T5,$Y5))-1)*2+1),0))</f>
        <v>-28.1</v>
      </c>
      <c r="AC5" s="47">
        <f>IF($Y5="","",ROUND(($Y5-30000)/1000,1)+(2.5-_xlfn.RANK.AVG($Y5,($J5,$O5,$T5,$Y5)))*20+IF(_xlfn.RANK.EQ($Y5,($J5,$O5,$T5,$Y5))=1,20/((_xlfn.RANK.AVG($Y5,($J5,$O5,$T5,$Y5))-1)*2+1),0))</f>
        <v>5.3</v>
      </c>
      <c r="AE5" s="5"/>
      <c r="AF5" s="30"/>
      <c r="AG5" s="23"/>
      <c r="AH5" s="23"/>
      <c r="AI5" s="23"/>
      <c r="AJ5" s="27"/>
      <c r="AK5" s="36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/>
      <c r="BA5" s="30"/>
      <c r="BB5" s="23"/>
      <c r="BC5" s="23"/>
      <c r="BD5" s="23"/>
      <c r="BE5" s="27"/>
      <c r="BF5" s="36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/>
      <c r="BV5" s="30"/>
      <c r="BW5" s="23"/>
      <c r="BX5" s="23">
        <v>1</v>
      </c>
      <c r="BY5" s="23"/>
      <c r="BZ5" s="27"/>
      <c r="CA5" s="36"/>
      <c r="CB5" s="37"/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/>
      <c r="CQ5" s="30"/>
      <c r="CR5" s="23">
        <v>1</v>
      </c>
      <c r="CS5" s="23"/>
      <c r="CT5" s="23">
        <v>6</v>
      </c>
      <c r="CU5" s="27" t="s">
        <v>175</v>
      </c>
      <c r="CV5" s="36" t="s">
        <v>170</v>
      </c>
      <c r="CW5" s="37" t="s">
        <v>73</v>
      </c>
      <c r="CX5" s="37" t="s">
        <v>74</v>
      </c>
      <c r="CY5" s="37" t="s">
        <v>76</v>
      </c>
      <c r="CZ5" s="37" t="s">
        <v>75</v>
      </c>
      <c r="DA5" s="37" t="s">
        <v>70</v>
      </c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55000000000000004">
      <c r="A6" s="10" t="str">
        <f t="shared" si="1"/>
        <v>東</v>
      </c>
      <c r="B6" s="15">
        <f t="shared" ref="B6:B30" si="5">IF($E6="","",IF($E5=$E6,B5,IF(B5=4,1,B5+1)))</f>
        <v>2</v>
      </c>
      <c r="C6" s="15">
        <f t="shared" ref="C6:C30" si="6">IF($E6="","",IF($F5="チョンボ",C5,IF(OR($E5=$E6,$F5="流局"),C5+1,0)))</f>
        <v>0</v>
      </c>
      <c r="D6" s="15">
        <f t="shared" ref="D6:D30" si="7">IF($E6="","",IF(OR($F5="流局",$F5="チョンボ"),D5+($H5+$M5+$R5+$W5)/-1000,0))</f>
        <v>0</v>
      </c>
      <c r="E6" s="58" t="str">
        <f>IF($K$1="","",$K$1)</f>
        <v>長野柊馬</v>
      </c>
      <c r="F6" s="5"/>
      <c r="G6" s="6"/>
      <c r="H6" s="6"/>
      <c r="I6" s="6"/>
      <c r="J6" s="18">
        <f t="shared" si="2"/>
        <v>30900</v>
      </c>
      <c r="K6" s="5" t="s">
        <v>165</v>
      </c>
      <c r="L6" s="6">
        <v>-8000</v>
      </c>
      <c r="M6" s="6"/>
      <c r="N6" s="6">
        <v>0</v>
      </c>
      <c r="O6" s="18">
        <f t="shared" ref="O6:O30" si="8">IF(COUNTA($F6,$K6,$P6,$U6)&gt;0,O5+SUM(L6:N6),"")</f>
        <v>13900</v>
      </c>
      <c r="P6" s="5" t="s">
        <v>166</v>
      </c>
      <c r="Q6" s="6">
        <v>8000</v>
      </c>
      <c r="R6" s="6"/>
      <c r="S6" s="6">
        <v>0</v>
      </c>
      <c r="T6" s="18">
        <f t="shared" si="3"/>
        <v>29900</v>
      </c>
      <c r="U6" s="5"/>
      <c r="V6" s="6"/>
      <c r="W6" s="6"/>
      <c r="X6" s="6"/>
      <c r="Y6" s="18">
        <f t="shared" si="4"/>
        <v>25300</v>
      </c>
      <c r="Z6" s="45">
        <f>IF($J6="","",ROUND(($J6-30000)/1000,1)+(2.5-_xlfn.RANK.AVG($J6,($J6,$O6,$T6,$Y6)))*20+IF(_xlfn.RANK.EQ($J6,($J6,$O6,$T6,$Y6))=1,20/((_xlfn.RANK.AVG($J6,($J6,$O6,$T6,$Y6))-1)*2+1),0))</f>
        <v>50.9</v>
      </c>
      <c r="AA6" s="46">
        <f>IF($O6="","",ROUND(($O6-30000)/1000,1)+(2.5-_xlfn.RANK.AVG($O6,($J6,$O6,$T6,$Y6)))*20+IF(_xlfn.RANK.EQ($O6,($J6,$O6,$T6,$Y6))=1,20/((_xlfn.RANK.AVG($O6,($J6,$O6,$T6,$Y6))-1)*2+1),0))</f>
        <v>-46.1</v>
      </c>
      <c r="AB6" s="46">
        <f>IF($T6="","",ROUND(($T6-30000)/1000,1)+(2.5-_xlfn.RANK.AVG($T6,($J6,$O6,$T6,$Y6)))*20+IF(_xlfn.RANK.EQ($T6,($J6,$O6,$T6,$Y6))=1,20/((_xlfn.RANK.AVG($T6,($J6,$O6,$T6,$Y6))-1)*2+1),0))</f>
        <v>9.9</v>
      </c>
      <c r="AC6" s="47">
        <f>IF($Y6="","",ROUND(($Y6-30000)/1000,1)+(2.5-_xlfn.RANK.AVG($Y6,($J6,$O6,$T6,$Y6)))*20+IF(_xlfn.RANK.EQ($Y6,($J6,$O6,$T6,$Y6))=1,20/((_xlfn.RANK.AVG($Y6,($J6,$O6,$T6,$Y6))-1)*2+1),0))</f>
        <v>-14.7</v>
      </c>
      <c r="AE6" s="5"/>
      <c r="AF6" s="30"/>
      <c r="AG6" s="23"/>
      <c r="AH6" s="23">
        <v>1</v>
      </c>
      <c r="AI6" s="23"/>
      <c r="AJ6" s="27"/>
      <c r="AK6" s="36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/>
      <c r="BA6" s="30"/>
      <c r="BB6" s="23"/>
      <c r="BC6" s="23">
        <v>1</v>
      </c>
      <c r="BD6" s="23"/>
      <c r="BE6" s="27"/>
      <c r="BF6" s="36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/>
      <c r="BV6" s="30"/>
      <c r="BW6" s="23">
        <v>1</v>
      </c>
      <c r="BX6" s="23"/>
      <c r="BY6" s="23">
        <v>4</v>
      </c>
      <c r="BZ6" s="27">
        <v>40</v>
      </c>
      <c r="CA6" s="36" t="s">
        <v>170</v>
      </c>
      <c r="CB6" s="37" t="s">
        <v>77</v>
      </c>
      <c r="CC6" s="37" t="s">
        <v>70</v>
      </c>
      <c r="CD6" s="37" t="s">
        <v>70</v>
      </c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/>
      <c r="CQ6" s="30"/>
      <c r="CR6" s="23"/>
      <c r="CS6" s="23"/>
      <c r="CT6" s="23"/>
      <c r="CU6" s="27"/>
      <c r="CV6" s="36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55000000000000004">
      <c r="A7" s="10" t="str">
        <f t="shared" si="1"/>
        <v>東</v>
      </c>
      <c r="B7" s="15">
        <f t="shared" si="5"/>
        <v>3</v>
      </c>
      <c r="C7" s="15">
        <f t="shared" si="6"/>
        <v>0</v>
      </c>
      <c r="D7" s="15">
        <f t="shared" si="7"/>
        <v>0</v>
      </c>
      <c r="E7" s="58" t="str">
        <f>IF($P$1="","",$P$1)</f>
        <v>清水常緑</v>
      </c>
      <c r="F7" s="5" t="s">
        <v>172</v>
      </c>
      <c r="G7" s="6">
        <v>-500</v>
      </c>
      <c r="H7" s="6"/>
      <c r="I7" s="6">
        <v>0</v>
      </c>
      <c r="J7" s="18">
        <f t="shared" si="2"/>
        <v>30400</v>
      </c>
      <c r="K7" s="5" t="s">
        <v>172</v>
      </c>
      <c r="L7" s="6">
        <v>-500</v>
      </c>
      <c r="M7" s="6"/>
      <c r="N7" s="6">
        <v>0</v>
      </c>
      <c r="O7" s="18">
        <f t="shared" si="8"/>
        <v>13400</v>
      </c>
      <c r="P7" s="5" t="s">
        <v>172</v>
      </c>
      <c r="Q7" s="6">
        <v>-1000</v>
      </c>
      <c r="R7" s="6"/>
      <c r="S7" s="6">
        <v>0</v>
      </c>
      <c r="T7" s="18">
        <f t="shared" si="3"/>
        <v>28900</v>
      </c>
      <c r="U7" s="5" t="s">
        <v>173</v>
      </c>
      <c r="V7" s="6">
        <v>2000</v>
      </c>
      <c r="W7" s="6"/>
      <c r="X7" s="6">
        <v>0</v>
      </c>
      <c r="Y7" s="18">
        <f t="shared" si="4"/>
        <v>27300</v>
      </c>
      <c r="Z7" s="45">
        <f>IF($J7="","",ROUND(($J7-30000)/1000,1)+(2.5-_xlfn.RANK.AVG($J7,($J7,$O7,$T7,$Y7)))*20+IF(_xlfn.RANK.EQ($J7,($J7,$O7,$T7,$Y7))=1,20/((_xlfn.RANK.AVG($J7,($J7,$O7,$T7,$Y7))-1)*2+1),0))</f>
        <v>50.4</v>
      </c>
      <c r="AA7" s="46">
        <f>IF($O7="","",ROUND(($O7-30000)/1000,1)+(2.5-_xlfn.RANK.AVG($O7,($J7,$O7,$T7,$Y7)))*20+IF(_xlfn.RANK.EQ($O7,($J7,$O7,$T7,$Y7))=1,20/((_xlfn.RANK.AVG($O7,($J7,$O7,$T7,$Y7))-1)*2+1),0))</f>
        <v>-46.6</v>
      </c>
      <c r="AB7" s="46">
        <f>IF($T7="","",ROUND(($T7-30000)/1000,1)+(2.5-_xlfn.RANK.AVG($T7,($J7,$O7,$T7,$Y7)))*20+IF(_xlfn.RANK.EQ($T7,($J7,$O7,$T7,$Y7))=1,20/((_xlfn.RANK.AVG($T7,($J7,$O7,$T7,$Y7))-1)*2+1),0))</f>
        <v>8.9</v>
      </c>
      <c r="AC7" s="47">
        <f>IF($Y7="","",ROUND(($Y7-30000)/1000,1)+(2.5-_xlfn.RANK.AVG($Y7,($J7,$O7,$T7,$Y7)))*20+IF(_xlfn.RANK.EQ($Y7,($J7,$O7,$T7,$Y7))=1,20/((_xlfn.RANK.AVG($Y7,($J7,$O7,$T7,$Y7))-1)*2+1),0))</f>
        <v>-12.7</v>
      </c>
      <c r="AE7" s="5"/>
      <c r="AF7" s="30"/>
      <c r="AG7" s="23"/>
      <c r="AH7" s="23">
        <v>1</v>
      </c>
      <c r="AI7" s="23"/>
      <c r="AJ7" s="27"/>
      <c r="AK7" s="36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/>
      <c r="BA7" s="30"/>
      <c r="BB7" s="23"/>
      <c r="BC7" s="23">
        <v>1</v>
      </c>
      <c r="BD7" s="23"/>
      <c r="BE7" s="27"/>
      <c r="BF7" s="36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/>
      <c r="BV7" s="30"/>
      <c r="BW7" s="23"/>
      <c r="BX7" s="23"/>
      <c r="BY7" s="23"/>
      <c r="BZ7" s="27"/>
      <c r="CA7" s="36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/>
      <c r="CQ7" s="30"/>
      <c r="CR7" s="23">
        <v>1</v>
      </c>
      <c r="CS7" s="23"/>
      <c r="CT7" s="23">
        <v>2</v>
      </c>
      <c r="CU7" s="27">
        <v>30</v>
      </c>
      <c r="CV7" s="36" t="s">
        <v>170</v>
      </c>
      <c r="CW7" s="37" t="s">
        <v>73</v>
      </c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55000000000000004">
      <c r="A8" s="10" t="str">
        <f t="shared" si="1"/>
        <v>東</v>
      </c>
      <c r="B8" s="15">
        <f t="shared" si="5"/>
        <v>4</v>
      </c>
      <c r="C8" s="15">
        <f t="shared" si="6"/>
        <v>0</v>
      </c>
      <c r="D8" s="15">
        <f>IF($E8="","",IF(OR($F7="流局",$F7="チョンボ"),D7+($H7+$M7+$R7+$W7)/-1000,0))</f>
        <v>0</v>
      </c>
      <c r="E8" s="58" t="str">
        <f>IF($U$1="","",$U$1)</f>
        <v>中村花菜</v>
      </c>
      <c r="F8" s="5" t="s">
        <v>165</v>
      </c>
      <c r="G8" s="6">
        <v>-3900</v>
      </c>
      <c r="H8" s="6"/>
      <c r="I8" s="6">
        <v>0</v>
      </c>
      <c r="J8" s="18">
        <f t="shared" si="2"/>
        <v>26500</v>
      </c>
      <c r="K8" s="5"/>
      <c r="L8" s="6"/>
      <c r="M8" s="6"/>
      <c r="N8" s="6"/>
      <c r="O8" s="18">
        <f t="shared" si="8"/>
        <v>13400</v>
      </c>
      <c r="P8" s="5" t="s">
        <v>166</v>
      </c>
      <c r="Q8" s="6">
        <v>3900</v>
      </c>
      <c r="R8" s="6"/>
      <c r="S8" s="6">
        <v>0</v>
      </c>
      <c r="T8" s="18">
        <f t="shared" si="3"/>
        <v>32800</v>
      </c>
      <c r="U8" s="5"/>
      <c r="V8" s="6"/>
      <c r="W8" s="6"/>
      <c r="X8" s="6"/>
      <c r="Y8" s="18">
        <f t="shared" si="4"/>
        <v>27300</v>
      </c>
      <c r="Z8" s="45">
        <f>IF($J8="","",ROUND(($J8-30000)/1000,1)+(2.5-_xlfn.RANK.AVG($J8,($J8,$O8,$T8,$Y8)))*20+IF(_xlfn.RANK.EQ($J8,($J8,$O8,$T8,$Y8))=1,20/((_xlfn.RANK.AVG($J8,($J8,$O8,$T8,$Y8))-1)*2+1),0))</f>
        <v>-13.5</v>
      </c>
      <c r="AA8" s="46">
        <f>IF($O8="","",ROUND(($O8-30000)/1000,1)+(2.5-_xlfn.RANK.AVG($O8,($J8,$O8,$T8,$Y8)))*20+IF(_xlfn.RANK.EQ($O8,($J8,$O8,$T8,$Y8))=1,20/((_xlfn.RANK.AVG($O8,($J8,$O8,$T8,$Y8))-1)*2+1),0))</f>
        <v>-46.6</v>
      </c>
      <c r="AB8" s="46">
        <f>IF($T8="","",ROUND(($T8-30000)/1000,1)+(2.5-_xlfn.RANK.AVG($T8,($J8,$O8,$T8,$Y8)))*20+IF(_xlfn.RANK.EQ($T8,($J8,$O8,$T8,$Y8))=1,20/((_xlfn.RANK.AVG($T8,($J8,$O8,$T8,$Y8))-1)*2+1),0))</f>
        <v>52.8</v>
      </c>
      <c r="AC8" s="47">
        <f>IF($Y8="","",ROUND(($Y8-30000)/1000,1)+(2.5-_xlfn.RANK.AVG($Y8,($J8,$O8,$T8,$Y8)))*20+IF(_xlfn.RANK.EQ($Y8,($J8,$O8,$T8,$Y8))=1,20/((_xlfn.RANK.AVG($Y8,($J8,$O8,$T8,$Y8))-1)*2+1),0))</f>
        <v>7.3</v>
      </c>
      <c r="AE8" s="5"/>
      <c r="AF8" s="30"/>
      <c r="AG8" s="23"/>
      <c r="AH8" s="23"/>
      <c r="AI8" s="23"/>
      <c r="AJ8" s="27"/>
      <c r="AK8" s="36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/>
      <c r="BA8" s="30"/>
      <c r="BB8" s="23"/>
      <c r="BC8" s="23"/>
      <c r="BD8" s="23"/>
      <c r="BE8" s="27"/>
      <c r="BF8" s="36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/>
      <c r="BV8" s="30"/>
      <c r="BW8" s="23"/>
      <c r="BX8" s="23">
        <v>1</v>
      </c>
      <c r="BY8" s="23">
        <v>3</v>
      </c>
      <c r="BZ8" s="27">
        <v>30</v>
      </c>
      <c r="CA8" s="36" t="s">
        <v>77</v>
      </c>
      <c r="CB8" s="37" t="s">
        <v>70</v>
      </c>
      <c r="CC8" s="37" t="s">
        <v>171</v>
      </c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/>
      <c r="CQ8" s="30"/>
      <c r="CR8" s="23"/>
      <c r="CS8" s="23"/>
      <c r="CT8" s="23"/>
      <c r="CU8" s="27"/>
      <c r="CV8" s="36"/>
      <c r="CW8" s="37"/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55000000000000004">
      <c r="A9" s="10" t="str">
        <f t="shared" si="1"/>
        <v>南</v>
      </c>
      <c r="B9" s="15">
        <f t="shared" si="5"/>
        <v>1</v>
      </c>
      <c r="C9" s="15">
        <f t="shared" si="6"/>
        <v>0</v>
      </c>
      <c r="D9" s="15">
        <f t="shared" si="7"/>
        <v>0</v>
      </c>
      <c r="E9" s="58" t="str">
        <f>IF($F$1="","",$F$1)</f>
        <v>所附快和</v>
      </c>
      <c r="F9" s="5" t="s">
        <v>173</v>
      </c>
      <c r="G9" s="6">
        <v>18000</v>
      </c>
      <c r="H9" s="6">
        <v>1000</v>
      </c>
      <c r="I9" s="6">
        <v>0</v>
      </c>
      <c r="J9" s="18">
        <f t="shared" si="2"/>
        <v>45500</v>
      </c>
      <c r="K9" s="5" t="s">
        <v>172</v>
      </c>
      <c r="L9" s="6">
        <v>-6000</v>
      </c>
      <c r="M9" s="6">
        <v>-1000</v>
      </c>
      <c r="N9" s="6">
        <v>0</v>
      </c>
      <c r="O9" s="18">
        <f t="shared" si="8"/>
        <v>6400</v>
      </c>
      <c r="P9" s="5" t="s">
        <v>172</v>
      </c>
      <c r="Q9" s="6">
        <v>-6000</v>
      </c>
      <c r="R9" s="6"/>
      <c r="S9" s="6">
        <v>0</v>
      </c>
      <c r="T9" s="18">
        <f t="shared" si="3"/>
        <v>26800</v>
      </c>
      <c r="U9" s="5" t="s">
        <v>172</v>
      </c>
      <c r="V9" s="6">
        <v>-6000</v>
      </c>
      <c r="W9" s="6"/>
      <c r="X9" s="6">
        <v>0</v>
      </c>
      <c r="Y9" s="18">
        <f t="shared" si="4"/>
        <v>21300</v>
      </c>
      <c r="Z9" s="45">
        <f>IF($J9="","",ROUND(($J9-30000)/1000,1)+(2.5-_xlfn.RANK.AVG($J9,($J9,$O9,$T9,$Y9)))*20+IF(_xlfn.RANK.EQ($J9,($J9,$O9,$T9,$Y9))=1,20/((_xlfn.RANK.AVG($J9,($J9,$O9,$T9,$Y9))-1)*2+1),0))</f>
        <v>65.5</v>
      </c>
      <c r="AA9" s="46">
        <f>IF($O9="","",ROUND(($O9-30000)/1000,1)+(2.5-_xlfn.RANK.AVG($O9,($J9,$O9,$T9,$Y9)))*20+IF(_xlfn.RANK.EQ($O9,($J9,$O9,$T9,$Y9))=1,20/((_xlfn.RANK.AVG($O9,($J9,$O9,$T9,$Y9))-1)*2+1),0))</f>
        <v>-53.6</v>
      </c>
      <c r="AB9" s="46">
        <f>IF($T9="","",ROUND(($T9-30000)/1000,1)+(2.5-_xlfn.RANK.AVG($T9,($J9,$O9,$T9,$Y9)))*20+IF(_xlfn.RANK.EQ($T9,($J9,$O9,$T9,$Y9))=1,20/((_xlfn.RANK.AVG($T9,($J9,$O9,$T9,$Y9))-1)*2+1),0))</f>
        <v>6.8</v>
      </c>
      <c r="AC9" s="47">
        <f>IF($Y9="","",ROUND(($Y9-30000)/1000,1)+(2.5-_xlfn.RANK.AVG($Y9,($J9,$O9,$T9,$Y9)))*20+IF(_xlfn.RANK.EQ($Y9,($J9,$O9,$T9,$Y9))=1,20/((_xlfn.RANK.AVG($Y9,($J9,$O9,$T9,$Y9))-1)*2+1),0))</f>
        <v>-18.7</v>
      </c>
      <c r="AE9" s="5"/>
      <c r="AF9" s="30"/>
      <c r="AG9" s="23">
        <v>1</v>
      </c>
      <c r="AH9" s="23"/>
      <c r="AI9" s="23">
        <v>7</v>
      </c>
      <c r="AJ9" s="27" t="s">
        <v>175</v>
      </c>
      <c r="AK9" s="36" t="s">
        <v>170</v>
      </c>
      <c r="AL9" s="37" t="s">
        <v>73</v>
      </c>
      <c r="AM9" s="37" t="s">
        <v>76</v>
      </c>
      <c r="AN9" s="37" t="s">
        <v>171</v>
      </c>
      <c r="AO9" s="37" t="s">
        <v>171</v>
      </c>
      <c r="AP9" s="37" t="s">
        <v>171</v>
      </c>
      <c r="AQ9" s="37" t="s">
        <v>71</v>
      </c>
      <c r="AR9" s="37"/>
      <c r="AS9" s="37"/>
      <c r="AT9" s="37"/>
      <c r="AU9" s="37"/>
      <c r="AV9" s="37"/>
      <c r="AW9" s="37"/>
      <c r="AX9" s="37"/>
      <c r="AY9" s="38"/>
      <c r="AZ9" s="5"/>
      <c r="BA9" s="30"/>
      <c r="BB9" s="23">
        <v>1</v>
      </c>
      <c r="BC9" s="23"/>
      <c r="BD9" s="23"/>
      <c r="BE9" s="27"/>
      <c r="BF9" s="36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/>
      <c r="BV9" s="30"/>
      <c r="BW9" s="23"/>
      <c r="BX9" s="23"/>
      <c r="BY9" s="23"/>
      <c r="BZ9" s="27"/>
      <c r="CA9" s="36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/>
      <c r="CQ9" s="30"/>
      <c r="CR9" s="23"/>
      <c r="CS9" s="23">
        <v>1</v>
      </c>
      <c r="CT9" s="23"/>
      <c r="CU9" s="27"/>
      <c r="CV9" s="36"/>
      <c r="CW9" s="37"/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55000000000000004">
      <c r="A10" s="10" t="str">
        <f>IF($E10="","",IF(AND(B9=4,B10=1),_xlfn.SWITCH(A9,"東","南","南","西","西","北","北","東"),A9))</f>
        <v>南</v>
      </c>
      <c r="B10" s="15">
        <f t="shared" si="5"/>
        <v>1</v>
      </c>
      <c r="C10" s="15">
        <f t="shared" si="6"/>
        <v>1</v>
      </c>
      <c r="D10" s="15">
        <f t="shared" si="7"/>
        <v>0</v>
      </c>
      <c r="E10" s="58" t="str">
        <f>IF($F$1="","",$F$1)</f>
        <v>所附快和</v>
      </c>
      <c r="F10" s="5" t="s">
        <v>169</v>
      </c>
      <c r="G10" s="6">
        <v>-1500</v>
      </c>
      <c r="H10" s="6">
        <v>2000</v>
      </c>
      <c r="I10" s="6"/>
      <c r="J10" s="18">
        <f t="shared" si="2"/>
        <v>46000</v>
      </c>
      <c r="K10" s="5" t="s">
        <v>169</v>
      </c>
      <c r="L10" s="6">
        <v>1500</v>
      </c>
      <c r="M10" s="6">
        <v>-1000</v>
      </c>
      <c r="N10" s="6"/>
      <c r="O10" s="18">
        <f t="shared" si="8"/>
        <v>6900</v>
      </c>
      <c r="P10" s="5" t="s">
        <v>169</v>
      </c>
      <c r="Q10" s="6">
        <v>-1500</v>
      </c>
      <c r="R10" s="6"/>
      <c r="S10" s="6"/>
      <c r="T10" s="18">
        <f t="shared" si="3"/>
        <v>25300</v>
      </c>
      <c r="U10" s="5" t="s">
        <v>169</v>
      </c>
      <c r="V10" s="6">
        <v>1500</v>
      </c>
      <c r="W10" s="6">
        <v>-1000</v>
      </c>
      <c r="X10" s="6"/>
      <c r="Y10" s="18">
        <f t="shared" si="4"/>
        <v>21800</v>
      </c>
      <c r="Z10" s="45">
        <f>IF($J10="","",ROUND(($J10-30000)/1000,1)+(2.5-_xlfn.RANK.AVG($J10,($J10,$O10,$T10,$Y10)))*20+IF(_xlfn.RANK.EQ($J10,($J10,$O10,$T10,$Y10))=1,20/((_xlfn.RANK.AVG($J10,($J10,$O10,$T10,$Y10))-1)*2+1),0))</f>
        <v>66</v>
      </c>
      <c r="AA10" s="46">
        <f>IF($O10="","",ROUND(($O10-30000)/1000,1)+(2.5-_xlfn.RANK.AVG($O10,($J10,$O10,$T10,$Y10)))*20+IF(_xlfn.RANK.EQ($O10,($J10,$O10,$T10,$Y10))=1,20/((_xlfn.RANK.AVG($O10,($J10,$O10,$T10,$Y10))-1)*2+1),0))</f>
        <v>-53.1</v>
      </c>
      <c r="AB10" s="46">
        <f>IF($T10="","",ROUND(($T10-30000)/1000,1)+(2.5-_xlfn.RANK.AVG($T10,($J10,$O10,$T10,$Y10)))*20+IF(_xlfn.RANK.EQ($T10,($J10,$O10,$T10,$Y10))=1,20/((_xlfn.RANK.AVG($T10,($J10,$O10,$T10,$Y10))-1)*2+1),0))</f>
        <v>5.3</v>
      </c>
      <c r="AC10" s="47">
        <f>IF($Y10="","",ROUND(($Y10-30000)/1000,1)+(2.5-_xlfn.RANK.AVG($Y10,($J10,$O10,$T10,$Y10)))*20+IF(_xlfn.RANK.EQ($Y10,($J10,$O10,$T10,$Y10))=1,20/((_xlfn.RANK.AVG($Y10,($J10,$O10,$T10,$Y10))-1)*2+1),0))</f>
        <v>-18.2</v>
      </c>
      <c r="AE10" s="5" t="s">
        <v>167</v>
      </c>
      <c r="AF10" s="30"/>
      <c r="AG10" s="23"/>
      <c r="AH10" s="23">
        <v>1</v>
      </c>
      <c r="AI10" s="23"/>
      <c r="AJ10" s="27"/>
      <c r="AK10" s="36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 t="s">
        <v>168</v>
      </c>
      <c r="BA10" s="30"/>
      <c r="BB10" s="23">
        <v>1</v>
      </c>
      <c r="BC10" s="23"/>
      <c r="BD10" s="23"/>
      <c r="BE10" s="27"/>
      <c r="BF10" s="36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 t="s">
        <v>167</v>
      </c>
      <c r="BV10" s="30"/>
      <c r="BW10" s="23"/>
      <c r="BX10" s="23"/>
      <c r="BY10" s="23"/>
      <c r="BZ10" s="27"/>
      <c r="CA10" s="36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 t="s">
        <v>168</v>
      </c>
      <c r="CQ10" s="30"/>
      <c r="CR10" s="23">
        <v>1</v>
      </c>
      <c r="CS10" s="23"/>
      <c r="CT10" s="23"/>
      <c r="CU10" s="27"/>
      <c r="CV10" s="36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55000000000000004">
      <c r="A11" s="10" t="str">
        <f t="shared" ref="A11:A30" si="9">IF($E11="","",IF(AND(B10=4,B11=1),_xlfn.SWITCH(A10,"東","南","南","西","西","北","北","東"),A10))</f>
        <v/>
      </c>
      <c r="B11" s="15" t="str">
        <f t="shared" si="5"/>
        <v/>
      </c>
      <c r="C11" s="15" t="str">
        <f t="shared" si="6"/>
        <v/>
      </c>
      <c r="D11" s="15" t="str">
        <f t="shared" si="7"/>
        <v/>
      </c>
      <c r="E11" s="58"/>
      <c r="F11" s="5"/>
      <c r="G11" s="6"/>
      <c r="H11" s="6"/>
      <c r="I11" s="6"/>
      <c r="J11" s="18" t="str">
        <f t="shared" si="2"/>
        <v/>
      </c>
      <c r="K11" s="5"/>
      <c r="L11" s="6"/>
      <c r="M11" s="6"/>
      <c r="N11" s="6"/>
      <c r="O11" s="18" t="str">
        <f t="shared" si="8"/>
        <v/>
      </c>
      <c r="P11" s="5"/>
      <c r="Q11" s="6"/>
      <c r="R11" s="6"/>
      <c r="S11" s="6"/>
      <c r="T11" s="18" t="str">
        <f t="shared" si="3"/>
        <v/>
      </c>
      <c r="U11" s="5"/>
      <c r="V11" s="6"/>
      <c r="W11" s="6"/>
      <c r="X11" s="6"/>
      <c r="Y11" s="18" t="str">
        <f t="shared" si="4"/>
        <v/>
      </c>
      <c r="Z11" s="45" t="str">
        <f>IF($J11="","",ROUND(($J11-30000)/1000,1)+(2.5-_xlfn.RANK.AVG($J11,($J11,$O11,$T11,$Y11)))*20+IF(_xlfn.RANK.EQ($J11,($J11,$O11,$T11,$Y11))=1,20/((_xlfn.RANK.AVG($J11,($J11,$O11,$T11,$Y11))-1)*2+1),0))</f>
        <v/>
      </c>
      <c r="AA11" s="46" t="str">
        <f>IF($O11="","",ROUND(($O11-30000)/1000,1)+(2.5-_xlfn.RANK.AVG($O11,($J11,$O11,$T11,$Y11)))*20+IF(_xlfn.RANK.EQ($O11,($J11,$O11,$T11,$Y11))=1,20/((_xlfn.RANK.AVG($O11,($J11,$O11,$T11,$Y11))-1)*2+1),0))</f>
        <v/>
      </c>
      <c r="AB11" s="46" t="str">
        <f>IF($T11="","",ROUND(($T11-30000)/1000,1)+(2.5-_xlfn.RANK.AVG($T11,($J11,$O11,$T11,$Y11)))*20+IF(_xlfn.RANK.EQ($T11,($J11,$O11,$T11,$Y11))=1,20/((_xlfn.RANK.AVG($T11,($J11,$O11,$T11,$Y11))-1)*2+1),0))</f>
        <v/>
      </c>
      <c r="AC11" s="47" t="str">
        <f>IF($Y11="","",ROUND(($Y11-30000)/1000,1)+(2.5-_xlfn.RANK.AVG($Y11,($J11,$O11,$T11,$Y11)))*20+IF(_xlfn.RANK.EQ($Y11,($J11,$O11,$T11,$Y11))=1,20/((_xlfn.RANK.AVG($Y11,($J11,$O11,$T11,$Y11))-1)*2+1),0))</f>
        <v/>
      </c>
      <c r="AE11" s="5"/>
      <c r="AF11" s="30"/>
      <c r="AG11" s="23"/>
      <c r="AH11" s="23"/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/>
      <c r="BC11" s="23"/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3"/>
      <c r="BX11" s="23"/>
      <c r="BY11" s="23"/>
      <c r="BZ11" s="27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/>
      <c r="CS11" s="23"/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55000000000000004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58"/>
      <c r="F12" s="5"/>
      <c r="G12" s="6"/>
      <c r="H12" s="6"/>
      <c r="I12" s="6"/>
      <c r="J12" s="18" t="str">
        <f t="shared" si="2"/>
        <v/>
      </c>
      <c r="K12" s="5"/>
      <c r="L12" s="6"/>
      <c r="M12" s="6"/>
      <c r="N12" s="6"/>
      <c r="O12" s="18" t="str">
        <f t="shared" si="8"/>
        <v/>
      </c>
      <c r="P12" s="5"/>
      <c r="Q12" s="6"/>
      <c r="R12" s="6"/>
      <c r="S12" s="6"/>
      <c r="T12" s="18" t="str">
        <f t="shared" si="3"/>
        <v/>
      </c>
      <c r="U12" s="5"/>
      <c r="V12" s="6"/>
      <c r="W12" s="6"/>
      <c r="X12" s="6"/>
      <c r="Y12" s="18" t="str">
        <f t="shared" si="4"/>
        <v/>
      </c>
      <c r="Z12" s="45" t="str">
        <f>IF($J12="","",ROUND(($J12-30000)/1000,1)+(2.5-_xlfn.RANK.AVG($J12,($J12,$O12,$T12,$Y12)))*20+IF(_xlfn.RANK.EQ($J12,($J12,$O12,$T12,$Y12))=1,20/((_xlfn.RANK.AVG($J12,($J12,$O12,$T12,$Y12))-1)*2+1),0))</f>
        <v/>
      </c>
      <c r="AA12" s="46" t="str">
        <f>IF($O12="","",ROUND(($O12-30000)/1000,1)+(2.5-_xlfn.RANK.AVG($O12,($J12,$O12,$T12,$Y12)))*20+IF(_xlfn.RANK.EQ($O12,($J12,$O12,$T12,$Y12))=1,20/((_xlfn.RANK.AVG($O12,($J12,$O12,$T12,$Y12))-1)*2+1),0))</f>
        <v/>
      </c>
      <c r="AB12" s="46" t="str">
        <f>IF($T12="","",ROUND(($T12-30000)/1000,1)+(2.5-_xlfn.RANK.AVG($T12,($J12,$O12,$T12,$Y12)))*20+IF(_xlfn.RANK.EQ($T12,($J12,$O12,$T12,$Y12))=1,20/((_xlfn.RANK.AVG($T12,($J12,$O12,$T12,$Y12))-1)*2+1),0))</f>
        <v/>
      </c>
      <c r="AC12" s="47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0"/>
      <c r="AG12" s="23"/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/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55000000000000004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58"/>
      <c r="F13" s="5"/>
      <c r="G13" s="6"/>
      <c r="H13" s="6"/>
      <c r="I13" s="6"/>
      <c r="J13" s="18" t="str">
        <f t="shared" si="2"/>
        <v/>
      </c>
      <c r="K13" s="5"/>
      <c r="L13" s="6"/>
      <c r="M13" s="6"/>
      <c r="N13" s="6"/>
      <c r="O13" s="18" t="str">
        <f t="shared" si="8"/>
        <v/>
      </c>
      <c r="P13" s="5"/>
      <c r="Q13" s="6"/>
      <c r="R13" s="6"/>
      <c r="S13" s="6"/>
      <c r="T13" s="18" t="str">
        <f t="shared" si="3"/>
        <v/>
      </c>
      <c r="U13" s="5"/>
      <c r="V13" s="6"/>
      <c r="W13" s="6"/>
      <c r="X13" s="6"/>
      <c r="Y13" s="18" t="str">
        <f t="shared" si="4"/>
        <v/>
      </c>
      <c r="Z13" s="45" t="str">
        <f>IF($J13="","",ROUND(($J13-30000)/1000,1)+(2.5-_xlfn.RANK.AVG($J13,($J13,$O13,$T13,$Y13)))*20+IF(_xlfn.RANK.EQ($J13,($J13,$O13,$T13,$Y13))=1,20/((_xlfn.RANK.AVG($J13,($J13,$O13,$T13,$Y13))-1)*2+1),0))</f>
        <v/>
      </c>
      <c r="AA13" s="46" t="str">
        <f>IF($O13="","",ROUND(($O13-30000)/1000,1)+(2.5-_xlfn.RANK.AVG($O13,($J13,$O13,$T13,$Y13)))*20+IF(_xlfn.RANK.EQ($O13,($J13,$O13,$T13,$Y13))=1,20/((_xlfn.RANK.AVG($O13,($J13,$O13,$T13,$Y13))-1)*2+1),0))</f>
        <v/>
      </c>
      <c r="AB13" s="46" t="str">
        <f>IF($T13="","",ROUND(($T13-30000)/1000,1)+(2.5-_xlfn.RANK.AVG($T13,($J13,$O13,$T13,$Y13)))*20+IF(_xlfn.RANK.EQ($T13,($J13,$O13,$T13,$Y13))=1,20/((_xlfn.RANK.AVG($T13,($J13,$O13,$T13,$Y13))-1)*2+1),0))</f>
        <v/>
      </c>
      <c r="AC13" s="47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55000000000000004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55000000000000004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55000000000000004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55000000000000004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55000000000000004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55000000000000004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55000000000000004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55000000000000004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55000000000000004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55000000000000004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55000000000000004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55000000000000004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55000000000000004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55000000000000004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55000000000000004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55000000000000004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55000000000000004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CP1:DJ1"/>
    <mergeCell ref="AK2:AY2"/>
    <mergeCell ref="BF2:BT2"/>
    <mergeCell ref="CA2:CO2"/>
    <mergeCell ref="CV2:DJ2"/>
    <mergeCell ref="K1:O1"/>
    <mergeCell ref="P1:T1"/>
    <mergeCell ref="U1:Y1"/>
    <mergeCell ref="Z1:AC1"/>
    <mergeCell ref="AE1:AY1"/>
    <mergeCell ref="AZ1:BT1"/>
    <mergeCell ref="A1:A2"/>
    <mergeCell ref="B1:B2"/>
    <mergeCell ref="C1:C2"/>
    <mergeCell ref="D1:D2"/>
    <mergeCell ref="E1:E2"/>
    <mergeCell ref="F1:J1"/>
  </mergeCells>
  <phoneticPr fontId="1"/>
  <conditionalFormatting sqref="F1:Y1">
    <cfRule type="duplicateValues" dxfId="0" priority="1"/>
  </conditionalFormatting>
  <dataValidations count="3">
    <dataValidation type="list" showInputMessage="1" showErrorMessage="1" sqref="K4:K30 P4:P30 F4:F30 U4:U30" xr:uid="{7E749815-F3E8-4F8A-960A-966C71B07E2D}">
      <formula1>"ロン,ツモ,放銃,ツモ支払,流局,チョンボ"</formula1>
    </dataValidation>
    <dataValidation type="list" allowBlank="1" showInputMessage="1" showErrorMessage="1" sqref="E4:E30" xr:uid="{6777CE9C-2427-4433-A2B1-9665CF757A23}">
      <formula1>$Z$2:$AC$2</formula1>
    </dataValidation>
    <dataValidation type="list" allowBlank="1" showInputMessage="1" sqref="F1:Y1" xr:uid="{7BA17D24-E4EA-4542-9CF3-C031399DD1BA}">
      <formula1>"百瀬成空,佐藤成浩,川上翔大,中川弘崇,宮澤七星,中村花菜,山本瑛人,春日爽,伊藤仁城,坂本羽弥斗,塩入悠,中村季暉,渡部陵瑛,湯本咲蔵,山本悠介,田名網新,石原凛人,唐澤聖矢,清水常緑,所附快和,長野柊馬,西野修世,高橋英将,佐藤成,有馬藍,柳澤奏太,宮坂晴海,手塚心優寧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44"/>
  <sheetViews>
    <sheetView workbookViewId="0"/>
  </sheetViews>
  <sheetFormatPr defaultRowHeight="18" x14ac:dyDescent="0.55000000000000004"/>
  <cols>
    <col min="1" max="1" width="9" style="32" customWidth="1"/>
    <col min="2" max="2" width="6.5" style="32" customWidth="1"/>
    <col min="3" max="3" width="19.1640625" style="12" bestFit="1" customWidth="1"/>
    <col min="4" max="5" width="6.5" style="12" customWidth="1"/>
  </cols>
  <sheetData>
    <row r="1" spans="1:5" x14ac:dyDescent="0.55000000000000004">
      <c r="A1" s="32" t="s">
        <v>26</v>
      </c>
      <c r="B1" s="32" t="s">
        <v>119</v>
      </c>
      <c r="C1" s="12" t="s">
        <v>27</v>
      </c>
      <c r="D1" s="12" t="s">
        <v>28</v>
      </c>
      <c r="E1" s="12" t="s">
        <v>29</v>
      </c>
    </row>
    <row r="2" spans="1:5" x14ac:dyDescent="0.55000000000000004">
      <c r="A2" s="32" t="s">
        <v>68</v>
      </c>
      <c r="B2" s="32" t="s">
        <v>120</v>
      </c>
      <c r="C2" s="12" t="s">
        <v>115</v>
      </c>
      <c r="D2" s="12">
        <v>1</v>
      </c>
    </row>
    <row r="3" spans="1:5" x14ac:dyDescent="0.55000000000000004">
      <c r="A3" s="32" t="s">
        <v>69</v>
      </c>
      <c r="B3" s="32" t="s">
        <v>129</v>
      </c>
      <c r="C3" s="12" t="s">
        <v>30</v>
      </c>
      <c r="D3" s="12">
        <v>1</v>
      </c>
    </row>
    <row r="4" spans="1:5" x14ac:dyDescent="0.55000000000000004">
      <c r="A4" s="32" t="s">
        <v>70</v>
      </c>
      <c r="B4" s="32" t="s">
        <v>122</v>
      </c>
      <c r="C4" s="12" t="s">
        <v>31</v>
      </c>
      <c r="D4" s="12">
        <v>1</v>
      </c>
      <c r="E4" s="12">
        <v>1</v>
      </c>
    </row>
    <row r="5" spans="1:5" x14ac:dyDescent="0.55000000000000004">
      <c r="A5" s="32" t="s">
        <v>71</v>
      </c>
      <c r="B5" s="32" t="s">
        <v>123</v>
      </c>
      <c r="C5" s="12" t="s">
        <v>32</v>
      </c>
      <c r="D5" s="12">
        <v>1</v>
      </c>
    </row>
    <row r="6" spans="1:5" x14ac:dyDescent="0.55000000000000004">
      <c r="A6" s="32" t="s">
        <v>72</v>
      </c>
      <c r="C6" s="12" t="s">
        <v>33</v>
      </c>
      <c r="D6" s="12">
        <v>1</v>
      </c>
      <c r="E6" s="12">
        <v>1</v>
      </c>
    </row>
    <row r="7" spans="1:5" x14ac:dyDescent="0.55000000000000004">
      <c r="A7" s="32" t="s">
        <v>73</v>
      </c>
      <c r="B7" s="32" t="s">
        <v>121</v>
      </c>
      <c r="C7" s="12" t="s">
        <v>34</v>
      </c>
      <c r="D7" s="12">
        <v>1</v>
      </c>
    </row>
    <row r="8" spans="1:5" x14ac:dyDescent="0.55000000000000004">
      <c r="A8" s="32" t="s">
        <v>74</v>
      </c>
      <c r="B8" s="32" t="s">
        <v>125</v>
      </c>
      <c r="C8" s="12" t="s">
        <v>35</v>
      </c>
      <c r="D8" s="12">
        <v>1</v>
      </c>
    </row>
    <row r="9" spans="1:5" x14ac:dyDescent="0.55000000000000004">
      <c r="A9" s="32" t="s">
        <v>75</v>
      </c>
      <c r="B9" s="32" t="s">
        <v>127</v>
      </c>
      <c r="C9" s="12" t="s">
        <v>36</v>
      </c>
      <c r="D9" s="12">
        <v>1</v>
      </c>
    </row>
    <row r="10" spans="1:5" x14ac:dyDescent="0.55000000000000004">
      <c r="A10" s="32" t="s">
        <v>76</v>
      </c>
      <c r="B10" s="32" t="s">
        <v>126</v>
      </c>
      <c r="C10" s="12" t="s">
        <v>112</v>
      </c>
      <c r="D10" s="12">
        <v>1</v>
      </c>
      <c r="E10" s="12">
        <v>1</v>
      </c>
    </row>
    <row r="11" spans="1:5" x14ac:dyDescent="0.55000000000000004">
      <c r="A11" s="32" t="s">
        <v>77</v>
      </c>
      <c r="B11" s="32" t="s">
        <v>128</v>
      </c>
      <c r="C11" s="12" t="s">
        <v>37</v>
      </c>
      <c r="D11" s="12">
        <v>1</v>
      </c>
      <c r="E11" s="12">
        <v>1</v>
      </c>
    </row>
    <row r="12" spans="1:5" x14ac:dyDescent="0.55000000000000004">
      <c r="A12" s="32" t="s">
        <v>78</v>
      </c>
      <c r="B12" s="32" t="s">
        <v>139</v>
      </c>
      <c r="C12" s="12" t="s">
        <v>38</v>
      </c>
      <c r="D12" s="12">
        <v>1</v>
      </c>
      <c r="E12" s="12">
        <v>1</v>
      </c>
    </row>
    <row r="13" spans="1:5" x14ac:dyDescent="0.55000000000000004">
      <c r="A13" s="32" t="s">
        <v>79</v>
      </c>
      <c r="B13" s="32" t="s">
        <v>140</v>
      </c>
      <c r="C13" s="12" t="s">
        <v>39</v>
      </c>
      <c r="D13" s="12">
        <v>1</v>
      </c>
      <c r="E13" s="12">
        <v>1</v>
      </c>
    </row>
    <row r="14" spans="1:5" x14ac:dyDescent="0.55000000000000004">
      <c r="A14" s="32" t="s">
        <v>80</v>
      </c>
      <c r="B14" s="32" t="s">
        <v>141</v>
      </c>
      <c r="C14" s="12" t="s">
        <v>40</v>
      </c>
      <c r="D14" s="12">
        <v>1</v>
      </c>
      <c r="E14" s="12">
        <v>1</v>
      </c>
    </row>
    <row r="15" spans="1:5" x14ac:dyDescent="0.55000000000000004">
      <c r="A15" s="32" t="s">
        <v>81</v>
      </c>
      <c r="B15" s="32" t="s">
        <v>142</v>
      </c>
      <c r="C15" s="12" t="s">
        <v>41</v>
      </c>
      <c r="D15" s="12">
        <v>1</v>
      </c>
      <c r="E15" s="12">
        <v>1</v>
      </c>
    </row>
    <row r="16" spans="1:5" x14ac:dyDescent="0.55000000000000004">
      <c r="A16" s="32" t="s">
        <v>82</v>
      </c>
      <c r="B16" s="32" t="s">
        <v>143</v>
      </c>
      <c r="C16" s="12" t="s">
        <v>42</v>
      </c>
      <c r="D16" s="12">
        <v>2</v>
      </c>
    </row>
    <row r="17" spans="1:5" x14ac:dyDescent="0.55000000000000004">
      <c r="A17" s="32" t="s">
        <v>83</v>
      </c>
      <c r="B17" s="32" t="s">
        <v>130</v>
      </c>
      <c r="C17" s="12" t="s">
        <v>43</v>
      </c>
      <c r="D17" s="12">
        <v>2</v>
      </c>
      <c r="E17" s="12">
        <v>1</v>
      </c>
    </row>
    <row r="18" spans="1:5" x14ac:dyDescent="0.55000000000000004">
      <c r="A18" s="32" t="s">
        <v>84</v>
      </c>
      <c r="B18" s="32" t="s">
        <v>136</v>
      </c>
      <c r="C18" s="12" t="s">
        <v>114</v>
      </c>
      <c r="D18" s="12">
        <v>2</v>
      </c>
      <c r="E18" s="12">
        <v>1</v>
      </c>
    </row>
    <row r="19" spans="1:5" x14ac:dyDescent="0.55000000000000004">
      <c r="A19" s="32" t="s">
        <v>85</v>
      </c>
      <c r="B19" s="32" t="s">
        <v>160</v>
      </c>
      <c r="C19" s="12" t="s">
        <v>44</v>
      </c>
      <c r="D19" s="12">
        <v>2</v>
      </c>
      <c r="E19" s="12">
        <v>1</v>
      </c>
    </row>
    <row r="20" spans="1:5" x14ac:dyDescent="0.55000000000000004">
      <c r="A20" s="32" t="s">
        <v>86</v>
      </c>
      <c r="B20" s="32" t="s">
        <v>138</v>
      </c>
      <c r="C20" s="12" t="s">
        <v>45</v>
      </c>
      <c r="D20" s="12">
        <v>2</v>
      </c>
      <c r="E20" s="12">
        <v>2</v>
      </c>
    </row>
    <row r="21" spans="1:5" x14ac:dyDescent="0.55000000000000004">
      <c r="A21" s="32" t="s">
        <v>87</v>
      </c>
      <c r="B21" s="32" t="s">
        <v>132</v>
      </c>
      <c r="C21" s="12" t="s">
        <v>46</v>
      </c>
      <c r="D21" s="12">
        <v>2</v>
      </c>
      <c r="E21" s="12">
        <v>2</v>
      </c>
    </row>
    <row r="22" spans="1:5" x14ac:dyDescent="0.55000000000000004">
      <c r="A22" s="32" t="s">
        <v>88</v>
      </c>
      <c r="B22" s="32" t="s">
        <v>145</v>
      </c>
      <c r="C22" s="12" t="s">
        <v>47</v>
      </c>
      <c r="D22" s="12">
        <v>2</v>
      </c>
      <c r="E22" s="12">
        <v>2</v>
      </c>
    </row>
    <row r="23" spans="1:5" x14ac:dyDescent="0.55000000000000004">
      <c r="A23" s="32" t="s">
        <v>89</v>
      </c>
      <c r="B23" s="32" t="s">
        <v>131</v>
      </c>
      <c r="C23" s="12" t="s">
        <v>48</v>
      </c>
      <c r="D23" s="12">
        <v>2</v>
      </c>
      <c r="E23" s="12">
        <v>2</v>
      </c>
    </row>
    <row r="24" spans="1:5" x14ac:dyDescent="0.55000000000000004">
      <c r="A24" s="32" t="s">
        <v>90</v>
      </c>
      <c r="B24" s="32" t="s">
        <v>146</v>
      </c>
      <c r="C24" s="12" t="s">
        <v>49</v>
      </c>
      <c r="D24" s="12">
        <v>2</v>
      </c>
      <c r="E24" s="12">
        <v>2</v>
      </c>
    </row>
    <row r="25" spans="1:5" x14ac:dyDescent="0.55000000000000004">
      <c r="A25" s="32" t="s">
        <v>91</v>
      </c>
      <c r="B25" s="32" t="s">
        <v>147</v>
      </c>
      <c r="C25" s="12" t="s">
        <v>50</v>
      </c>
      <c r="D25" s="12">
        <v>2</v>
      </c>
      <c r="E25" s="12">
        <v>2</v>
      </c>
    </row>
    <row r="26" spans="1:5" x14ac:dyDescent="0.55000000000000004">
      <c r="A26" s="32" t="s">
        <v>92</v>
      </c>
      <c r="B26" s="32" t="s">
        <v>135</v>
      </c>
      <c r="C26" s="12" t="s">
        <v>51</v>
      </c>
      <c r="D26" s="12">
        <v>2</v>
      </c>
    </row>
    <row r="27" spans="1:5" x14ac:dyDescent="0.55000000000000004">
      <c r="A27" s="32" t="s">
        <v>93</v>
      </c>
      <c r="B27" s="32" t="s">
        <v>144</v>
      </c>
      <c r="C27" s="12" t="s">
        <v>52</v>
      </c>
      <c r="D27" s="12">
        <v>3</v>
      </c>
    </row>
    <row r="28" spans="1:5" x14ac:dyDescent="0.55000000000000004">
      <c r="A28" s="32" t="s">
        <v>94</v>
      </c>
      <c r="B28" s="32" t="s">
        <v>137</v>
      </c>
      <c r="C28" s="12" t="s">
        <v>113</v>
      </c>
      <c r="D28" s="12">
        <v>3</v>
      </c>
      <c r="E28" s="12">
        <v>2</v>
      </c>
    </row>
    <row r="29" spans="1:5" x14ac:dyDescent="0.55000000000000004">
      <c r="A29" s="32" t="s">
        <v>95</v>
      </c>
      <c r="B29" s="32" t="s">
        <v>133</v>
      </c>
      <c r="C29" s="12" t="s">
        <v>53</v>
      </c>
      <c r="D29" s="12">
        <v>3</v>
      </c>
      <c r="E29" s="12">
        <v>2</v>
      </c>
    </row>
    <row r="30" spans="1:5" x14ac:dyDescent="0.55000000000000004">
      <c r="A30" s="32" t="s">
        <v>96</v>
      </c>
      <c r="C30" s="12" t="s">
        <v>54</v>
      </c>
      <c r="D30" s="12">
        <v>5</v>
      </c>
      <c r="E30" s="12">
        <v>5</v>
      </c>
    </row>
    <row r="31" spans="1:5" x14ac:dyDescent="0.55000000000000004">
      <c r="A31" s="32" t="s">
        <v>97</v>
      </c>
      <c r="B31" s="32" t="s">
        <v>134</v>
      </c>
      <c r="C31" s="12" t="s">
        <v>55</v>
      </c>
      <c r="D31" s="12">
        <v>6</v>
      </c>
      <c r="E31" s="12">
        <v>5</v>
      </c>
    </row>
    <row r="32" spans="1:5" x14ac:dyDescent="0.55000000000000004">
      <c r="A32" s="32" t="s">
        <v>98</v>
      </c>
      <c r="B32" s="32" t="s">
        <v>148</v>
      </c>
      <c r="C32" s="12" t="s">
        <v>56</v>
      </c>
      <c r="D32" s="12">
        <v>13</v>
      </c>
    </row>
    <row r="33" spans="1:5" x14ac:dyDescent="0.55000000000000004">
      <c r="A33" s="32" t="s">
        <v>99</v>
      </c>
      <c r="B33" s="32" t="s">
        <v>149</v>
      </c>
      <c r="C33" s="12" t="s">
        <v>57</v>
      </c>
      <c r="D33" s="12">
        <v>13</v>
      </c>
    </row>
    <row r="34" spans="1:5" x14ac:dyDescent="0.55000000000000004">
      <c r="A34" s="32" t="s">
        <v>100</v>
      </c>
      <c r="B34" s="32" t="s">
        <v>150</v>
      </c>
      <c r="C34" s="12" t="s">
        <v>58</v>
      </c>
      <c r="D34" s="12">
        <v>13</v>
      </c>
      <c r="E34" s="12">
        <v>13</v>
      </c>
    </row>
    <row r="35" spans="1:5" x14ac:dyDescent="0.55000000000000004">
      <c r="A35" s="32" t="s">
        <v>101</v>
      </c>
      <c r="B35" s="32" t="s">
        <v>151</v>
      </c>
      <c r="C35" s="12" t="s">
        <v>59</v>
      </c>
      <c r="D35" s="12">
        <v>13</v>
      </c>
      <c r="E35" s="12">
        <v>13</v>
      </c>
    </row>
    <row r="36" spans="1:5" x14ac:dyDescent="0.55000000000000004">
      <c r="A36" s="32" t="s">
        <v>102</v>
      </c>
      <c r="B36" s="32" t="s">
        <v>152</v>
      </c>
      <c r="C36" s="12" t="s">
        <v>60</v>
      </c>
      <c r="D36" s="12">
        <v>26</v>
      </c>
      <c r="E36" s="12">
        <v>26</v>
      </c>
    </row>
    <row r="37" spans="1:5" x14ac:dyDescent="0.55000000000000004">
      <c r="A37" s="32" t="s">
        <v>103</v>
      </c>
      <c r="B37" s="32" t="s">
        <v>153</v>
      </c>
      <c r="C37" s="12" t="s">
        <v>61</v>
      </c>
      <c r="D37" s="12">
        <v>13</v>
      </c>
      <c r="E37" s="12">
        <v>13</v>
      </c>
    </row>
    <row r="38" spans="1:5" x14ac:dyDescent="0.55000000000000004">
      <c r="A38" s="32" t="s">
        <v>104</v>
      </c>
      <c r="B38" s="32" t="s">
        <v>154</v>
      </c>
      <c r="C38" s="12" t="s">
        <v>62</v>
      </c>
      <c r="D38" s="12">
        <v>13</v>
      </c>
      <c r="E38" s="12">
        <v>13</v>
      </c>
    </row>
    <row r="39" spans="1:5" x14ac:dyDescent="0.55000000000000004">
      <c r="A39" s="32" t="s">
        <v>105</v>
      </c>
      <c r="B39" s="32" t="s">
        <v>155</v>
      </c>
      <c r="C39" s="12" t="s">
        <v>63</v>
      </c>
      <c r="D39" s="12">
        <v>13</v>
      </c>
      <c r="E39" s="12">
        <v>13</v>
      </c>
    </row>
    <row r="40" spans="1:5" x14ac:dyDescent="0.55000000000000004">
      <c r="A40" s="32" t="s">
        <v>106</v>
      </c>
      <c r="B40" s="32" t="s">
        <v>156</v>
      </c>
      <c r="C40" s="12" t="s">
        <v>64</v>
      </c>
      <c r="D40" s="12">
        <v>13</v>
      </c>
      <c r="E40" s="12">
        <v>13</v>
      </c>
    </row>
    <row r="41" spans="1:5" x14ac:dyDescent="0.55000000000000004">
      <c r="A41" s="32" t="s">
        <v>107</v>
      </c>
      <c r="B41" s="32" t="s">
        <v>157</v>
      </c>
      <c r="C41" s="12" t="s">
        <v>65</v>
      </c>
      <c r="D41" s="12">
        <v>13</v>
      </c>
    </row>
    <row r="42" spans="1:5" x14ac:dyDescent="0.55000000000000004">
      <c r="A42" s="32" t="s">
        <v>108</v>
      </c>
      <c r="B42" s="32" t="s">
        <v>158</v>
      </c>
      <c r="C42" s="12" t="s">
        <v>66</v>
      </c>
      <c r="D42" s="12">
        <v>13</v>
      </c>
    </row>
    <row r="43" spans="1:5" x14ac:dyDescent="0.55000000000000004">
      <c r="A43" s="32" t="s">
        <v>109</v>
      </c>
      <c r="B43" s="32" t="s">
        <v>159</v>
      </c>
      <c r="C43" s="12" t="s">
        <v>67</v>
      </c>
      <c r="D43" s="12">
        <v>13</v>
      </c>
    </row>
    <row r="44" spans="1:5" x14ac:dyDescent="0.55000000000000004">
      <c r="A44" s="32" t="s">
        <v>117</v>
      </c>
      <c r="B44" s="32" t="s">
        <v>124</v>
      </c>
      <c r="C44" s="12" t="s">
        <v>118</v>
      </c>
      <c r="D44" s="12">
        <v>1</v>
      </c>
      <c r="E44" s="12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3C1C-6EFD-4AFF-AE19-70CA70261350}">
  <sheetPr codeName="Sheet3"/>
  <dimension ref="A1:M13"/>
  <sheetViews>
    <sheetView workbookViewId="0">
      <selection sqref="A1:A2"/>
    </sheetView>
  </sheetViews>
  <sheetFormatPr defaultColWidth="9" defaultRowHeight="18" x14ac:dyDescent="0.55000000000000004"/>
  <cols>
    <col min="13" max="13" width="9" customWidth="1"/>
  </cols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55000000000000004">
      <c r="A3" s="12">
        <v>20</v>
      </c>
      <c r="E3">
        <v>3900</v>
      </c>
      <c r="F3">
        <v>7700</v>
      </c>
    </row>
    <row r="4" spans="1:13" x14ac:dyDescent="0.55000000000000004">
      <c r="A4" s="12">
        <v>25</v>
      </c>
      <c r="D4">
        <v>2400</v>
      </c>
      <c r="E4">
        <v>4800</v>
      </c>
      <c r="F4">
        <v>9600</v>
      </c>
    </row>
    <row r="5" spans="1:13" x14ac:dyDescent="0.55000000000000004">
      <c r="A5" s="12">
        <v>30</v>
      </c>
      <c r="C5">
        <v>1500</v>
      </c>
      <c r="D5">
        <v>2900</v>
      </c>
      <c r="E5">
        <v>5800</v>
      </c>
      <c r="F5">
        <v>12000</v>
      </c>
    </row>
    <row r="6" spans="1:13" x14ac:dyDescent="0.55000000000000004">
      <c r="A6" s="12">
        <v>40</v>
      </c>
      <c r="C6">
        <v>2000</v>
      </c>
      <c r="D6">
        <v>3900</v>
      </c>
      <c r="E6">
        <v>7700</v>
      </c>
      <c r="F6">
        <v>12000</v>
      </c>
    </row>
    <row r="7" spans="1:13" x14ac:dyDescent="0.55000000000000004">
      <c r="A7" s="12">
        <v>50</v>
      </c>
      <c r="C7">
        <v>2400</v>
      </c>
      <c r="D7">
        <v>4800</v>
      </c>
      <c r="E7">
        <v>9600</v>
      </c>
      <c r="F7">
        <v>12000</v>
      </c>
    </row>
    <row r="8" spans="1:13" x14ac:dyDescent="0.55000000000000004">
      <c r="A8" s="12">
        <v>60</v>
      </c>
      <c r="C8">
        <v>2900</v>
      </c>
      <c r="D8">
        <v>5800</v>
      </c>
      <c r="E8">
        <v>12000</v>
      </c>
      <c r="F8">
        <v>12000</v>
      </c>
    </row>
    <row r="9" spans="1:13" x14ac:dyDescent="0.55000000000000004">
      <c r="A9" s="12">
        <v>70</v>
      </c>
      <c r="C9">
        <v>3400</v>
      </c>
      <c r="D9">
        <v>6800</v>
      </c>
      <c r="E9">
        <v>12000</v>
      </c>
      <c r="F9">
        <v>12000</v>
      </c>
    </row>
    <row r="10" spans="1:13" x14ac:dyDescent="0.55000000000000004">
      <c r="A10" s="12">
        <v>80</v>
      </c>
      <c r="C10">
        <v>3900</v>
      </c>
      <c r="D10">
        <v>7700</v>
      </c>
      <c r="E10">
        <v>12000</v>
      </c>
      <c r="F10">
        <v>12000</v>
      </c>
    </row>
    <row r="11" spans="1:13" x14ac:dyDescent="0.55000000000000004">
      <c r="A11" s="12">
        <v>90</v>
      </c>
      <c r="C11">
        <v>4400</v>
      </c>
      <c r="D11">
        <v>8700</v>
      </c>
      <c r="E11">
        <v>12000</v>
      </c>
      <c r="F11">
        <v>12000</v>
      </c>
    </row>
    <row r="12" spans="1:13" x14ac:dyDescent="0.55000000000000004">
      <c r="A12" s="12">
        <v>100</v>
      </c>
      <c r="C12">
        <v>4800</v>
      </c>
      <c r="D12">
        <v>9600</v>
      </c>
      <c r="E12">
        <v>12000</v>
      </c>
      <c r="F12">
        <v>12000</v>
      </c>
    </row>
    <row r="13" spans="1:13" x14ac:dyDescent="0.55000000000000004">
      <c r="A13" s="12">
        <v>110</v>
      </c>
      <c r="D13">
        <v>10600</v>
      </c>
      <c r="E13">
        <v>12000</v>
      </c>
      <c r="F13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F6951-8C38-40FC-BCF1-21F7C9864FA7}">
  <sheetPr codeName="Sheet7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55000000000000004">
      <c r="A3" s="12">
        <v>20</v>
      </c>
      <c r="B3" t="s">
        <v>10</v>
      </c>
      <c r="C3" t="s">
        <v>10</v>
      </c>
      <c r="D3">
        <v>2100</v>
      </c>
      <c r="E3">
        <v>3900</v>
      </c>
      <c r="F3">
        <v>7800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55000000000000004">
      <c r="A4" s="12">
        <v>25</v>
      </c>
      <c r="B4" t="s">
        <v>10</v>
      </c>
      <c r="C4" t="s">
        <v>10</v>
      </c>
      <c r="D4" t="s">
        <v>10</v>
      </c>
      <c r="E4">
        <v>4800</v>
      </c>
      <c r="F4">
        <v>9600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55000000000000004">
      <c r="A5" s="12">
        <v>30</v>
      </c>
      <c r="B5" t="s">
        <v>10</v>
      </c>
      <c r="C5">
        <v>1500</v>
      </c>
      <c r="D5">
        <v>3000</v>
      </c>
      <c r="E5">
        <v>6000</v>
      </c>
      <c r="F5">
        <v>12000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55000000000000004">
      <c r="A6" s="12">
        <v>40</v>
      </c>
      <c r="B6" t="s">
        <v>10</v>
      </c>
      <c r="C6">
        <v>2100</v>
      </c>
      <c r="D6">
        <v>3900</v>
      </c>
      <c r="E6">
        <v>7800</v>
      </c>
      <c r="F6">
        <v>12000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55000000000000004">
      <c r="A7" s="12">
        <v>50</v>
      </c>
      <c r="B7" t="s">
        <v>10</v>
      </c>
      <c r="C7">
        <v>2400</v>
      </c>
      <c r="D7">
        <v>4800</v>
      </c>
      <c r="E7">
        <v>9600</v>
      </c>
      <c r="F7">
        <v>12000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55000000000000004">
      <c r="A8" s="12">
        <v>60</v>
      </c>
      <c r="B8" t="s">
        <v>10</v>
      </c>
      <c r="C8">
        <v>3000</v>
      </c>
      <c r="D8">
        <v>6000</v>
      </c>
      <c r="E8">
        <v>12000</v>
      </c>
      <c r="F8">
        <v>12000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55000000000000004">
      <c r="A9" s="12">
        <v>70</v>
      </c>
      <c r="B9" t="s">
        <v>10</v>
      </c>
      <c r="C9">
        <v>3600</v>
      </c>
      <c r="D9">
        <v>6900</v>
      </c>
      <c r="E9">
        <v>12000</v>
      </c>
      <c r="F9">
        <v>12000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55000000000000004">
      <c r="A10" s="12">
        <v>80</v>
      </c>
      <c r="B10" t="s">
        <v>10</v>
      </c>
      <c r="C10">
        <v>3900</v>
      </c>
      <c r="D10">
        <v>7800</v>
      </c>
      <c r="E10">
        <v>12000</v>
      </c>
      <c r="F10">
        <v>12000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55000000000000004">
      <c r="A11" s="12">
        <v>90</v>
      </c>
      <c r="B11" t="s">
        <v>10</v>
      </c>
      <c r="C11">
        <v>4500</v>
      </c>
      <c r="D11">
        <v>8700</v>
      </c>
      <c r="E11">
        <v>12000</v>
      </c>
      <c r="F11">
        <v>12000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55000000000000004">
      <c r="A12" s="12">
        <v>100</v>
      </c>
      <c r="B12" t="s">
        <v>10</v>
      </c>
      <c r="C12">
        <v>4800</v>
      </c>
      <c r="D12">
        <v>9600</v>
      </c>
      <c r="E12">
        <v>12000</v>
      </c>
      <c r="F12">
        <v>12000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55000000000000004">
      <c r="A13" s="12">
        <v>110</v>
      </c>
      <c r="B13" t="s">
        <v>10</v>
      </c>
      <c r="C13" t="s">
        <v>10</v>
      </c>
      <c r="D13">
        <v>10800</v>
      </c>
      <c r="E13">
        <v>12000</v>
      </c>
      <c r="F13">
        <v>12000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C09-2FC4-4F68-B3F0-0D8764CE8C5A}">
  <sheetPr codeName="Sheet6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55000000000000004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55000000000000004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55000000000000004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55000000000000004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55000000000000004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55000000000000004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55000000000000004">
      <c r="A9" s="12">
        <v>70</v>
      </c>
      <c r="C9">
        <v>-1200</v>
      </c>
      <c r="D9">
        <v>-2300</v>
      </c>
      <c r="E9">
        <v>-4000</v>
      </c>
      <c r="F9">
        <v>-4000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55000000000000004">
      <c r="A10" s="12">
        <v>80</v>
      </c>
      <c r="C10">
        <v>-1300</v>
      </c>
      <c r="D10">
        <v>-2600</v>
      </c>
      <c r="E10">
        <v>-4000</v>
      </c>
      <c r="F10">
        <v>-4000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55000000000000004">
      <c r="A11" s="12">
        <v>90</v>
      </c>
      <c r="C11">
        <v>-1500</v>
      </c>
      <c r="D11">
        <v>-2900</v>
      </c>
      <c r="E11">
        <v>-4000</v>
      </c>
      <c r="F11">
        <v>-4000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55000000000000004">
      <c r="A12" s="12">
        <v>100</v>
      </c>
      <c r="C12">
        <v>-1600</v>
      </c>
      <c r="D12">
        <v>-3200</v>
      </c>
      <c r="E12">
        <v>-4000</v>
      </c>
      <c r="F12">
        <v>-4000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55000000000000004">
      <c r="A13" s="12">
        <v>110</v>
      </c>
      <c r="C13" t="s">
        <v>10</v>
      </c>
      <c r="D13">
        <v>-3600</v>
      </c>
      <c r="E13">
        <v>-4000</v>
      </c>
      <c r="F13">
        <v>-4000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08D0-1143-402B-96AD-86BCE244041A}">
  <sheetPr codeName="Sheet4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55000000000000004">
      <c r="A3" s="12">
        <v>20</v>
      </c>
      <c r="C3" t="s">
        <v>10</v>
      </c>
      <c r="D3" t="s">
        <v>10</v>
      </c>
      <c r="E3">
        <v>2600</v>
      </c>
      <c r="F3">
        <v>5200</v>
      </c>
    </row>
    <row r="4" spans="1:13" x14ac:dyDescent="0.55000000000000004">
      <c r="A4" s="12">
        <v>25</v>
      </c>
      <c r="C4" t="s">
        <v>10</v>
      </c>
      <c r="D4">
        <v>1600</v>
      </c>
      <c r="E4">
        <v>3200</v>
      </c>
      <c r="F4">
        <v>6400</v>
      </c>
    </row>
    <row r="5" spans="1:13" x14ac:dyDescent="0.55000000000000004">
      <c r="A5" s="12">
        <v>30</v>
      </c>
      <c r="C5">
        <v>1000</v>
      </c>
      <c r="D5">
        <v>2000</v>
      </c>
      <c r="E5">
        <v>3900</v>
      </c>
      <c r="F5">
        <v>8000</v>
      </c>
    </row>
    <row r="6" spans="1:13" x14ac:dyDescent="0.55000000000000004">
      <c r="A6" s="12">
        <v>40</v>
      </c>
      <c r="C6">
        <v>1300</v>
      </c>
      <c r="D6">
        <v>2600</v>
      </c>
      <c r="E6">
        <v>5200</v>
      </c>
      <c r="F6">
        <v>8000</v>
      </c>
    </row>
    <row r="7" spans="1:13" x14ac:dyDescent="0.55000000000000004">
      <c r="A7" s="12">
        <v>50</v>
      </c>
      <c r="C7">
        <v>1600</v>
      </c>
      <c r="D7">
        <v>3200</v>
      </c>
      <c r="E7">
        <v>6400</v>
      </c>
      <c r="F7">
        <v>8000</v>
      </c>
    </row>
    <row r="8" spans="1:13" x14ac:dyDescent="0.55000000000000004">
      <c r="A8" s="12">
        <v>60</v>
      </c>
      <c r="C8">
        <v>2000</v>
      </c>
      <c r="D8">
        <v>3900</v>
      </c>
      <c r="E8">
        <v>8000</v>
      </c>
      <c r="F8">
        <v>8000</v>
      </c>
    </row>
    <row r="9" spans="1:13" x14ac:dyDescent="0.55000000000000004">
      <c r="A9" s="12">
        <v>70</v>
      </c>
      <c r="C9">
        <v>2300</v>
      </c>
      <c r="D9">
        <v>4500</v>
      </c>
      <c r="E9">
        <v>8000</v>
      </c>
      <c r="F9">
        <v>8000</v>
      </c>
    </row>
    <row r="10" spans="1:13" x14ac:dyDescent="0.55000000000000004">
      <c r="A10" s="12">
        <v>80</v>
      </c>
      <c r="C10">
        <v>2600</v>
      </c>
      <c r="D10">
        <v>5200</v>
      </c>
      <c r="E10">
        <v>8000</v>
      </c>
      <c r="F10">
        <v>8000</v>
      </c>
    </row>
    <row r="11" spans="1:13" x14ac:dyDescent="0.55000000000000004">
      <c r="A11" s="12">
        <v>90</v>
      </c>
      <c r="C11">
        <v>2900</v>
      </c>
      <c r="D11">
        <v>5800</v>
      </c>
      <c r="E11">
        <v>8000</v>
      </c>
      <c r="F11">
        <v>8000</v>
      </c>
    </row>
    <row r="12" spans="1:13" x14ac:dyDescent="0.55000000000000004">
      <c r="A12" s="12">
        <v>100</v>
      </c>
      <c r="C12">
        <v>3200</v>
      </c>
      <c r="D12">
        <v>6400</v>
      </c>
      <c r="E12">
        <v>8000</v>
      </c>
      <c r="F12">
        <v>8000</v>
      </c>
    </row>
    <row r="13" spans="1:13" x14ac:dyDescent="0.55000000000000004">
      <c r="A13" s="12">
        <v>110</v>
      </c>
      <c r="C13" t="s">
        <v>10</v>
      </c>
      <c r="D13">
        <v>7100</v>
      </c>
      <c r="E13">
        <v>8000</v>
      </c>
      <c r="F13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9D10E-0A6F-44BA-B3C3-FCBACA90C836}">
  <sheetPr codeName="Sheet8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55000000000000004">
      <c r="A3" s="12">
        <v>20</v>
      </c>
      <c r="B3" t="s">
        <v>10</v>
      </c>
      <c r="C3" t="s">
        <v>10</v>
      </c>
      <c r="D3">
        <v>1500</v>
      </c>
      <c r="E3">
        <v>2700</v>
      </c>
      <c r="F3">
        <v>5200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55000000000000004">
      <c r="A4" s="12">
        <v>25</v>
      </c>
      <c r="B4" t="s">
        <v>10</v>
      </c>
      <c r="C4" t="s">
        <v>10</v>
      </c>
      <c r="D4" t="s">
        <v>10</v>
      </c>
      <c r="E4">
        <v>3200</v>
      </c>
      <c r="F4">
        <v>6400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55000000000000004">
      <c r="A5" s="12">
        <v>30</v>
      </c>
      <c r="B5" t="s">
        <v>10</v>
      </c>
      <c r="C5">
        <v>1100</v>
      </c>
      <c r="D5">
        <v>2000</v>
      </c>
      <c r="E5">
        <v>4000</v>
      </c>
      <c r="F5">
        <v>8000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55000000000000004">
      <c r="A6" s="12">
        <v>40</v>
      </c>
      <c r="B6" t="s">
        <v>10</v>
      </c>
      <c r="C6">
        <v>1500</v>
      </c>
      <c r="D6">
        <v>2700</v>
      </c>
      <c r="E6">
        <v>5200</v>
      </c>
      <c r="F6">
        <v>8000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55000000000000004">
      <c r="A7" s="12">
        <v>50</v>
      </c>
      <c r="B7" t="s">
        <v>10</v>
      </c>
      <c r="C7">
        <v>1600</v>
      </c>
      <c r="D7">
        <v>3200</v>
      </c>
      <c r="E7">
        <v>6400</v>
      </c>
      <c r="F7">
        <v>8000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55000000000000004">
      <c r="A8" s="12">
        <v>60</v>
      </c>
      <c r="B8" t="s">
        <v>10</v>
      </c>
      <c r="C8">
        <v>2000</v>
      </c>
      <c r="D8">
        <v>4000</v>
      </c>
      <c r="E8">
        <v>8000</v>
      </c>
      <c r="F8">
        <v>8000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55000000000000004">
      <c r="A9" s="12">
        <v>70</v>
      </c>
      <c r="B9" t="s">
        <v>10</v>
      </c>
      <c r="C9">
        <v>2400</v>
      </c>
      <c r="D9">
        <v>4700</v>
      </c>
      <c r="E9">
        <v>8000</v>
      </c>
      <c r="F9">
        <v>8000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55000000000000004">
      <c r="A10" s="12">
        <v>80</v>
      </c>
      <c r="B10" t="s">
        <v>10</v>
      </c>
      <c r="C10">
        <v>2700</v>
      </c>
      <c r="D10">
        <v>5200</v>
      </c>
      <c r="E10">
        <v>8000</v>
      </c>
      <c r="F10">
        <v>8000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55000000000000004">
      <c r="A11" s="12">
        <v>90</v>
      </c>
      <c r="B11" t="s">
        <v>10</v>
      </c>
      <c r="C11">
        <v>3100</v>
      </c>
      <c r="D11">
        <v>5900</v>
      </c>
      <c r="E11">
        <v>8000</v>
      </c>
      <c r="F11">
        <v>8000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55000000000000004">
      <c r="A12" s="12">
        <v>100</v>
      </c>
      <c r="B12" t="s">
        <v>10</v>
      </c>
      <c r="C12">
        <v>3200</v>
      </c>
      <c r="D12">
        <v>6400</v>
      </c>
      <c r="E12">
        <v>8000</v>
      </c>
      <c r="F12">
        <v>8000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55000000000000004">
      <c r="A13" s="12">
        <v>110</v>
      </c>
      <c r="B13" t="s">
        <v>10</v>
      </c>
      <c r="C13" t="s">
        <v>10</v>
      </c>
      <c r="D13">
        <v>7200</v>
      </c>
      <c r="E13">
        <v>8000</v>
      </c>
      <c r="F13">
        <v>8000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3C45-CB21-44BC-887A-112839652B55}">
  <sheetPr codeName="Sheet5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-2000</v>
      </c>
      <c r="H2">
        <v>-3000</v>
      </c>
      <c r="I2">
        <v>-4000</v>
      </c>
      <c r="J2">
        <v>-6000</v>
      </c>
      <c r="K2">
        <v>-8000</v>
      </c>
      <c r="L2">
        <v>-16000</v>
      </c>
      <c r="M2">
        <v>-24000</v>
      </c>
    </row>
    <row r="3" spans="1:13" x14ac:dyDescent="0.55000000000000004">
      <c r="A3" s="12">
        <v>20</v>
      </c>
      <c r="C3" t="s">
        <v>10</v>
      </c>
      <c r="D3">
        <v>-400</v>
      </c>
      <c r="E3">
        <v>-700</v>
      </c>
      <c r="F3">
        <v>-1300</v>
      </c>
    </row>
    <row r="4" spans="1:13" x14ac:dyDescent="0.55000000000000004">
      <c r="A4" s="12">
        <v>25</v>
      </c>
      <c r="C4" t="s">
        <v>10</v>
      </c>
      <c r="D4" t="s">
        <v>10</v>
      </c>
      <c r="E4">
        <v>-800</v>
      </c>
      <c r="F4">
        <v>-1600</v>
      </c>
      <c r="M4" t="s">
        <v>10</v>
      </c>
    </row>
    <row r="5" spans="1:13" x14ac:dyDescent="0.55000000000000004">
      <c r="A5" s="12">
        <v>30</v>
      </c>
      <c r="C5">
        <v>-300</v>
      </c>
      <c r="D5">
        <v>-500</v>
      </c>
      <c r="E5">
        <v>-1000</v>
      </c>
      <c r="F5">
        <v>-2000</v>
      </c>
      <c r="M5" t="s">
        <v>10</v>
      </c>
    </row>
    <row r="6" spans="1:13" x14ac:dyDescent="0.55000000000000004">
      <c r="A6" s="12">
        <v>40</v>
      </c>
      <c r="C6">
        <v>-400</v>
      </c>
      <c r="D6">
        <v>-700</v>
      </c>
      <c r="E6">
        <v>-1300</v>
      </c>
      <c r="F6">
        <v>-2000</v>
      </c>
      <c r="M6" t="s">
        <v>10</v>
      </c>
    </row>
    <row r="7" spans="1:13" x14ac:dyDescent="0.55000000000000004">
      <c r="A7" s="12">
        <v>50</v>
      </c>
      <c r="C7">
        <v>-400</v>
      </c>
      <c r="D7">
        <v>-800</v>
      </c>
      <c r="E7">
        <v>-1600</v>
      </c>
      <c r="F7">
        <v>-2000</v>
      </c>
      <c r="M7" t="s">
        <v>10</v>
      </c>
    </row>
    <row r="8" spans="1:13" x14ac:dyDescent="0.55000000000000004">
      <c r="A8" s="12">
        <v>60</v>
      </c>
      <c r="C8">
        <v>-500</v>
      </c>
      <c r="D8">
        <v>-1000</v>
      </c>
      <c r="E8">
        <v>-2000</v>
      </c>
      <c r="F8">
        <v>-2000</v>
      </c>
      <c r="M8" t="s">
        <v>10</v>
      </c>
    </row>
    <row r="9" spans="1:13" x14ac:dyDescent="0.55000000000000004">
      <c r="A9" s="12">
        <v>70</v>
      </c>
      <c r="C9">
        <v>-600</v>
      </c>
      <c r="D9">
        <v>-1200</v>
      </c>
      <c r="E9">
        <v>-2000</v>
      </c>
      <c r="F9">
        <v>-2000</v>
      </c>
      <c r="M9" t="s">
        <v>10</v>
      </c>
    </row>
    <row r="10" spans="1:13" x14ac:dyDescent="0.55000000000000004">
      <c r="A10" s="12">
        <v>80</v>
      </c>
      <c r="C10">
        <v>-700</v>
      </c>
      <c r="D10">
        <v>-1300</v>
      </c>
      <c r="E10">
        <v>-2000</v>
      </c>
      <c r="F10">
        <v>-2000</v>
      </c>
      <c r="M10" t="s">
        <v>10</v>
      </c>
    </row>
    <row r="11" spans="1:13" x14ac:dyDescent="0.55000000000000004">
      <c r="A11" s="12">
        <v>90</v>
      </c>
      <c r="C11">
        <v>-800</v>
      </c>
      <c r="D11">
        <v>-1500</v>
      </c>
      <c r="E11">
        <v>-2000</v>
      </c>
      <c r="F11">
        <v>-2000</v>
      </c>
      <c r="M11" t="s">
        <v>10</v>
      </c>
    </row>
    <row r="12" spans="1:13" x14ac:dyDescent="0.55000000000000004">
      <c r="A12" s="12">
        <v>100</v>
      </c>
      <c r="C12">
        <v>-800</v>
      </c>
      <c r="D12">
        <v>-1600</v>
      </c>
      <c r="E12">
        <v>-2000</v>
      </c>
      <c r="F12">
        <v>-2000</v>
      </c>
      <c r="M12" t="s">
        <v>10</v>
      </c>
    </row>
    <row r="13" spans="1:13" x14ac:dyDescent="0.55000000000000004">
      <c r="A13" s="12">
        <v>110</v>
      </c>
      <c r="C13" t="s">
        <v>10</v>
      </c>
      <c r="D13">
        <v>-1800</v>
      </c>
      <c r="E13">
        <v>-2000</v>
      </c>
      <c r="F13">
        <v>-2000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FA9A3-DC97-448B-B548-4D9B2F555E2E}">
  <sheetPr codeName="Sheet9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55000000000000004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55000000000000004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55000000000000004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55000000000000004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55000000000000004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55000000000000004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55000000000000004">
      <c r="A9" s="12">
        <v>70</v>
      </c>
      <c r="C9">
        <v>-1200</v>
      </c>
      <c r="D9">
        <v>-2300</v>
      </c>
      <c r="E9">
        <v>-4000</v>
      </c>
      <c r="F9">
        <v>-4000</v>
      </c>
      <c r="M9" t="s">
        <v>10</v>
      </c>
    </row>
    <row r="10" spans="1:13" x14ac:dyDescent="0.55000000000000004">
      <c r="A10" s="12">
        <v>80</v>
      </c>
      <c r="C10">
        <v>-1300</v>
      </c>
      <c r="D10">
        <v>-2600</v>
      </c>
      <c r="E10">
        <v>-4000</v>
      </c>
      <c r="F10">
        <v>-4000</v>
      </c>
      <c r="M10" t="s">
        <v>10</v>
      </c>
    </row>
    <row r="11" spans="1:13" x14ac:dyDescent="0.55000000000000004">
      <c r="A11" s="12">
        <v>90</v>
      </c>
      <c r="C11">
        <v>-1500</v>
      </c>
      <c r="D11">
        <v>-2900</v>
      </c>
      <c r="E11">
        <v>-4000</v>
      </c>
      <c r="F11">
        <v>-4000</v>
      </c>
      <c r="M11" t="s">
        <v>10</v>
      </c>
    </row>
    <row r="12" spans="1:13" x14ac:dyDescent="0.55000000000000004">
      <c r="A12" s="12">
        <v>100</v>
      </c>
      <c r="C12">
        <v>-1600</v>
      </c>
      <c r="D12">
        <v>-3200</v>
      </c>
      <c r="E12">
        <v>-4000</v>
      </c>
      <c r="F12">
        <v>-4000</v>
      </c>
      <c r="M12" t="s">
        <v>10</v>
      </c>
    </row>
    <row r="13" spans="1:13" x14ac:dyDescent="0.55000000000000004">
      <c r="A13" s="12">
        <v>110</v>
      </c>
      <c r="C13" t="s">
        <v>10</v>
      </c>
      <c r="D13">
        <v>-3600</v>
      </c>
      <c r="E13">
        <v>-4000</v>
      </c>
      <c r="F13">
        <v>-4000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山本 悠介_長野</cp:lastModifiedBy>
  <cp:lastPrinted>2018-10-03T09:15:05Z</cp:lastPrinted>
  <dcterms:created xsi:type="dcterms:W3CDTF">2018-10-02T11:54:05Z</dcterms:created>
  <dcterms:modified xsi:type="dcterms:W3CDTF">2024-10-25T09:41:51Z</dcterms:modified>
</cp:coreProperties>
</file>