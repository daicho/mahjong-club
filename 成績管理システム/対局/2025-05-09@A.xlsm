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対局\"/>
    </mc:Choice>
  </mc:AlternateContent>
  <xr:revisionPtr revIDLastSave="0" documentId="13_ncr:1_{1FF95212-9073-4D39-84C8-7BC25CCAA4B9}" xr6:coauthVersionLast="47" xr6:coauthVersionMax="47" xr10:uidLastSave="{00000000-0000-0000-0000-000000000000}"/>
  <bookViews>
    <workbookView xWindow="-110" yWindow="-110" windowWidth="19420" windowHeight="10300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27" l="1"/>
  <c r="E9" i="27"/>
  <c r="E8" i="27"/>
  <c r="E7" i="27"/>
  <c r="E6" i="27"/>
  <c r="E5" i="27"/>
  <c r="E4" i="27" l="1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14" i="27" l="1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<sst xmlns="http://schemas.openxmlformats.org/spreadsheetml/2006/main" count="551" uniqueCount="173">
  <si>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</si>
  <si>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</si>
  <si>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</si>
  <si>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</si>
  <si>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</si>
  <si>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</si>
  <si>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</si>
  <si>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</si>
  <si>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</si>
  <si>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</si>
  <si>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</si>
  <si>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</si>
  <si>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</si>
  <si>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</si>
  <si>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</si>
  <si>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</si>
  <si>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</si>
  <si>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</si>
  <si>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</si>
  <si>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</si>
  <si>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</si>
  <si>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</si>
  <si>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</si>
  <si>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</si>
  <si>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</si>
  <si>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</si>
  <si>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</si>
  <si>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</si>
  <si>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</si>
  <si>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</si>
  <si>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</si>
  <si>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</si>
  <si>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</si>
  <si>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</si>
  <si>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</si>
  <si>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</si>
  <si>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</si>
  <si>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</si>
  <si>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</si>
  <si>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</si>
  <si>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</si>
  <si>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</si>
  <si>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</si>
  <si>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</si>
  <si>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</si>
  <si>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</si>
  <si>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</si>
  <si>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</si>
  <si>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</si>
  <si>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</si>
  <si>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</si>
  <si>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</si>
  <si>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</si>
  <si>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</si>
  <si>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</si>
  <si>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</si>
  <si>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</si>
  <si>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</si>
  <si>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</si>
  <si>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</si>
  <si>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</si>
  <si>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</si>
  <si>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</si>
  <si>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</si>
  <si>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</si>
  <si>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</si>
  <si>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</si>
  <si>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</si>
  <si>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</si>
  <si>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</si>
  <si>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</si>
  <si>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</si>
  <si>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</si>
  <si>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</si>
  <si>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</si>
  <si>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</si>
  <si>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</si>
  <si>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</si>
  <si>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</si>
  <si>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</si>
  <si>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</si>
  <si>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</si>
  <si>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</si>
  <si>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</si>
  <si>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</si>
  <si>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</si>
  <si>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</si>
  <si>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</si>
  <si>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</si>
  <si>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</si>
  <si>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</si>
  <si>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</si>
  <si>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</si>
  <si>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</si>
  <si>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</si>
  <si>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</si>
  <si>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</si>
  <si>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</si>
  <si>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</si>
  <si>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</si>
  <si>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</si>
  <si>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</si>
  <si>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</si>
  <si>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</si>
  <si>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</si>
  <si>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</si>
  <si>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</si>
  <si>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</si>
  <si>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</si>
  <si>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</si>
  <si>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</si>
  <si>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</si>
  <si>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</si>
  <si>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</si>
  <si>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</si>
  <si>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</si>
  <si>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</si>
  <si>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</si>
  <si>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</si>
  <si>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</si>
  <si>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</si>
  <si>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</si>
  <si>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</si>
  <si>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</si>
  <si>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</si>
  <si>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</si>
  <si>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</si>
  <si>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</si>
  <si>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</si>
  <si>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</si>
  <si>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</si>
  <si>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</si>
  <si>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</si>
  <si>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</si>
  <si>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</si>
  <si>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</si>
  <si>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</si>
  <si>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</si>
  <si>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</si>
  <si>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</si>
  <si>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</si>
  <si>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</si>
  <si>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</si>
  <si>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</si>
  <si>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</si>
  <si>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</si>
  <si>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</si>
  <si>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</si>
  <si>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</si>
  <si>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</si>
  <si>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</si>
  <si>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</si>
  <si>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</si>
  <si>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</si>
  <si>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</si>
  <si>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</si>
  <si>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</si>
  <si>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</si>
  <si>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</si>
  <si>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</si>
  <si>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</si>
  <si>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清水常緑</t>
  </si>
  <si>
    <t>宮沢璃空</t>
  </si>
  <si>
    <t>高橋英将</t>
  </si>
  <si>
    <t>中村花菜</t>
  </si>
  <si>
    <t>ツモ支払</t>
  </si>
  <si>
    <t>ツモ</t>
  </si>
  <si>
    <t>01</t>
  </si>
  <si>
    <t>02</t>
  </si>
  <si>
    <t>ロン</t>
  </si>
  <si>
    <t>放銃</t>
  </si>
  <si>
    <t>*</t>
  </si>
  <si>
    <t>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</si>
</sst>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164</v>
      </c>
      <c r="Q1" s="61"/>
      <c r="R1" s="61"/>
      <c r="S1" s="62"/>
      <c r="T1" s="63"/>
      <c r="U1" s="60" t="s">
        <v>163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清水常緑</v>
      </c>
      <c r="AF1" s="70" t="str">
        <f t="shared" ref="AF1:AY1" si="0">$F$1</f>
        <v>清水常緑</v>
      </c>
      <c r="AG1" s="61" t="str">
        <f t="shared" si="0"/>
        <v>清水常緑</v>
      </c>
      <c r="AH1" s="61" t="str">
        <f t="shared" si="0"/>
        <v>清水常緑</v>
      </c>
      <c r="AI1" s="61" t="str">
        <f t="shared" si="0"/>
        <v>清水常緑</v>
      </c>
      <c r="AJ1" s="61" t="str">
        <f t="shared" si="0"/>
        <v>清水常緑</v>
      </c>
      <c r="AK1" s="61" t="str">
        <f t="shared" si="0"/>
        <v>清水常緑</v>
      </c>
      <c r="AL1" s="61" t="str">
        <f t="shared" si="0"/>
        <v>清水常緑</v>
      </c>
      <c r="AM1" s="61" t="str">
        <f t="shared" si="0"/>
        <v>清水常緑</v>
      </c>
      <c r="AN1" s="61" t="str">
        <f t="shared" si="0"/>
        <v>清水常緑</v>
      </c>
      <c r="AO1" s="61" t="str">
        <f t="shared" si="0"/>
        <v>清水常緑</v>
      </c>
      <c r="AP1" s="61" t="str">
        <f t="shared" si="0"/>
        <v>清水常緑</v>
      </c>
      <c r="AQ1" s="61" t="str">
        <f t="shared" si="0"/>
        <v>清水常緑</v>
      </c>
      <c r="AR1" s="61" t="str">
        <f t="shared" si="0"/>
        <v>清水常緑</v>
      </c>
      <c r="AS1" s="61" t="str">
        <f t="shared" si="0"/>
        <v>清水常緑</v>
      </c>
      <c r="AT1" s="61" t="str">
        <f t="shared" si="0"/>
        <v>清水常緑</v>
      </c>
      <c r="AU1" s="61" t="str">
        <f t="shared" si="0"/>
        <v>清水常緑</v>
      </c>
      <c r="AV1" s="61" t="str">
        <f t="shared" si="0"/>
        <v>清水常緑</v>
      </c>
      <c r="AW1" s="61" t="str">
        <f t="shared" si="0"/>
        <v>清水常緑</v>
      </c>
      <c r="AX1" s="61" t="str">
        <f t="shared" si="0"/>
        <v>清水常緑</v>
      </c>
      <c r="AY1" s="63" t="str">
        <f t="shared" si="0"/>
        <v>清水常緑</v>
      </c>
      <c r="AZ1" s="60" t="str">
        <f>IF($K$1="","",$K$1)</f>
        <v>宮沢璃空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中村花菜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高橋英将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清水常緑</v>
      </c>
      <c r="AA2" s="56" t="str">
        <f>IF($K$1="","",$K$1)</f>
        <v>宮沢璃空</v>
      </c>
      <c r="AB2" s="56" t="str">
        <f>IF($P$1="","",$P$1)</f>
        <v>中村花菜</v>
      </c>
      <c r="AC2" s="13" t="str">
        <f>IF($U$1="","",$U$1)</f>
        <v>高橋英将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清水常緑</v>
      </c>
      <c r="F4" s="5" t="s">
        <v>165</v>
      </c>
      <c r="G4" s="6">
        <v>-2600</v>
      </c>
      <c r="H4" s="6"/>
      <c r="I4" s="6">
        <v>0</v>
      </c>
      <c r="J4" s="18">
        <f>IF(COUNTA($F4,$K4,$P4,$U4)&gt;0,J3+SUM(G4:I4),"")</f>
        <v>22400</v>
      </c>
      <c r="K4" s="5" t="s">
        <v>165</v>
      </c>
      <c r="L4" s="6">
        <v>-1300</v>
      </c>
      <c r="M4" s="6"/>
      <c r="N4" s="6">
        <v>0</v>
      </c>
      <c r="O4" s="18">
        <f>IF(COUNTA($F4,$K4,$P4,$U4)&gt;0,O3+SUM(L4:N4),"")</f>
        <v>23700</v>
      </c>
      <c r="P4" s="5" t="s">
        <v>165</v>
      </c>
      <c r="Q4" s="6">
        <v>-1300</v>
      </c>
      <c r="R4" s="6">
        <v>-1000</v>
      </c>
      <c r="S4" s="6">
        <v>0</v>
      </c>
      <c r="T4" s="18">
        <f>IF(COUNTA($F4,$K4,$P4,$U4)&gt;0,T3+SUM(Q4:S4),"")</f>
        <v>22700</v>
      </c>
      <c r="U4" s="5" t="s">
        <v>166</v>
      </c>
      <c r="V4" s="6">
        <v>5200</v>
      </c>
      <c r="W4" s="6">
        <v>1000</v>
      </c>
      <c r="X4" s="6">
        <v>0</v>
      </c>
      <c r="Y4" s="18">
        <f>IF(COUNTA($F4,$K4,$P4,$U4)&gt;0,Y3+SUM(V4:X4),"")</f>
        <v>31200</v>
      </c>
      <c r="Z4" s="45">
        <f>IF($J4="","",ROUND(($J4-30000)/1000,1)+(2.5-_xlfn.RANK.AVG($J4,($J4,$O4,$T4,$Y4)))*20+IF(_xlfn.RANK.EQ($J4,($J4,$O4,$T4,$Y4))=1,20/((_xlfn.RANK.AVG($J4,($J4,$O4,$T4,$Y4))-1)*2+1),0))</f>
        <v>-37.6</v>
      </c>
      <c r="AA4" s="46">
        <f>IF($O4="","",ROUND(($O4-30000)/1000,1)+(2.5-_xlfn.RANK.AVG($O4,($J4,$O4,$T4,$Y4)))*20+IF(_xlfn.RANK.EQ($O4,($J4,$O4,$T4,$Y4))=1,20/((_xlfn.RANK.AVG($O4,($J4,$O4,$T4,$Y4))-1)*2+1),0))</f>
        <v>3.7</v>
      </c>
      <c r="AB4" s="46">
        <f>IF($T4="","",ROUND(($T4-30000)/1000,1)+(2.5-_xlfn.RANK.AVG($T4,($J4,$O4,$T4,$Y4)))*20+IF(_xlfn.RANK.EQ($T4,($J4,$O4,$T4,$Y4))=1,20/((_xlfn.RANK.AVG($T4,($J4,$O4,$T4,$Y4))-1)*2+1),0))</f>
        <v>-17.3</v>
      </c>
      <c r="AC4" s="47">
        <f>IF($Y4="","",ROUND(($Y4-30000)/1000,1)+(2.5-_xlfn.RANK.AVG($Y4,($J4,$O4,$T4,$Y4)))*20+IF(_xlfn.RANK.EQ($Y4,($J4,$O4,$T4,$Y4))=1,20/((_xlfn.RANK.AVG($Y4,($J4,$O4,$T4,$Y4))-1)*2+1),0))</f>
        <v>51.2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>
        <v>1</v>
      </c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>
        <v>1</v>
      </c>
      <c r="CS4" s="23"/>
      <c r="CT4" s="23">
        <v>3</v>
      </c>
      <c r="CU4" s="27">
        <v>40</v>
      </c>
      <c r="CV4" s="36" t="s">
        <v>167</v>
      </c>
      <c r="CW4" s="37" t="s">
        <v>73</v>
      </c>
      <c r="CX4" s="37" t="s">
        <v>168</v>
      </c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宮沢璃空</v>
      </c>
      <c r="F5" s="5"/>
      <c r="G5" s="6"/>
      <c r="H5" s="6"/>
      <c r="I5" s="6"/>
      <c r="J5" s="18">
        <f t="shared" ref="J5:J30" si="2">IF(COUNTA($F5,$K5,$P5,$U5)&gt;0,J4+SUM(G5:I5),"")</f>
        <v>22400</v>
      </c>
      <c r="K5" s="5" t="s">
        <v>169</v>
      </c>
      <c r="L5" s="6">
        <v>3900</v>
      </c>
      <c r="M5" s="6"/>
      <c r="N5" s="6">
        <v>0</v>
      </c>
      <c r="O5" s="18">
        <f>IF(COUNTA($F5,$K5,$P5,$U5)&gt;0,O4+SUM(L5:N5),"")</f>
        <v>27600</v>
      </c>
      <c r="P5" s="5" t="s">
        <v>170</v>
      </c>
      <c r="Q5" s="6">
        <v>-3900</v>
      </c>
      <c r="R5" s="6"/>
      <c r="S5" s="6">
        <v>0</v>
      </c>
      <c r="T5" s="18">
        <f t="shared" ref="T5:T30" si="3">IF(COUNTA($F5,$K5,$P5,$U5)&gt;0,T4+SUM(Q5:S5),"")</f>
        <v>18800</v>
      </c>
      <c r="U5" s="5"/>
      <c r="V5" s="6"/>
      <c r="W5" s="6"/>
      <c r="X5" s="6"/>
      <c r="Y5" s="18">
        <f t="shared" ref="Y5:Y30" si="4">IF(COUNTA($F5,$K5,$P5,$U5)&gt;0,Y4+SUM(V5:X5),"")</f>
        <v>31200</v>
      </c>
      <c r="Z5" s="45">
        <f>IF($J5="","",ROUND(($J5-30000)/1000,1)+(2.5-_xlfn.RANK.AVG($J5,($J5,$O5,$T5,$Y5)))*20+IF(_xlfn.RANK.EQ($J5,($J5,$O5,$T5,$Y5))=1,20/((_xlfn.RANK.AVG($J5,($J5,$O5,$T5,$Y5))-1)*2+1),0))</f>
        <v>-17.600000000000001</v>
      </c>
      <c r="AA5" s="46">
        <f>IF($O5="","",ROUND(($O5-30000)/1000,1)+(2.5-_xlfn.RANK.AVG($O5,($J5,$O5,$T5,$Y5)))*20+IF(_xlfn.RANK.EQ($O5,($J5,$O5,$T5,$Y5))=1,20/((_xlfn.RANK.AVG($O5,($J5,$O5,$T5,$Y5))-1)*2+1),0))</f>
        <v>7.6</v>
      </c>
      <c r="AB5" s="46">
        <f>IF($T5="","",ROUND(($T5-30000)/1000,1)+(2.5-_xlfn.RANK.AVG($T5,($J5,$O5,$T5,$Y5)))*20+IF(_xlfn.RANK.EQ($T5,($J5,$O5,$T5,$Y5))=1,20/((_xlfn.RANK.AVG($T5,($J5,$O5,$T5,$Y5))-1)*2+1),0))</f>
        <v>-41.2</v>
      </c>
      <c r="AC5" s="47">
        <f>IF($Y5="","",ROUND(($Y5-30000)/1000,1)+(2.5-_xlfn.RANK.AVG($Y5,($J5,$O5,$T5,$Y5)))*20+IF(_xlfn.RANK.EQ($Y5,($J5,$O5,$T5,$Y5))=1,20/((_xlfn.RANK.AVG($Y5,($J5,$O5,$T5,$Y5))-1)*2+1),0))</f>
        <v>51.2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>
        <v>1</v>
      </c>
      <c r="BC5" s="23"/>
      <c r="BD5" s="23">
        <v>2</v>
      </c>
      <c r="BE5" s="27">
        <v>40</v>
      </c>
      <c r="BF5" s="36" t="s">
        <v>167</v>
      </c>
      <c r="BG5" s="37" t="s">
        <v>76</v>
      </c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>
        <v>1</v>
      </c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1</v>
      </c>
      <c r="D6" s="15">
        <f t="shared" ref="D6:D30" si="7">IF($E6="","",IF(OR($F5="流局",$F5="チョンボ"),D5+($H5+$M5+$R5+$W5)/-1000,0))</f>
        <v>0</v>
      </c>
      <c r="E6" s="58" t="str">
        <f>IF($K$1="","",$K$1)</f>
        <v>宮沢璃空</v>
      </c>
      <c r="F6" s="5" t="s">
        <v>170</v>
      </c>
      <c r="G6" s="6">
        <v>-18000</v>
      </c>
      <c r="H6" s="6"/>
      <c r="I6" s="6">
        <v>-300</v>
      </c>
      <c r="J6" s="18">
        <f t="shared" si="2"/>
        <v>4100</v>
      </c>
      <c r="K6" s="5" t="s">
        <v>169</v>
      </c>
      <c r="L6" s="6">
        <v>18000</v>
      </c>
      <c r="M6" s="6"/>
      <c r="N6" s="6">
        <v>300</v>
      </c>
      <c r="O6" s="18">
        <f t="shared" ref="O6:O30" si="8">IF(COUNTA($F6,$K6,$P6,$U6)&gt;0,O5+SUM(L6:N6),"")</f>
        <v>45900</v>
      </c>
      <c r="P6" s="5"/>
      <c r="Q6" s="6"/>
      <c r="R6" s="6"/>
      <c r="S6" s="6"/>
      <c r="T6" s="18">
        <f t="shared" si="3"/>
        <v>18800</v>
      </c>
      <c r="U6" s="5"/>
      <c r="V6" s="6"/>
      <c r="W6" s="6"/>
      <c r="X6" s="6"/>
      <c r="Y6" s="18">
        <f t="shared" si="4"/>
        <v>31200</v>
      </c>
      <c r="Z6" s="45">
        <f>IF($J6="","",ROUND(($J6-30000)/1000,1)+(2.5-_xlfn.RANK.AVG($J6,($J6,$O6,$T6,$Y6)))*20+IF(_xlfn.RANK.EQ($J6,($J6,$O6,$T6,$Y6))=1,20/((_xlfn.RANK.AVG($J6,($J6,$O6,$T6,$Y6))-1)*2+1),0))</f>
        <v>-55.9</v>
      </c>
      <c r="AA6" s="46">
        <f>IF($O6="","",ROUND(($O6-30000)/1000,1)+(2.5-_xlfn.RANK.AVG($O6,($J6,$O6,$T6,$Y6)))*20+IF(_xlfn.RANK.EQ($O6,($J6,$O6,$T6,$Y6))=1,20/((_xlfn.RANK.AVG($O6,($J6,$O6,$T6,$Y6))-1)*2+1),0))</f>
        <v>65.900000000000006</v>
      </c>
      <c r="AB6" s="46">
        <f>IF($T6="","",ROUND(($T6-30000)/1000,1)+(2.5-_xlfn.RANK.AVG($T6,($J6,$O6,$T6,$Y6)))*20+IF(_xlfn.RANK.EQ($T6,($J6,$O6,$T6,$Y6))=1,20/((_xlfn.RANK.AVG($T6,($J6,$O6,$T6,$Y6))-1)*2+1),0))</f>
        <v>-21.2</v>
      </c>
      <c r="AC6" s="47">
        <f>IF($Y6="","",ROUND(($Y6-30000)/1000,1)+(2.5-_xlfn.RANK.AVG($Y6,($J6,$O6,$T6,$Y6)))*20+IF(_xlfn.RANK.EQ($Y6,($J6,$O6,$T6,$Y6))=1,20/((_xlfn.RANK.AVG($Y6,($J6,$O6,$T6,$Y6))-1)*2+1),0))</f>
        <v>11.2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>
        <v>1</v>
      </c>
      <c r="BC6" s="23"/>
      <c r="BD6" s="23">
        <v>6</v>
      </c>
      <c r="BE6" s="27" t="s">
        <v>171</v>
      </c>
      <c r="BF6" s="36" t="s">
        <v>167</v>
      </c>
      <c r="BG6" s="37" t="s">
        <v>92</v>
      </c>
      <c r="BH6" s="37" t="s">
        <v>172</v>
      </c>
      <c r="BI6" s="37" t="s">
        <v>71</v>
      </c>
      <c r="BJ6" s="37" t="s">
        <v>71</v>
      </c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2</v>
      </c>
      <c r="C7" s="15">
        <f t="shared" si="6"/>
        <v>2</v>
      </c>
      <c r="D7" s="15">
        <f t="shared" si="7"/>
        <v>0</v>
      </c>
      <c r="E7" s="58" t="str">
        <f>IF($K$1="","",$K$1)</f>
        <v>宮沢璃空</v>
      </c>
      <c r="F7" s="5"/>
      <c r="G7" s="6"/>
      <c r="H7" s="6">
        <v>-1000</v>
      </c>
      <c r="I7" s="6"/>
      <c r="J7" s="18">
        <f t="shared" si="2"/>
        <v>3100</v>
      </c>
      <c r="K7" s="5" t="s">
        <v>169</v>
      </c>
      <c r="L7" s="6">
        <v>4800</v>
      </c>
      <c r="M7" s="6">
        <v>1000</v>
      </c>
      <c r="N7" s="6">
        <v>600</v>
      </c>
      <c r="O7" s="18">
        <f t="shared" si="8"/>
        <v>52300</v>
      </c>
      <c r="P7" s="5"/>
      <c r="Q7" s="6"/>
      <c r="R7" s="6"/>
      <c r="S7" s="6"/>
      <c r="T7" s="18">
        <f t="shared" si="3"/>
        <v>18800</v>
      </c>
      <c r="U7" s="5" t="s">
        <v>170</v>
      </c>
      <c r="V7" s="6">
        <v>-4800</v>
      </c>
      <c r="W7" s="6"/>
      <c r="X7" s="6">
        <v>-600</v>
      </c>
      <c r="Y7" s="18">
        <f t="shared" si="4"/>
        <v>25800</v>
      </c>
      <c r="Z7" s="45">
        <f>IF($J7="","",ROUND(($J7-30000)/1000,1)+(2.5-_xlfn.RANK.AVG($J7,($J7,$O7,$T7,$Y7)))*20+IF(_xlfn.RANK.EQ($J7,($J7,$O7,$T7,$Y7))=1,20/((_xlfn.RANK.AVG($J7,($J7,$O7,$T7,$Y7))-1)*2+1),0))</f>
        <v>-56.9</v>
      </c>
      <c r="AA7" s="46">
        <f>IF($O7="","",ROUND(($O7-30000)/1000,1)+(2.5-_xlfn.RANK.AVG($O7,($J7,$O7,$T7,$Y7)))*20+IF(_xlfn.RANK.EQ($O7,($J7,$O7,$T7,$Y7))=1,20/((_xlfn.RANK.AVG($O7,($J7,$O7,$T7,$Y7))-1)*2+1),0))</f>
        <v>72.3</v>
      </c>
      <c r="AB7" s="46">
        <f>IF($T7="","",ROUND(($T7-30000)/1000,1)+(2.5-_xlfn.RANK.AVG($T7,($J7,$O7,$T7,$Y7)))*20+IF(_xlfn.RANK.EQ($T7,($J7,$O7,$T7,$Y7))=1,20/((_xlfn.RANK.AVG($T7,($J7,$O7,$T7,$Y7))-1)*2+1),0))</f>
        <v>-21.2</v>
      </c>
      <c r="AC7" s="47">
        <f>IF($Y7="","",ROUND(($Y7-30000)/1000,1)+(2.5-_xlfn.RANK.AVG($Y7,($J7,$O7,$T7,$Y7)))*20+IF(_xlfn.RANK.EQ($Y7,($J7,$O7,$T7,$Y7))=1,20/((_xlfn.RANK.AVG($Y7,($J7,$O7,$T7,$Y7))-1)*2+1),0))</f>
        <v>5.8</v>
      </c>
      <c r="AE7" s="5"/>
      <c r="AF7" s="30"/>
      <c r="AG7" s="23">
        <v>1</v>
      </c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>
        <v>3</v>
      </c>
      <c r="BE7" s="27">
        <v>25</v>
      </c>
      <c r="BF7" s="36" t="s">
        <v>76</v>
      </c>
      <c r="BG7" s="37" t="s">
        <v>92</v>
      </c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2</v>
      </c>
      <c r="C8" s="15">
        <f t="shared" si="6"/>
        <v>3</v>
      </c>
      <c r="D8" s="15">
        <f>IF($E8="","",IF(OR($F7="流局",$F7="チョンボ"),D7+($H7+$M7+$R7+$W7)/-1000,0))</f>
        <v>0</v>
      </c>
      <c r="E8" s="58" t="str">
        <f>IF($K$1="","",$K$1)</f>
        <v>宮沢璃空</v>
      </c>
      <c r="F8" s="5"/>
      <c r="G8" s="6"/>
      <c r="H8" s="6"/>
      <c r="I8" s="6"/>
      <c r="J8" s="18">
        <f t="shared" si="2"/>
        <v>3100</v>
      </c>
      <c r="K8" s="5" t="s">
        <v>169</v>
      </c>
      <c r="L8" s="6">
        <v>2000</v>
      </c>
      <c r="M8" s="6"/>
      <c r="N8" s="6">
        <v>900</v>
      </c>
      <c r="O8" s="18">
        <f t="shared" si="8"/>
        <v>55200</v>
      </c>
      <c r="P8" s="5" t="s">
        <v>170</v>
      </c>
      <c r="Q8" s="6">
        <v>-2000</v>
      </c>
      <c r="R8" s="6"/>
      <c r="S8" s="6">
        <v>-900</v>
      </c>
      <c r="T8" s="18">
        <f t="shared" si="3"/>
        <v>15900</v>
      </c>
      <c r="U8" s="5"/>
      <c r="V8" s="6"/>
      <c r="W8" s="6"/>
      <c r="X8" s="6"/>
      <c r="Y8" s="18">
        <f t="shared" si="4"/>
        <v>25800</v>
      </c>
      <c r="Z8" s="45">
        <f>IF($J8="","",ROUND(($J8-30000)/1000,1)+(2.5-_xlfn.RANK.AVG($J8,($J8,$O8,$T8,$Y8)))*20+IF(_xlfn.RANK.EQ($J8,($J8,$O8,$T8,$Y8))=1,20/((_xlfn.RANK.AVG($J8,($J8,$O8,$T8,$Y8))-1)*2+1),0))</f>
        <v>-56.9</v>
      </c>
      <c r="AA8" s="46">
        <f>IF($O8="","",ROUND(($O8-30000)/1000,1)+(2.5-_xlfn.RANK.AVG($O8,($J8,$O8,$T8,$Y8)))*20+IF(_xlfn.RANK.EQ($O8,($J8,$O8,$T8,$Y8))=1,20/((_xlfn.RANK.AVG($O8,($J8,$O8,$T8,$Y8))-1)*2+1),0))</f>
        <v>75.2</v>
      </c>
      <c r="AB8" s="46">
        <f>IF($T8="","",ROUND(($T8-30000)/1000,1)+(2.5-_xlfn.RANK.AVG($T8,($J8,$O8,$T8,$Y8)))*20+IF(_xlfn.RANK.EQ($T8,($J8,$O8,$T8,$Y8))=1,20/((_xlfn.RANK.AVG($T8,($J8,$O8,$T8,$Y8))-1)*2+1),0))</f>
        <v>-24.1</v>
      </c>
      <c r="AC8" s="47">
        <f>IF($Y8="","",ROUND(($Y8-30000)/1000,1)+(2.5-_xlfn.RANK.AVG($Y8,($J8,$O8,$T8,$Y8)))*20+IF(_xlfn.RANK.EQ($Y8,($J8,$O8,$T8,$Y8))=1,20/((_xlfn.RANK.AVG($Y8,($J8,$O8,$T8,$Y8))-1)*2+1),0))</f>
        <v>5.8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>
        <v>1</v>
      </c>
      <c r="BC8" s="23"/>
      <c r="BD8" s="23">
        <v>1</v>
      </c>
      <c r="BE8" s="27">
        <v>40</v>
      </c>
      <c r="BF8" s="36" t="s">
        <v>167</v>
      </c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東</v>
      </c>
      <c r="B9" s="15">
        <f t="shared" si="5"/>
        <v>2</v>
      </c>
      <c r="C9" s="15">
        <f t="shared" si="6"/>
        <v>4</v>
      </c>
      <c r="D9" s="15">
        <f t="shared" si="7"/>
        <v>0</v>
      </c>
      <c r="E9" s="58" t="str">
        <f>IF($K$1="","",$K$1)</f>
        <v>宮沢璃空</v>
      </c>
      <c r="F9" s="5"/>
      <c r="G9" s="6"/>
      <c r="H9" s="6"/>
      <c r="I9" s="6"/>
      <c r="J9" s="18">
        <f t="shared" si="2"/>
        <v>3100</v>
      </c>
      <c r="K9" s="5" t="s">
        <v>170</v>
      </c>
      <c r="L9" s="6">
        <v>-5200</v>
      </c>
      <c r="M9" s="6">
        <v>-1000</v>
      </c>
      <c r="N9" s="6">
        <v>-1200</v>
      </c>
      <c r="O9" s="18">
        <f t="shared" si="8"/>
        <v>47800</v>
      </c>
      <c r="P9" s="5" t="s">
        <v>169</v>
      </c>
      <c r="Q9" s="6">
        <v>5200</v>
      </c>
      <c r="R9" s="6">
        <v>1000</v>
      </c>
      <c r="S9" s="6">
        <v>1200</v>
      </c>
      <c r="T9" s="18">
        <f t="shared" si="3"/>
        <v>23300</v>
      </c>
      <c r="U9" s="5"/>
      <c r="V9" s="6"/>
      <c r="W9" s="6"/>
      <c r="X9" s="6"/>
      <c r="Y9" s="18">
        <f t="shared" si="4"/>
        <v>25800</v>
      </c>
      <c r="Z9" s="45">
        <f>IF($J9="","",ROUND(($J9-30000)/1000,1)+(2.5-_xlfn.RANK.AVG($J9,($J9,$O9,$T9,$Y9)))*20+IF(_xlfn.RANK.EQ($J9,($J9,$O9,$T9,$Y9))=1,20/((_xlfn.RANK.AVG($J9,($J9,$O9,$T9,$Y9))-1)*2+1),0))</f>
        <v>-56.9</v>
      </c>
      <c r="AA9" s="46">
        <f>IF($O9="","",ROUND(($O9-30000)/1000,1)+(2.5-_xlfn.RANK.AVG($O9,($J9,$O9,$T9,$Y9)))*20+IF(_xlfn.RANK.EQ($O9,($J9,$O9,$T9,$Y9))=1,20/((_xlfn.RANK.AVG($O9,($J9,$O9,$T9,$Y9))-1)*2+1),0))</f>
        <v>67.8</v>
      </c>
      <c r="AB9" s="46">
        <f>IF($T9="","",ROUND(($T9-30000)/1000,1)+(2.5-_xlfn.RANK.AVG($T9,($J9,$O9,$T9,$Y9)))*20+IF(_xlfn.RANK.EQ($T9,($J9,$O9,$T9,$Y9))=1,20/((_xlfn.RANK.AVG($T9,($J9,$O9,$T9,$Y9))-1)*2+1),0))</f>
        <v>-16.7</v>
      </c>
      <c r="AC9" s="47">
        <f>IF($Y9="","",ROUND(($Y9-30000)/1000,1)+(2.5-_xlfn.RANK.AVG($Y9,($J9,$O9,$T9,$Y9)))*20+IF(_xlfn.RANK.EQ($Y9,($J9,$O9,$T9,$Y9))=1,20/((_xlfn.RANK.AVG($Y9,($J9,$O9,$T9,$Y9))-1)*2+1),0))</f>
        <v>5.8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>
        <v>1</v>
      </c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>
        <v>1</v>
      </c>
      <c r="BX9" s="23"/>
      <c r="BY9" s="23">
        <v>3</v>
      </c>
      <c r="BZ9" s="27">
        <v>40</v>
      </c>
      <c r="CA9" s="36" t="s">
        <v>167</v>
      </c>
      <c r="CB9" s="37" t="s">
        <v>77</v>
      </c>
      <c r="CC9" s="37" t="s">
        <v>172</v>
      </c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東</v>
      </c>
      <c r="B10" s="15">
        <f t="shared" si="5"/>
        <v>3</v>
      </c>
      <c r="C10" s="15">
        <f t="shared" si="6"/>
        <v>0</v>
      </c>
      <c r="D10" s="15">
        <f t="shared" si="7"/>
        <v>0</v>
      </c>
      <c r="E10" s="58" t="str">
        <f>IF($P$1="","",$P$1)</f>
        <v>中村花菜</v>
      </c>
      <c r="F10" s="5"/>
      <c r="G10" s="6"/>
      <c r="H10" s="6"/>
      <c r="I10" s="6"/>
      <c r="J10" s="18">
        <f t="shared" si="2"/>
        <v>3100</v>
      </c>
      <c r="K10" s="5"/>
      <c r="L10" s="6"/>
      <c r="M10" s="6">
        <v>0</v>
      </c>
      <c r="N10" s="6"/>
      <c r="O10" s="18">
        <f t="shared" si="8"/>
        <v>47800</v>
      </c>
      <c r="P10" s="5" t="s">
        <v>169</v>
      </c>
      <c r="Q10" s="6">
        <v>2000</v>
      </c>
      <c r="R10" s="6"/>
      <c r="S10" s="6">
        <v>0</v>
      </c>
      <c r="T10" s="18">
        <f t="shared" si="3"/>
        <v>25300</v>
      </c>
      <c r="U10" s="5" t="s">
        <v>170</v>
      </c>
      <c r="V10" s="6">
        <v>-2000</v>
      </c>
      <c r="W10" s="6"/>
      <c r="X10" s="6">
        <v>0</v>
      </c>
      <c r="Y10" s="18">
        <f t="shared" si="4"/>
        <v>23800</v>
      </c>
      <c r="Z10" s="45">
        <f>IF($J10="","",ROUND(($J10-30000)/1000,1)+(2.5-_xlfn.RANK.AVG($J10,($J10,$O10,$T10,$Y10)))*20+IF(_xlfn.RANK.EQ($J10,($J10,$O10,$T10,$Y10))=1,20/((_xlfn.RANK.AVG($J10,($J10,$O10,$T10,$Y10))-1)*2+1),0))</f>
        <v>-56.9</v>
      </c>
      <c r="AA10" s="46">
        <f>IF($O10="","",ROUND(($O10-30000)/1000,1)+(2.5-_xlfn.RANK.AVG($O10,($J10,$O10,$T10,$Y10)))*20+IF(_xlfn.RANK.EQ($O10,($J10,$O10,$T10,$Y10))=1,20/((_xlfn.RANK.AVG($O10,($J10,$O10,$T10,$Y10))-1)*2+1),0))</f>
        <v>67.8</v>
      </c>
      <c r="AB10" s="46">
        <f>IF($T10="","",ROUND(($T10-30000)/1000,1)+(2.5-_xlfn.RANK.AVG($T10,($J10,$O10,$T10,$Y10)))*20+IF(_xlfn.RANK.EQ($T10,($J10,$O10,$T10,$Y10))=1,20/((_xlfn.RANK.AVG($T10,($J10,$O10,$T10,$Y10))-1)*2+1),0))</f>
        <v>5.3</v>
      </c>
      <c r="AC10" s="47">
        <f>IF($Y10="","",ROUND(($Y10-30000)/1000,1)+(2.5-_xlfn.RANK.AVG($Y10,($J10,$O10,$T10,$Y10)))*20+IF(_xlfn.RANK.EQ($Y10,($J10,$O10,$T10,$Y10))=1,20/((_xlfn.RANK.AVG($Y10,($J10,$O10,$T10,$Y10))-1)*2+1),0))</f>
        <v>-16.2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>
        <v>1</v>
      </c>
      <c r="BX10" s="23"/>
      <c r="BY10" s="23">
        <v>1</v>
      </c>
      <c r="BZ10" s="27">
        <v>40</v>
      </c>
      <c r="CA10" s="36" t="s">
        <v>167</v>
      </c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0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F069A3FF-D397-413A-9DB8-BA23C9AF6105}">
      <formula1>"百瀬成空,佐藤成浩,川上翔大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55000000000000004"/>
  <cols>
    <col min="1" max="1" width="9" style="32" customWidth="1"/>
    <col min="2" max="2" width="6.5" style="32" customWidth="1"/>
    <col min="3" max="3" width="19.1640625" style="12" bestFit="1" customWidth="1"/>
    <col min="4" max="5" width="6.5" style="12" customWidth="1"/>
  </cols>
  <sheetData>
    <row r="1" spans="1:5" x14ac:dyDescent="0.55000000000000004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55000000000000004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55000000000000004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55000000000000004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55000000000000004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55000000000000004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55000000000000004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55000000000000004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55000000000000004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55000000000000004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55000000000000004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55000000000000004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55000000000000004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55000000000000004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55000000000000004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55000000000000004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55000000000000004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55000000000000004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55000000000000004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55000000000000004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55000000000000004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55000000000000004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55000000000000004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55000000000000004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55000000000000004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55000000000000004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55000000000000004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55000000000000004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55000000000000004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55000000000000004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55000000000000004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55000000000000004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55000000000000004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55000000000000004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55000000000000004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55000000000000004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55000000000000004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55000000000000004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55000000000000004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55000000000000004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55000000000000004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55000000000000004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55000000000000004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55000000000000004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55000000000000004"/>
  <cols>
    <col min="13" max="13" width="9" customWidth="1"/>
  </cols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E3">
        <v>3900</v>
      </c>
      <c r="F3">
        <v>7700</v>
      </c>
    </row>
    <row r="4" spans="1:13" x14ac:dyDescent="0.55000000000000004">
      <c r="A4" s="12">
        <v>25</v>
      </c>
      <c r="D4">
        <v>2400</v>
      </c>
      <c r="E4">
        <v>4800</v>
      </c>
      <c r="F4">
        <v>9600</v>
      </c>
    </row>
    <row r="5" spans="1:13" x14ac:dyDescent="0.55000000000000004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55000000000000004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55000000000000004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55000000000000004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55000000000000004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55000000000000004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55000000000000004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55000000000000004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55000000000000004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55000000000000004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55000000000000004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55000000000000004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55000000000000004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55000000000000004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55000000000000004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55000000000000004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55000000000000004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55000000000000004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55000000000000004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55000000000000004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55000000000000004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55000000000000004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55000000000000004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55000000000000004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55000000000000004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55000000000000004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55000000000000004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55000000000000004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2018-10-03T09:15:05Z</cp:lastPrinted>
  <dcterms:created xsi:type="dcterms:W3CDTF">2018-10-02T11:54:05Z</dcterms:created>
  <dcterms:modified xsi:type="dcterms:W3CDTF">2025-05-09T09:21:16Z</dcterms:modified>
</cp:coreProperties>
</file>