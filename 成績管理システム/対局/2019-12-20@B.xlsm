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C117B4DF-2B8A-41D1-96BE-A2C3D649CB5B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8" l="1"/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D12" i="28"/>
  <c r="C12" i="28"/>
  <c r="D9" i="28"/>
  <c r="D10" i="28" s="1"/>
  <c r="D11" i="28" s="1"/>
  <c r="C9" i="28"/>
  <c r="C10" i="28" s="1"/>
  <c r="C11" i="28" s="1"/>
  <c r="D8" i="28"/>
  <c r="C8" i="28"/>
  <c r="D7" i="28"/>
  <c r="C7" i="28"/>
  <c r="D5" i="28"/>
  <c r="D6" i="28" s="1"/>
  <c r="Y4" i="28"/>
  <c r="Y5" i="28" s="1"/>
  <c r="T4" i="28"/>
  <c r="T5" i="28" s="1"/>
  <c r="O4" i="28"/>
  <c r="O5" i="28" s="1"/>
  <c r="J4" i="28"/>
  <c r="J5" i="28" s="1"/>
  <c r="C5" i="28"/>
  <c r="C6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O6" i="28" l="1"/>
  <c r="AA5" i="28"/>
  <c r="T6" i="28"/>
  <c r="AB5" i="28"/>
  <c r="Y6" i="28"/>
  <c r="AC5" i="28"/>
  <c r="J6" i="28"/>
  <c r="Z5" i="28"/>
  <c r="AC4" i="28"/>
  <c r="Z4" i="28"/>
  <c r="AA4" i="28"/>
  <c r="B5" i="28"/>
  <c r="AB4" i="28"/>
  <c r="E4" i="27"/>
  <c r="Y7" i="28" l="1"/>
  <c r="AC6" i="28"/>
  <c r="B6" i="28"/>
  <c r="A5" i="28"/>
  <c r="T7" i="28"/>
  <c r="AB6" i="28"/>
  <c r="J7" i="28"/>
  <c r="Z6" i="28"/>
  <c r="O7" i="28"/>
  <c r="AA6" i="28"/>
  <c r="O5" i="27"/>
  <c r="AC3" i="27"/>
  <c r="AA3" i="27"/>
  <c r="AB3" i="27"/>
  <c r="Z3" i="27"/>
  <c r="A6" i="28" l="1"/>
  <c r="J8" i="28"/>
  <c r="Z7" i="28"/>
  <c r="B7" i="28"/>
  <c r="O8" i="28"/>
  <c r="AA7" i="28"/>
  <c r="T8" i="28"/>
  <c r="AB7" i="28"/>
  <c r="Y8" i="28"/>
  <c r="AC7" i="28"/>
  <c r="CP1" i="27"/>
  <c r="AC2" i="27"/>
  <c r="BU1" i="27"/>
  <c r="AB2" i="27"/>
  <c r="AZ1" i="27"/>
  <c r="AA2" i="27"/>
  <c r="AE1" i="27"/>
  <c r="Z2" i="27"/>
  <c r="A7" i="28" l="1"/>
  <c r="T9" i="28"/>
  <c r="AB8" i="28"/>
  <c r="B8" i="28"/>
  <c r="A8" i="28" s="1"/>
  <c r="Y9" i="28"/>
  <c r="AC8" i="28"/>
  <c r="O9" i="28"/>
  <c r="AA8" i="28"/>
  <c r="J9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J10" i="28" l="1"/>
  <c r="Z9" i="28"/>
  <c r="Y10" i="28"/>
  <c r="AC9" i="28"/>
  <c r="O10" i="28"/>
  <c r="AA9" i="28"/>
  <c r="B9" i="28"/>
  <c r="A9" i="28" s="1"/>
  <c r="T10" i="28"/>
  <c r="AB9" i="28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T11" i="28" l="1"/>
  <c r="AB10" i="28"/>
  <c r="J11" i="28"/>
  <c r="Z10" i="28"/>
  <c r="B10" i="28"/>
  <c r="A10" i="28" s="1"/>
  <c r="Y11" i="28"/>
  <c r="AC10" i="28"/>
  <c r="O11" i="28"/>
  <c r="AA10" i="28"/>
  <c r="Z5" i="27"/>
  <c r="AB5" i="27"/>
  <c r="AA5" i="27"/>
  <c r="AC5" i="27"/>
  <c r="Y7" i="27"/>
  <c r="O8" i="27"/>
  <c r="T6" i="27"/>
  <c r="O12" i="28" l="1"/>
  <c r="AA11" i="28"/>
  <c r="Y12" i="28"/>
  <c r="AC11" i="28"/>
  <c r="J12" i="28"/>
  <c r="Z11" i="28"/>
  <c r="B11" i="28"/>
  <c r="A11" i="28" s="1"/>
  <c r="T12" i="28"/>
  <c r="AB11" i="28"/>
  <c r="AC6" i="27"/>
  <c r="AB6" i="27"/>
  <c r="Z6" i="27"/>
  <c r="AA6" i="27"/>
  <c r="Y8" i="27"/>
  <c r="T7" i="27"/>
  <c r="AA12" i="28" l="1"/>
  <c r="Z12" i="28"/>
  <c r="B12" i="28"/>
  <c r="A12" i="28" s="1"/>
  <c r="AC12" i="28"/>
  <c r="AB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<sst xmlns="http://schemas.openxmlformats.org/spreadsheetml/2006/main" count="724" uniqueCount="200">
  <si>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</si>
  <si>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</si>
  <si>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</si>
  <si>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</si>
  <si>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</si>
  <si>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</si>
  <si>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</si>
  <si>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</si>
  <si>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</si>
  <si>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</si>
  <si>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</si>
  <si>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</si>
  <si>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</si>
  <si>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</si>
  <si>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</si>
  <si>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</si>
  <si>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</si>
  <si>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</si>
  <si>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</si>
  <si>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</si>
  <si>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</si>
  <si>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</si>
  <si>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</si>
  <si>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</si>
  <si>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</si>
  <si>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</si>
  <si>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</si>
  <si>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</si>
  <si>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</si>
  <si>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</si>
  <si>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</si>
  <si>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</si>
  <si>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</si>
  <si>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</si>
  <si>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</si>
  <si>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</si>
  <si>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</si>
  <si>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</si>
  <si>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</si>
  <si>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</si>
  <si>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</si>
  <si>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</si>
  <si>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</si>
  <si>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</si>
  <si>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</si>
  <si>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</si>
  <si>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</si>
  <si>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</si>
  <si>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</si>
  <si>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</si>
  <si>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</si>
  <si>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</si>
  <si>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</si>
  <si>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</si>
  <si>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</si>
  <si>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</si>
  <si>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</si>
  <si>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</si>
  <si>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</si>
  <si>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</si>
  <si>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</si>
  <si>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</si>
  <si>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</si>
  <si>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</si>
  <si>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</si>
  <si>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</si>
  <si>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</si>
  <si>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</si>
  <si>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</si>
  <si>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</si>
  <si>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</si>
  <si>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</si>
  <si>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</si>
  <si>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</si>
  <si>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</si>
  <si>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</si>
  <si>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</si>
  <si>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</si>
  <si>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</si>
  <si>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</si>
  <si>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</si>
  <si>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</si>
  <si>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</si>
  <si>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</si>
  <si>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</si>
  <si>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</si>
  <si>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</si>
  <si>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</si>
  <si>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</si>
  <si>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</si>
  <si>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</si>
  <si>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</si>
  <si>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</si>
  <si>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</si>
  <si>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</si>
  <si>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</si>
  <si>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</si>
  <si>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</si>
  <si>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</si>
  <si>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</si>
  <si>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</si>
  <si>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</si>
  <si>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</si>
  <si>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</si>
  <si>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</si>
  <si>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</si>
  <si>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</si>
  <si>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</si>
  <si>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</si>
  <si>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</si>
  <si>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</si>
  <si>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</si>
  <si>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</si>
  <si>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</si>
  <si>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</si>
  <si>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</si>
  <si>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</si>
  <si>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</si>
  <si>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</si>
  <si>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</si>
  <si>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</si>
  <si>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</si>
  <si>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</si>
  <si>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</si>
  <si>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</si>
  <si>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</si>
  <si>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</si>
  <si>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</si>
  <si>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</si>
  <si>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</si>
  <si>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</si>
  <si>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</si>
  <si>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</si>
  <si>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</si>
  <si>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</si>
  <si>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</si>
  <si>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</si>
  <si>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</si>
  <si>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</si>
  <si>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</si>
  <si>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</si>
  <si>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</si>
  <si>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</si>
  <si>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</si>
  <si>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</si>
  <si>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</si>
  <si>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</si>
  <si>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</si>
  <si>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</si>
  <si>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</si>
  <si>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</si>
  <si>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</si>
  <si>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</si>
  <si>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</si>
  <si>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</si>
  <si>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</si>
  <si>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</si>
  <si>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</si>
  <si>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</si>
  <si>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</si>
  <si>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</si>
  <si>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</si>
  <si>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</si>
  <si>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</si>
  <si>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</si>
  <si>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</si>
  <si>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</si>
  <si>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</si>
  <si>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</si>
  <si>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</si>
  <si>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</si>
  <si>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</si>
  <si>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</si>
  <si>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</si>
  <si>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</si>
  <si>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</si>
  <si>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</si>
  <si>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</si>
  <si>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</si>
  <si>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</si>
  <si>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</si>
  <si>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滝沢悠人</t>
  </si>
  <si>
    <t>高野源太</t>
  </si>
  <si>
    <t>佐藤成浩</t>
  </si>
  <si>
    <t>百瀬成空</t>
  </si>
  <si>
    <t>福澤大地</t>
  </si>
  <si>
    <t>ツモ支払</t>
  </si>
  <si>
    <t>ツモ</t>
  </si>
  <si>
    <t>*</t>
  </si>
  <si>
    <t>01</t>
  </si>
  <si>
    <t>52</t>
  </si>
  <si>
    <t>放銃</t>
  </si>
  <si>
    <t>ロン</t>
  </si>
  <si>
    <t>流局</t>
  </si>
  <si>
    <t>N</t>
  </si>
  <si>
    <t>T</t>
  </si>
  <si>
    <t>チョンボ</t>
  </si>
  <si>
    <t>02</t>
  </si>
  <si>
    <t>高橋桜</t>
    <rPh sb="0" eb="2">
      <t>タカハシ</t>
    </rPh>
    <phoneticPr fontId="1"/>
  </si>
  <si>
    <t>高橋桜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</si>
</sst>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181</v>
      </c>
      <c r="G1" s="73"/>
      <c r="H1" s="73"/>
      <c r="I1" s="74"/>
      <c r="J1" s="75"/>
      <c r="K1" s="72" t="s">
        <v>184</v>
      </c>
      <c r="L1" s="73"/>
      <c r="M1" s="73"/>
      <c r="N1" s="74"/>
      <c r="O1" s="75"/>
      <c r="P1" s="72" t="s">
        <v>183</v>
      </c>
      <c r="Q1" s="73"/>
      <c r="R1" s="73"/>
      <c r="S1" s="74"/>
      <c r="T1" s="75"/>
      <c r="U1" s="72" t="s">
        <v>182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滝沢悠人</v>
      </c>
      <c r="AF1" s="82" t="str">
        <f t="shared" ref="AF1:AY1" si="0">$F$1</f>
        <v>滝沢悠人</v>
      </c>
      <c r="AG1" s="73" t="str">
        <f t="shared" si="0"/>
        <v>滝沢悠人</v>
      </c>
      <c r="AH1" s="73" t="str">
        <f t="shared" si="0"/>
        <v>滝沢悠人</v>
      </c>
      <c r="AI1" s="73" t="str">
        <f t="shared" si="0"/>
        <v>滝沢悠人</v>
      </c>
      <c r="AJ1" s="73" t="str">
        <f t="shared" si="0"/>
        <v>滝沢悠人</v>
      </c>
      <c r="AK1" s="73" t="str">
        <f t="shared" si="0"/>
        <v>滝沢悠人</v>
      </c>
      <c r="AL1" s="73" t="str">
        <f t="shared" si="0"/>
        <v>滝沢悠人</v>
      </c>
      <c r="AM1" s="73" t="str">
        <f t="shared" si="0"/>
        <v>滝沢悠人</v>
      </c>
      <c r="AN1" s="73" t="str">
        <f t="shared" si="0"/>
        <v>滝沢悠人</v>
      </c>
      <c r="AO1" s="73" t="str">
        <f t="shared" si="0"/>
        <v>滝沢悠人</v>
      </c>
      <c r="AP1" s="73" t="str">
        <f t="shared" si="0"/>
        <v>滝沢悠人</v>
      </c>
      <c r="AQ1" s="73" t="str">
        <f t="shared" si="0"/>
        <v>滝沢悠人</v>
      </c>
      <c r="AR1" s="73" t="str">
        <f t="shared" si="0"/>
        <v>滝沢悠人</v>
      </c>
      <c r="AS1" s="73" t="str">
        <f t="shared" si="0"/>
        <v>滝沢悠人</v>
      </c>
      <c r="AT1" s="73" t="str">
        <f t="shared" si="0"/>
        <v>滝沢悠人</v>
      </c>
      <c r="AU1" s="73" t="str">
        <f t="shared" si="0"/>
        <v>滝沢悠人</v>
      </c>
      <c r="AV1" s="73" t="str">
        <f t="shared" si="0"/>
        <v>滝沢悠人</v>
      </c>
      <c r="AW1" s="73" t="str">
        <f t="shared" si="0"/>
        <v>滝沢悠人</v>
      </c>
      <c r="AX1" s="73" t="str">
        <f t="shared" si="0"/>
        <v>滝沢悠人</v>
      </c>
      <c r="AY1" s="75" t="str">
        <f t="shared" si="0"/>
        <v>滝沢悠人</v>
      </c>
      <c r="AZ1" s="72" t="str">
        <f>IF($K$1="","",$K$1)</f>
        <v>百瀬成空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佐藤成浩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高野源太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滝沢悠人</v>
      </c>
      <c r="AA2" s="61" t="str">
        <f>IF($K$1="","",$K$1)</f>
        <v>百瀬成空</v>
      </c>
      <c r="AB2" s="61" t="str">
        <f>IF($P$1="","",$P$1)</f>
        <v>佐藤成浩</v>
      </c>
      <c r="AC2" s="13" t="str">
        <f>IF($U$1="","",$U$1)</f>
        <v>高野源太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滝沢悠人</v>
      </c>
      <c r="F4" s="5" t="s">
        <v>186</v>
      </c>
      <c r="G4" s="6">
        <v>-500</v>
      </c>
      <c r="H4" s="6"/>
      <c r="I4" s="45">
        <v>0</v>
      </c>
      <c r="J4" s="18">
        <f>IF(COUNTA($F4,$K4,$P4,$U4)&gt;0,J3+SUM(G4:I4),"")</f>
        <v>24500</v>
      </c>
      <c r="K4" s="5" t="s">
        <v>186</v>
      </c>
      <c r="L4" s="6">
        <v>-300</v>
      </c>
      <c r="M4" s="6"/>
      <c r="N4" s="45">
        <v>0</v>
      </c>
      <c r="O4" s="18">
        <f>IF(COUNTA($F4,$K4,$P4,$U4)&gt;0,O3+SUM(L4:N4),"")</f>
        <v>24700</v>
      </c>
      <c r="P4" s="5" t="s">
        <v>186</v>
      </c>
      <c r="Q4" s="6">
        <v>-300</v>
      </c>
      <c r="R4" s="6"/>
      <c r="S4" s="45">
        <v>0</v>
      </c>
      <c r="T4" s="18">
        <f>IF(COUNTA($F4,$K4,$P4,$U4)&gt;0,T3+SUM(Q4:S4),"")</f>
        <v>24700</v>
      </c>
      <c r="U4" s="5" t="s">
        <v>187</v>
      </c>
      <c r="V4" s="6">
        <v>1100</v>
      </c>
      <c r="W4" s="6"/>
      <c r="X4" s="45">
        <v>0</v>
      </c>
      <c r="Y4" s="18">
        <f>IF(COUNTA($F4,$K4,$P4,$U4)&gt;0,Y3+SUM(V4:X4),"")</f>
        <v>26100</v>
      </c>
      <c r="Z4" s="50">
        <f>IF($J4="","",ROUND(($J4-30000)/1000,1)+(2.5-_xlfn.RANK.AVG($J4,($J4,$O4,$T4,$Y4)))*20+IF(_xlfn.RANK.EQ($J4,($J4,$O4,$T4,$Y4))=1,20/((_xlfn.RANK.AVG($J4,($J4,$O4,$T4,$Y4))-1)*2+1),0))</f>
        <v>-35.5</v>
      </c>
      <c r="AA4" s="51">
        <f>IF($O4="","",ROUND(($O4-30000)/1000,1)+(2.5-_xlfn.RANK.AVG($O4,($J4,$O4,$T4,$Y4)))*20+IF(_xlfn.RANK.EQ($O4,($J4,$O4,$T4,$Y4))=1,20/((_xlfn.RANK.AVG($O4,($J4,$O4,$T4,$Y4))-1)*2+1),0))</f>
        <v>-5.3</v>
      </c>
      <c r="AB4" s="51">
        <f>IF($T4="","",ROUND(($T4-30000)/1000,1)+(2.5-_xlfn.RANK.AVG($T4,($J4,$O4,$T4,$Y4)))*20+IF(_xlfn.RANK.EQ($T4,($J4,$O4,$T4,$Y4))=1,20/((_xlfn.RANK.AVG($T4,($J4,$O4,$T4,$Y4))-1)*2+1),0))</f>
        <v>-5.3</v>
      </c>
      <c r="AC4" s="52">
        <f>IF($Y4="","",ROUND(($Y4-30000)/1000,1)+(2.5-_xlfn.RANK.AVG($Y4,($J4,$O4,$T4,$Y4)))*20+IF(_xlfn.RANK.EQ($Y4,($J4,$O4,$T4,$Y4))=1,20/((_xlfn.RANK.AVG($Y4,($J4,$O4,$T4,$Y4))-1)*2+1),0))</f>
        <v>46.1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>
        <v>1</v>
      </c>
      <c r="CU4" s="27">
        <v>30</v>
      </c>
      <c r="CV4" s="37" t="s">
        <v>84</v>
      </c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184</v>
      </c>
      <c r="F5" s="5" t="s">
        <v>186</v>
      </c>
      <c r="G5" s="6">
        <v>-6000</v>
      </c>
      <c r="H5" s="6"/>
      <c r="I5" s="45">
        <v>0</v>
      </c>
      <c r="J5" s="18">
        <f t="shared" ref="J5:J30" si="2">IF(COUNTA($F5,$K5,$P5,$U5)&gt;0,J4+SUM(G5:I5),"")</f>
        <v>18500</v>
      </c>
      <c r="K5" s="5" t="s">
        <v>187</v>
      </c>
      <c r="L5" s="6">
        <v>18000</v>
      </c>
      <c r="M5" s="6"/>
      <c r="N5" s="45">
        <v>0</v>
      </c>
      <c r="O5" s="18">
        <f>IF(COUNTA($F5,$K5,$P5,$U5)&gt;0,O4+SUM(L5:N5),"")</f>
        <v>42700</v>
      </c>
      <c r="P5" s="5" t="s">
        <v>186</v>
      </c>
      <c r="Q5" s="6">
        <v>-6000</v>
      </c>
      <c r="R5" s="6"/>
      <c r="S5" s="45">
        <v>0</v>
      </c>
      <c r="T5" s="18">
        <f t="shared" ref="T5:T30" si="3">IF(COUNTA($F5,$K5,$P5,$U5)&gt;0,T4+SUM(Q5:S5),"")</f>
        <v>18700</v>
      </c>
      <c r="U5" s="5" t="s">
        <v>186</v>
      </c>
      <c r="V5" s="6">
        <v>-6000</v>
      </c>
      <c r="W5" s="6"/>
      <c r="X5" s="45">
        <v>0</v>
      </c>
      <c r="Y5" s="18">
        <f t="shared" ref="Y5:Y30" si="4">IF(COUNTA($F5,$K5,$P5,$U5)&gt;0,Y4+SUM(V5:X5),"")</f>
        <v>20100</v>
      </c>
      <c r="Z5" s="50">
        <f>IF($J5="","",ROUND(($J5-30000)/1000,1)+(2.5-_xlfn.RANK.AVG($J5,($J5,$O5,$T5,$Y5)))*20+IF(_xlfn.RANK.EQ($J5,($J5,$O5,$T5,$Y5))=1,20/((_xlfn.RANK.AVG($J5,($J5,$O5,$T5,$Y5))-1)*2+1),0))</f>
        <v>-41.5</v>
      </c>
      <c r="AA5" s="51">
        <f>IF($O5="","",ROUND(($O5-30000)/1000,1)+(2.5-_xlfn.RANK.AVG($O5,($J5,$O5,$T5,$Y5)))*20+IF(_xlfn.RANK.EQ($O5,($J5,$O5,$T5,$Y5))=1,20/((_xlfn.RANK.AVG($O5,($J5,$O5,$T5,$Y5))-1)*2+1),0))</f>
        <v>62.7</v>
      </c>
      <c r="AB5" s="51">
        <f>IF($T5="","",ROUND(($T5-30000)/1000,1)+(2.5-_xlfn.RANK.AVG($T5,($J5,$O5,$T5,$Y5)))*20+IF(_xlfn.RANK.EQ($T5,($J5,$O5,$T5,$Y5))=1,20/((_xlfn.RANK.AVG($T5,($J5,$O5,$T5,$Y5))-1)*2+1),0))</f>
        <v>-21.3</v>
      </c>
      <c r="AC5" s="52">
        <f>IF($Y5="","",ROUND(($Y5-30000)/1000,1)+(2.5-_xlfn.RANK.AVG($Y5,($J5,$O5,$T5,$Y5)))*20+IF(_xlfn.RANK.EQ($Y5,($J5,$O5,$T5,$Y5))=1,20/((_xlfn.RANK.AVG($Y5,($J5,$O5,$T5,$Y5))-1)*2+1),0))</f>
        <v>9.9999999999999645E-2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6</v>
      </c>
      <c r="BE5" s="27" t="s">
        <v>188</v>
      </c>
      <c r="BF5" s="37" t="s">
        <v>189</v>
      </c>
      <c r="BG5" s="38" t="s">
        <v>81</v>
      </c>
      <c r="BH5" s="38" t="s">
        <v>82</v>
      </c>
      <c r="BI5" s="38" t="s">
        <v>78</v>
      </c>
      <c r="BJ5" s="38" t="s">
        <v>79</v>
      </c>
      <c r="BK5" s="38" t="s">
        <v>190</v>
      </c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">
        <v>184</v>
      </c>
      <c r="F6" s="5" t="s">
        <v>191</v>
      </c>
      <c r="G6" s="6">
        <v>-8000</v>
      </c>
      <c r="H6" s="6"/>
      <c r="I6" s="45">
        <v>-300</v>
      </c>
      <c r="J6" s="18">
        <f t="shared" si="2"/>
        <v>10200</v>
      </c>
      <c r="K6" s="5"/>
      <c r="L6" s="6"/>
      <c r="M6" s="6"/>
      <c r="N6" s="45"/>
      <c r="O6" s="18">
        <f t="shared" ref="O6:O30" si="8">IF(COUNTA($F6,$K6,$P6,$U6)&gt;0,O5+SUM(L6:N6),"")</f>
        <v>42700</v>
      </c>
      <c r="P6" s="5"/>
      <c r="Q6" s="6"/>
      <c r="R6" s="6"/>
      <c r="S6" s="45"/>
      <c r="T6" s="18">
        <f t="shared" si="3"/>
        <v>18700</v>
      </c>
      <c r="U6" s="5" t="s">
        <v>192</v>
      </c>
      <c r="V6" s="6">
        <v>8000</v>
      </c>
      <c r="W6" s="6"/>
      <c r="X6" s="45">
        <v>300</v>
      </c>
      <c r="Y6" s="18">
        <f t="shared" si="4"/>
        <v>28400</v>
      </c>
      <c r="Z6" s="50">
        <f>IF($J6="","",ROUND(($J6-30000)/1000,1)+(2.5-_xlfn.RANK.AVG($J6,($J6,$O6,$T6,$Y6)))*20+IF(_xlfn.RANK.EQ($J6,($J6,$O6,$T6,$Y6))=1,20/((_xlfn.RANK.AVG($J6,($J6,$O6,$T6,$Y6))-1)*2+1),0))</f>
        <v>-49.8</v>
      </c>
      <c r="AA6" s="51">
        <f>IF($O6="","",ROUND(($O6-30000)/1000,1)+(2.5-_xlfn.RANK.AVG($O6,($J6,$O6,$T6,$Y6)))*20+IF(_xlfn.RANK.EQ($O6,($J6,$O6,$T6,$Y6))=1,20/((_xlfn.RANK.AVG($O6,($J6,$O6,$T6,$Y6))-1)*2+1),0))</f>
        <v>62.7</v>
      </c>
      <c r="AB6" s="51">
        <f>IF($T6="","",ROUND(($T6-30000)/1000,1)+(2.5-_xlfn.RANK.AVG($T6,($J6,$O6,$T6,$Y6)))*20+IF(_xlfn.RANK.EQ($T6,($J6,$O6,$T6,$Y6))=1,20/((_xlfn.RANK.AVG($T6,($J6,$O6,$T6,$Y6))-1)*2+1),0))</f>
        <v>-21.3</v>
      </c>
      <c r="AC6" s="52">
        <f>IF($Y6="","",ROUND(($Y6-30000)/1000,1)+(2.5-_xlfn.RANK.AVG($Y6,($J6,$O6,$T6,$Y6)))*20+IF(_xlfn.RANK.EQ($Y6,($J6,$O6,$T6,$Y6))=1,20/((_xlfn.RANK.AVG($Y6,($J6,$O6,$T6,$Y6))-1)*2+1),0))</f>
        <v>8.4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>
        <v>4</v>
      </c>
      <c r="CU6" s="27">
        <v>30</v>
      </c>
      <c r="CV6" s="37" t="s">
        <v>85</v>
      </c>
      <c r="CW6" s="38" t="s">
        <v>85</v>
      </c>
      <c r="CX6" s="38" t="s">
        <v>190</v>
      </c>
      <c r="CY6" s="38" t="s">
        <v>190</v>
      </c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183</v>
      </c>
      <c r="F7" s="5" t="s">
        <v>187</v>
      </c>
      <c r="G7" s="6">
        <v>8000</v>
      </c>
      <c r="H7" s="6"/>
      <c r="I7" s="45">
        <v>0</v>
      </c>
      <c r="J7" s="18">
        <f t="shared" si="2"/>
        <v>18200</v>
      </c>
      <c r="K7" s="5" t="s">
        <v>186</v>
      </c>
      <c r="L7" s="6">
        <v>-2000</v>
      </c>
      <c r="M7" s="6"/>
      <c r="N7" s="45">
        <v>0</v>
      </c>
      <c r="O7" s="18">
        <f t="shared" si="8"/>
        <v>40700</v>
      </c>
      <c r="P7" s="5" t="s">
        <v>186</v>
      </c>
      <c r="Q7" s="6">
        <v>-4000</v>
      </c>
      <c r="R7" s="6"/>
      <c r="S7" s="45">
        <v>0</v>
      </c>
      <c r="T7" s="18">
        <f t="shared" si="3"/>
        <v>14700</v>
      </c>
      <c r="U7" s="5" t="s">
        <v>186</v>
      </c>
      <c r="V7" s="6">
        <v>-2000</v>
      </c>
      <c r="W7" s="6"/>
      <c r="X7" s="45">
        <v>0</v>
      </c>
      <c r="Y7" s="18">
        <f t="shared" si="4"/>
        <v>26400</v>
      </c>
      <c r="Z7" s="50">
        <f>IF($J7="","",ROUND(($J7-30000)/1000,1)+(2.5-_xlfn.RANK.AVG($J7,($J7,$O7,$T7,$Y7)))*20+IF(_xlfn.RANK.EQ($J7,($J7,$O7,$T7,$Y7))=1,20/((_xlfn.RANK.AVG($J7,($J7,$O7,$T7,$Y7))-1)*2+1),0))</f>
        <v>-21.8</v>
      </c>
      <c r="AA7" s="51">
        <f>IF($O7="","",ROUND(($O7-30000)/1000,1)+(2.5-_xlfn.RANK.AVG($O7,($J7,$O7,$T7,$Y7)))*20+IF(_xlfn.RANK.EQ($O7,($J7,$O7,$T7,$Y7))=1,20/((_xlfn.RANK.AVG($O7,($J7,$O7,$T7,$Y7))-1)*2+1),0))</f>
        <v>60.7</v>
      </c>
      <c r="AB7" s="51">
        <f>IF($T7="","",ROUND(($T7-30000)/1000,1)+(2.5-_xlfn.RANK.AVG($T7,($J7,$O7,$T7,$Y7)))*20+IF(_xlfn.RANK.EQ($T7,($J7,$O7,$T7,$Y7))=1,20/((_xlfn.RANK.AVG($T7,($J7,$O7,$T7,$Y7))-1)*2+1),0))</f>
        <v>-45.3</v>
      </c>
      <c r="AC7" s="52">
        <f>IF($Y7="","",ROUND(($Y7-30000)/1000,1)+(2.5-_xlfn.RANK.AVG($Y7,($J7,$O7,$T7,$Y7)))*20+IF(_xlfn.RANK.EQ($Y7,($J7,$O7,$T7,$Y7))=1,20/((_xlfn.RANK.AVG($Y7,($J7,$O7,$T7,$Y7))-1)*2+1),0))</f>
        <v>6.4</v>
      </c>
      <c r="AE7" s="5"/>
      <c r="AF7" s="31"/>
      <c r="AG7" s="23"/>
      <c r="AH7" s="23">
        <v>1</v>
      </c>
      <c r="AI7" s="23">
        <v>5</v>
      </c>
      <c r="AJ7" s="27" t="s">
        <v>188</v>
      </c>
      <c r="AK7" s="37" t="s">
        <v>85</v>
      </c>
      <c r="AL7" s="38" t="s">
        <v>85</v>
      </c>
      <c r="AM7" s="38" t="s">
        <v>78</v>
      </c>
      <c r="AN7" s="38" t="s">
        <v>78</v>
      </c>
      <c r="AO7" s="38" t="s">
        <v>190</v>
      </c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182</v>
      </c>
      <c r="F8" s="5" t="s">
        <v>192</v>
      </c>
      <c r="G8" s="6">
        <v>6400</v>
      </c>
      <c r="H8" s="6"/>
      <c r="I8" s="45">
        <v>0</v>
      </c>
      <c r="J8" s="18">
        <f t="shared" si="2"/>
        <v>24600</v>
      </c>
      <c r="K8" s="5"/>
      <c r="L8" s="6"/>
      <c r="M8" s="6"/>
      <c r="N8" s="45"/>
      <c r="O8" s="18">
        <f t="shared" si="8"/>
        <v>40700</v>
      </c>
      <c r="P8" s="5"/>
      <c r="Q8" s="6"/>
      <c r="R8" s="6"/>
      <c r="S8" s="45"/>
      <c r="T8" s="18">
        <f t="shared" si="3"/>
        <v>14700</v>
      </c>
      <c r="U8" s="5" t="s">
        <v>191</v>
      </c>
      <c r="V8" s="6">
        <v>-6400</v>
      </c>
      <c r="W8" s="6"/>
      <c r="X8" s="45">
        <v>0</v>
      </c>
      <c r="Y8" s="18">
        <f t="shared" si="4"/>
        <v>20000</v>
      </c>
      <c r="Z8" s="50">
        <f>IF($J8="","",ROUND(($J8-30000)/1000,1)+(2.5-_xlfn.RANK.AVG($J8,($J8,$O8,$T8,$Y8)))*20+IF(_xlfn.RANK.EQ($J8,($J8,$O8,$T8,$Y8))=1,20/((_xlfn.RANK.AVG($J8,($J8,$O8,$T8,$Y8))-1)*2+1),0))</f>
        <v>4.5999999999999996</v>
      </c>
      <c r="AA8" s="51">
        <f>IF($O8="","",ROUND(($O8-30000)/1000,1)+(2.5-_xlfn.RANK.AVG($O8,($J8,$O8,$T8,$Y8)))*20+IF(_xlfn.RANK.EQ($O8,($J8,$O8,$T8,$Y8))=1,20/((_xlfn.RANK.AVG($O8,($J8,$O8,$T8,$Y8))-1)*2+1),0))</f>
        <v>60.7</v>
      </c>
      <c r="AB8" s="51">
        <f>IF($T8="","",ROUND(($T8-30000)/1000,1)+(2.5-_xlfn.RANK.AVG($T8,($J8,$O8,$T8,$Y8)))*20+IF(_xlfn.RANK.EQ($T8,($J8,$O8,$T8,$Y8))=1,20/((_xlfn.RANK.AVG($T8,($J8,$O8,$T8,$Y8))-1)*2+1),0))</f>
        <v>-45.3</v>
      </c>
      <c r="AC8" s="52">
        <f>IF($Y8="","",ROUND(($Y8-30000)/1000,1)+(2.5-_xlfn.RANK.AVG($Y8,($J8,$O8,$T8,$Y8)))*20+IF(_xlfn.RANK.EQ($Y8,($J8,$O8,$T8,$Y8))=1,20/((_xlfn.RANK.AVG($Y8,($J8,$O8,$T8,$Y8))-1)*2+1),0))</f>
        <v>-20</v>
      </c>
      <c r="AE8" s="5"/>
      <c r="AF8" s="31"/>
      <c r="AG8" s="23">
        <v>1</v>
      </c>
      <c r="AH8" s="23"/>
      <c r="AI8" s="23">
        <v>4</v>
      </c>
      <c r="AJ8" s="27">
        <v>25</v>
      </c>
      <c r="AK8" s="37" t="s">
        <v>189</v>
      </c>
      <c r="AL8" s="38" t="s">
        <v>100</v>
      </c>
      <c r="AM8" s="38" t="s">
        <v>190</v>
      </c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">
        <v>181</v>
      </c>
      <c r="F9" s="5" t="s">
        <v>193</v>
      </c>
      <c r="G9" s="6">
        <v>-1000</v>
      </c>
      <c r="H9" s="6"/>
      <c r="I9" s="45"/>
      <c r="J9" s="18">
        <f t="shared" si="2"/>
        <v>23600</v>
      </c>
      <c r="K9" s="5" t="s">
        <v>193</v>
      </c>
      <c r="L9" s="6">
        <v>3000</v>
      </c>
      <c r="M9" s="6">
        <v>-1000</v>
      </c>
      <c r="N9" s="45"/>
      <c r="O9" s="18">
        <f t="shared" si="8"/>
        <v>42700</v>
      </c>
      <c r="P9" s="5" t="s">
        <v>193</v>
      </c>
      <c r="Q9" s="6">
        <v>-1000</v>
      </c>
      <c r="R9" s="6"/>
      <c r="S9" s="45"/>
      <c r="T9" s="18">
        <f t="shared" si="3"/>
        <v>13700</v>
      </c>
      <c r="U9" s="5" t="s">
        <v>193</v>
      </c>
      <c r="V9" s="6">
        <v>-1000</v>
      </c>
      <c r="W9" s="6"/>
      <c r="X9" s="45"/>
      <c r="Y9" s="18">
        <f t="shared" si="4"/>
        <v>19000</v>
      </c>
      <c r="Z9" s="50">
        <f>IF($J9="","",ROUND(($J9-30000)/1000,1)+(2.5-_xlfn.RANK.AVG($J9,($J9,$O9,$T9,$Y9)))*20+IF(_xlfn.RANK.EQ($J9,($J9,$O9,$T9,$Y9))=1,20/((_xlfn.RANK.AVG($J9,($J9,$O9,$T9,$Y9))-1)*2+1),0))</f>
        <v>3.5999999999999996</v>
      </c>
      <c r="AA9" s="51">
        <f>IF($O9="","",ROUND(($O9-30000)/1000,1)+(2.5-_xlfn.RANK.AVG($O9,($J9,$O9,$T9,$Y9)))*20+IF(_xlfn.RANK.EQ($O9,($J9,$O9,$T9,$Y9))=1,20/((_xlfn.RANK.AVG($O9,($J9,$O9,$T9,$Y9))-1)*2+1),0))</f>
        <v>62.7</v>
      </c>
      <c r="AB9" s="51">
        <f>IF($T9="","",ROUND(($T9-30000)/1000,1)+(2.5-_xlfn.RANK.AVG($T9,($J9,$O9,$T9,$Y9)))*20+IF(_xlfn.RANK.EQ($T9,($J9,$O9,$T9,$Y9))=1,20/((_xlfn.RANK.AVG($T9,($J9,$O9,$T9,$Y9))-1)*2+1),0))</f>
        <v>-46.3</v>
      </c>
      <c r="AC9" s="52">
        <f>IF($Y9="","",ROUND(($Y9-30000)/1000,1)+(2.5-_xlfn.RANK.AVG($Y9,($J9,$O9,$T9,$Y9)))*20+IF(_xlfn.RANK.EQ($Y9,($J9,$O9,$T9,$Y9))=1,20/((_xlfn.RANK.AVG($Y9,($J9,$O9,$T9,$Y9))-1)*2+1),0))</f>
        <v>-21</v>
      </c>
      <c r="AE9" s="5" t="s">
        <v>194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195</v>
      </c>
      <c r="BA9" s="31"/>
      <c r="BB9" s="23">
        <v>1</v>
      </c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194</v>
      </c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194</v>
      </c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1</v>
      </c>
      <c r="E10" s="63" t="s">
        <v>184</v>
      </c>
      <c r="F10" s="5" t="s">
        <v>196</v>
      </c>
      <c r="G10" s="6"/>
      <c r="H10" s="6">
        <v>-1000</v>
      </c>
      <c r="I10" s="45"/>
      <c r="J10" s="18">
        <f t="shared" si="2"/>
        <v>22600</v>
      </c>
      <c r="K10" s="5" t="s">
        <v>196</v>
      </c>
      <c r="L10" s="6"/>
      <c r="M10" s="6"/>
      <c r="N10" s="45"/>
      <c r="O10" s="18">
        <f t="shared" si="8"/>
        <v>42700</v>
      </c>
      <c r="P10" s="5" t="s">
        <v>196</v>
      </c>
      <c r="Q10" s="6"/>
      <c r="R10" s="6"/>
      <c r="S10" s="45"/>
      <c r="T10" s="18">
        <f t="shared" si="3"/>
        <v>13700</v>
      </c>
      <c r="U10" s="5" t="s">
        <v>196</v>
      </c>
      <c r="V10" s="6">
        <v>-10000</v>
      </c>
      <c r="W10" s="6"/>
      <c r="X10" s="45"/>
      <c r="Y10" s="18">
        <f t="shared" si="4"/>
        <v>9000</v>
      </c>
      <c r="Z10" s="50">
        <f>IF($J10="","",ROUND(($J10-30000)/1000,1)+(2.5-_xlfn.RANK.AVG($J10,($J10,$O10,$T10,$Y10)))*20+IF(_xlfn.RANK.EQ($J10,($J10,$O10,$T10,$Y10))=1,20/((_xlfn.RANK.AVG($J10,($J10,$O10,$T10,$Y10))-1)*2+1),0))</f>
        <v>2.5999999999999996</v>
      </c>
      <c r="AA10" s="51">
        <f>IF($O10="","",ROUND(($O10-30000)/1000,1)+(2.5-_xlfn.RANK.AVG($O10,($J10,$O10,$T10,$Y10)))*20+IF(_xlfn.RANK.EQ($O10,($J10,$O10,$T10,$Y10))=1,20/((_xlfn.RANK.AVG($O10,($J10,$O10,$T10,$Y10))-1)*2+1),0))</f>
        <v>62.7</v>
      </c>
      <c r="AB10" s="51">
        <f>IF($T10="","",ROUND(($T10-30000)/1000,1)+(2.5-_xlfn.RANK.AVG($T10,($J10,$O10,$T10,$Y10)))*20+IF(_xlfn.RANK.EQ($T10,($J10,$O10,$T10,$Y10))=1,20/((_xlfn.RANK.AVG($T10,($J10,$O10,$T10,$Y10))-1)*2+1),0))</f>
        <v>-26.3</v>
      </c>
      <c r="AC10" s="52">
        <f>IF($Y10="","",ROUND(($Y10-30000)/1000,1)+(2.5-_xlfn.RANK.AVG($Y10,($J10,$O10,$T10,$Y10)))*20+IF(_xlfn.RANK.EQ($Y10,($J10,$O10,$T10,$Y10))=1,20/((_xlfn.RANK.AVG($Y10,($J10,$O10,$T10,$Y10))-1)*2+1),0))</f>
        <v>-51</v>
      </c>
      <c r="AE10" s="5"/>
      <c r="AF10" s="31"/>
      <c r="AG10" s="23">
        <v>1</v>
      </c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>
        <v>1</v>
      </c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>
        <v>1</v>
      </c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2</v>
      </c>
      <c r="E11" s="63" t="s">
        <v>184</v>
      </c>
      <c r="F11" s="5"/>
      <c r="G11" s="6"/>
      <c r="H11" s="6"/>
      <c r="I11" s="45"/>
      <c r="J11" s="18">
        <f t="shared" si="2"/>
        <v>22600</v>
      </c>
      <c r="K11" s="5"/>
      <c r="L11" s="6"/>
      <c r="M11" s="6">
        <v>-1000</v>
      </c>
      <c r="N11" s="45"/>
      <c r="O11" s="18">
        <f t="shared" si="8"/>
        <v>41700</v>
      </c>
      <c r="P11" s="5" t="s">
        <v>192</v>
      </c>
      <c r="Q11" s="6">
        <v>12000</v>
      </c>
      <c r="R11" s="6">
        <v>3000</v>
      </c>
      <c r="S11" s="45">
        <v>300</v>
      </c>
      <c r="T11" s="18">
        <f t="shared" si="3"/>
        <v>29000</v>
      </c>
      <c r="U11" s="5" t="s">
        <v>191</v>
      </c>
      <c r="V11" s="6">
        <v>-12000</v>
      </c>
      <c r="W11" s="6"/>
      <c r="X11" s="45">
        <v>-300</v>
      </c>
      <c r="Y11" s="18">
        <f t="shared" si="4"/>
        <v>-3300</v>
      </c>
      <c r="Z11" s="50">
        <f>IF($J11="","",ROUND(($J11-30000)/1000,1)+(2.5-_xlfn.RANK.AVG($J11,($J11,$O11,$T11,$Y11)))*20+IF(_xlfn.RANK.EQ($J11,($J11,$O11,$T11,$Y11))=1,20/((_xlfn.RANK.AVG($J11,($J11,$O11,$T11,$Y11))-1)*2+1),0))</f>
        <v>-17.399999999999999</v>
      </c>
      <c r="AA11" s="51">
        <f>IF($O11="","",ROUND(($O11-30000)/1000,1)+(2.5-_xlfn.RANK.AVG($O11,($J11,$O11,$T11,$Y11)))*20+IF(_xlfn.RANK.EQ($O11,($J11,$O11,$T11,$Y11))=1,20/((_xlfn.RANK.AVG($O11,($J11,$O11,$T11,$Y11))-1)*2+1),0))</f>
        <v>61.7</v>
      </c>
      <c r="AB11" s="51">
        <f>IF($T11="","",ROUND(($T11-30000)/1000,1)+(2.5-_xlfn.RANK.AVG($T11,($J11,$O11,$T11,$Y11)))*20+IF(_xlfn.RANK.EQ($T11,($J11,$O11,$T11,$Y11))=1,20/((_xlfn.RANK.AVG($T11,($J11,$O11,$T11,$Y11))-1)*2+1),0))</f>
        <v>9</v>
      </c>
      <c r="AC11" s="52">
        <f>IF($Y11="","",ROUND(($Y11-30000)/1000,1)+(2.5-_xlfn.RANK.AVG($Y11,($J11,$O11,$T11,$Y11)))*20+IF(_xlfn.RANK.EQ($Y11,($J11,$O11,$T11,$Y11))=1,20/((_xlfn.RANK.AVG($Y11,($J11,$O11,$T11,$Y11))-1)*2+1),0))</f>
        <v>-63.3</v>
      </c>
      <c r="AE11" s="5"/>
      <c r="AF11" s="31"/>
      <c r="AG11" s="23"/>
      <c r="AH11" s="23">
        <v>1</v>
      </c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>
        <v>1</v>
      </c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>
        <v>6</v>
      </c>
      <c r="BZ11" s="27" t="s">
        <v>188</v>
      </c>
      <c r="CA11" s="37" t="s">
        <v>189</v>
      </c>
      <c r="CB11" s="38" t="s">
        <v>85</v>
      </c>
      <c r="CC11" s="38" t="s">
        <v>190</v>
      </c>
      <c r="CD11" s="38" t="s">
        <v>79</v>
      </c>
      <c r="CE11" s="38" t="s">
        <v>79</v>
      </c>
      <c r="CF11" s="38" t="s">
        <v>79</v>
      </c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">
        <v>183</v>
      </c>
      <c r="F12" s="5" t="s">
        <v>192</v>
      </c>
      <c r="G12" s="6">
        <v>2000</v>
      </c>
      <c r="H12" s="6">
        <v>1000</v>
      </c>
      <c r="I12" s="45">
        <v>0</v>
      </c>
      <c r="J12" s="18">
        <f t="shared" si="2"/>
        <v>25600</v>
      </c>
      <c r="K12" s="5"/>
      <c r="L12" s="6"/>
      <c r="M12" s="6">
        <v>0</v>
      </c>
      <c r="N12" s="45"/>
      <c r="O12" s="18">
        <f t="shared" si="8"/>
        <v>41700</v>
      </c>
      <c r="P12" s="5" t="s">
        <v>191</v>
      </c>
      <c r="Q12" s="6">
        <v>-2000</v>
      </c>
      <c r="R12" s="6">
        <v>-1000</v>
      </c>
      <c r="S12" s="45">
        <v>0</v>
      </c>
      <c r="T12" s="18">
        <f t="shared" si="3"/>
        <v>26000</v>
      </c>
      <c r="U12" s="5"/>
      <c r="V12" s="6"/>
      <c r="W12" s="6"/>
      <c r="X12" s="45"/>
      <c r="Y12" s="18">
        <f t="shared" si="4"/>
        <v>-3300</v>
      </c>
      <c r="Z12" s="50">
        <f>IF($J12="","",ROUND(($J12-30000)/1000,1)+(2.5-_xlfn.RANK.AVG($J12,($J12,$O12,$T12,$Y12)))*20+IF(_xlfn.RANK.EQ($J12,($J12,$O12,$T12,$Y12))=1,20/((_xlfn.RANK.AVG($J12,($J12,$O12,$T12,$Y12))-1)*2+1),0))</f>
        <v>-14.4</v>
      </c>
      <c r="AA12" s="51">
        <f>IF($O12="","",ROUND(($O12-30000)/1000,1)+(2.5-_xlfn.RANK.AVG($O12,($J12,$O12,$T12,$Y12)))*20+IF(_xlfn.RANK.EQ($O12,($J12,$O12,$T12,$Y12))=1,20/((_xlfn.RANK.AVG($O12,($J12,$O12,$T12,$Y12))-1)*2+1),0))</f>
        <v>61.7</v>
      </c>
      <c r="AB12" s="51">
        <f>IF($T12="","",ROUND(($T12-30000)/1000,1)+(2.5-_xlfn.RANK.AVG($T12,($J12,$O12,$T12,$Y12)))*20+IF(_xlfn.RANK.EQ($T12,($J12,$O12,$T12,$Y12))=1,20/((_xlfn.RANK.AVG($T12,($J12,$O12,$T12,$Y12))-1)*2+1),0))</f>
        <v>6</v>
      </c>
      <c r="AC12" s="52">
        <f>IF($Y12="","",ROUND(($Y12-30000)/1000,1)+(2.5-_xlfn.RANK.AVG($Y12,($J12,$O12,$T12,$Y12)))*20+IF(_xlfn.RANK.EQ($Y12,($J12,$O12,$T12,$Y12))=1,20/((_xlfn.RANK.AVG($Y12,($J12,$O12,$T12,$Y12))-1)*2+1),0))</f>
        <v>-63.3</v>
      </c>
      <c r="AE12" s="5"/>
      <c r="AF12" s="31"/>
      <c r="AG12" s="23"/>
      <c r="AH12" s="23">
        <v>1</v>
      </c>
      <c r="AI12" s="23">
        <v>2</v>
      </c>
      <c r="AJ12" s="27">
        <v>30</v>
      </c>
      <c r="AK12" s="37" t="s">
        <v>85</v>
      </c>
      <c r="AL12" s="38" t="s">
        <v>78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>
        <v>1</v>
      </c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8322D19-CF4C-4B90-BECE-0292ACBF2F45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6E48-AE3F-4D96-AFA9-120A8F66C3AD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198</v>
      </c>
      <c r="G1" s="73"/>
      <c r="H1" s="73"/>
      <c r="I1" s="74"/>
      <c r="J1" s="75"/>
      <c r="K1" s="72" t="s">
        <v>185</v>
      </c>
      <c r="L1" s="73"/>
      <c r="M1" s="73"/>
      <c r="N1" s="74"/>
      <c r="O1" s="75"/>
      <c r="P1" s="72" t="s">
        <v>182</v>
      </c>
      <c r="Q1" s="73"/>
      <c r="R1" s="73"/>
      <c r="S1" s="74"/>
      <c r="T1" s="75"/>
      <c r="U1" s="72" t="s">
        <v>181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高橋桜</v>
      </c>
      <c r="AF1" s="82" t="str">
        <f t="shared" ref="AF1:AY1" si="0">$F$1</f>
        <v>高橋桜</v>
      </c>
      <c r="AG1" s="73" t="str">
        <f t="shared" si="0"/>
        <v>高橋桜</v>
      </c>
      <c r="AH1" s="73" t="str">
        <f t="shared" si="0"/>
        <v>高橋桜</v>
      </c>
      <c r="AI1" s="73" t="str">
        <f t="shared" si="0"/>
        <v>高橋桜</v>
      </c>
      <c r="AJ1" s="73" t="str">
        <f t="shared" si="0"/>
        <v>高橋桜</v>
      </c>
      <c r="AK1" s="73" t="str">
        <f t="shared" si="0"/>
        <v>高橋桜</v>
      </c>
      <c r="AL1" s="73" t="str">
        <f t="shared" si="0"/>
        <v>高橋桜</v>
      </c>
      <c r="AM1" s="73" t="str">
        <f t="shared" si="0"/>
        <v>高橋桜</v>
      </c>
      <c r="AN1" s="73" t="str">
        <f t="shared" si="0"/>
        <v>高橋桜</v>
      </c>
      <c r="AO1" s="73" t="str">
        <f t="shared" si="0"/>
        <v>高橋桜</v>
      </c>
      <c r="AP1" s="73" t="str">
        <f t="shared" si="0"/>
        <v>高橋桜</v>
      </c>
      <c r="AQ1" s="73" t="str">
        <f t="shared" si="0"/>
        <v>高橋桜</v>
      </c>
      <c r="AR1" s="73" t="str">
        <f t="shared" si="0"/>
        <v>高橋桜</v>
      </c>
      <c r="AS1" s="73" t="str">
        <f t="shared" si="0"/>
        <v>高橋桜</v>
      </c>
      <c r="AT1" s="73" t="str">
        <f t="shared" si="0"/>
        <v>高橋桜</v>
      </c>
      <c r="AU1" s="73" t="str">
        <f t="shared" si="0"/>
        <v>高橋桜</v>
      </c>
      <c r="AV1" s="73" t="str">
        <f t="shared" si="0"/>
        <v>高橋桜</v>
      </c>
      <c r="AW1" s="73" t="str">
        <f t="shared" si="0"/>
        <v>高橋桜</v>
      </c>
      <c r="AX1" s="73" t="str">
        <f t="shared" si="0"/>
        <v>高橋桜</v>
      </c>
      <c r="AY1" s="75" t="str">
        <f t="shared" si="0"/>
        <v>高橋桜</v>
      </c>
      <c r="AZ1" s="72" t="str">
        <f>IF($K$1="","",$K$1)</f>
        <v>福澤大地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高野源太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滝沢悠人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高橋桜</v>
      </c>
      <c r="AA2" s="69" t="str">
        <f>IF($K$1="","",$K$1)</f>
        <v>福澤大地</v>
      </c>
      <c r="AB2" s="69" t="str">
        <f>IF($P$1="","",$P$1)</f>
        <v>高野源太</v>
      </c>
      <c r="AC2" s="70" t="str">
        <f>IF($U$1="","",$U$1)</f>
        <v>滝沢悠人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高橋桜</v>
      </c>
      <c r="F4" s="5" t="s">
        <v>186</v>
      </c>
      <c r="G4" s="6">
        <v>-2000</v>
      </c>
      <c r="H4" s="6"/>
      <c r="I4" s="45">
        <v>0</v>
      </c>
      <c r="J4" s="18">
        <f>IF(COUNTA($F4,$K4,$P4,$U4)&gt;0,J3+SUM(G4:I4),"")</f>
        <v>23000</v>
      </c>
      <c r="K4" s="5" t="s">
        <v>187</v>
      </c>
      <c r="L4" s="6">
        <v>4000</v>
      </c>
      <c r="M4" s="6">
        <v>1000</v>
      </c>
      <c r="N4" s="45">
        <v>0</v>
      </c>
      <c r="O4" s="18">
        <f>IF(COUNTA($F4,$K4,$P4,$U4)&gt;0,O3+SUM(L4:N4),"")</f>
        <v>30000</v>
      </c>
      <c r="P4" s="5" t="s">
        <v>186</v>
      </c>
      <c r="Q4" s="6">
        <v>-1000</v>
      </c>
      <c r="R4" s="6"/>
      <c r="S4" s="45">
        <v>0</v>
      </c>
      <c r="T4" s="18">
        <f>IF(COUNTA($F4,$K4,$P4,$U4)&gt;0,T3+SUM(Q4:S4),"")</f>
        <v>24000</v>
      </c>
      <c r="U4" s="5" t="s">
        <v>186</v>
      </c>
      <c r="V4" s="6">
        <v>-1000</v>
      </c>
      <c r="W4" s="6">
        <v>-1000</v>
      </c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-27</v>
      </c>
      <c r="AA4" s="51">
        <f>IF($O4="","",ROUND(($O4-30000)/1000,1)+(2.5-_xlfn.RANK.AVG($O4,($J4,$O4,$T4,$Y4)))*20+IF(_xlfn.RANK.EQ($O4,($J4,$O4,$T4,$Y4))=1,20/((_xlfn.RANK.AVG($O4,($J4,$O4,$T4,$Y4))-1)*2+1),0))</f>
        <v>50</v>
      </c>
      <c r="AB4" s="51">
        <f>IF($T4="","",ROUND(($T4-30000)/1000,1)+(2.5-_xlfn.RANK.AVG($T4,($J4,$O4,$T4,$Y4)))*20+IF(_xlfn.RANK.EQ($T4,($J4,$O4,$T4,$Y4))=1,20/((_xlfn.RANK.AVG($T4,($J4,$O4,$T4,$Y4))-1)*2+1),0))</f>
        <v>4</v>
      </c>
      <c r="AC4" s="52">
        <f>IF($Y4="","",ROUND(($Y4-30000)/1000,1)+(2.5-_xlfn.RANK.AVG($Y4,($J4,$O4,$T4,$Y4)))*20+IF(_xlfn.RANK.EQ($Y4,($J4,$O4,$T4,$Y4))=1,20/((_xlfn.RANK.AVG($Y4,($J4,$O4,$T4,$Y4))-1)*2+1),0))</f>
        <v>-27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>
        <v>3</v>
      </c>
      <c r="BE4" s="27">
        <v>30</v>
      </c>
      <c r="BF4" s="37" t="s">
        <v>81</v>
      </c>
      <c r="BG4" s="38" t="s">
        <v>190</v>
      </c>
      <c r="BH4" s="38" t="s">
        <v>190</v>
      </c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185</v>
      </c>
      <c r="F5" s="5" t="s">
        <v>193</v>
      </c>
      <c r="G5" s="6">
        <v>1500</v>
      </c>
      <c r="H5" s="6"/>
      <c r="I5" s="45"/>
      <c r="J5" s="18">
        <f t="shared" ref="J5:J30" si="2">IF(COUNTA($F5,$K5,$P5,$U5)&gt;0,J4+SUM(G5:I5),"")</f>
        <v>24500</v>
      </c>
      <c r="K5" s="5" t="s">
        <v>193</v>
      </c>
      <c r="L5" s="6">
        <v>-1500</v>
      </c>
      <c r="M5" s="6"/>
      <c r="N5" s="45"/>
      <c r="O5" s="18">
        <f>IF(COUNTA($F5,$K5,$P5,$U5)&gt;0,O4+SUM(L5:N5),"")</f>
        <v>28500</v>
      </c>
      <c r="P5" s="5" t="s">
        <v>193</v>
      </c>
      <c r="Q5" s="6">
        <v>-1500</v>
      </c>
      <c r="R5" s="6"/>
      <c r="S5" s="45"/>
      <c r="T5" s="18">
        <f t="shared" ref="T5:T30" si="3">IF(COUNTA($F5,$K5,$P5,$U5)&gt;0,T4+SUM(Q5:S5),"")</f>
        <v>22500</v>
      </c>
      <c r="U5" s="5" t="s">
        <v>193</v>
      </c>
      <c r="V5" s="6">
        <v>1500</v>
      </c>
      <c r="W5" s="6"/>
      <c r="X5" s="45"/>
      <c r="Y5" s="18">
        <f t="shared" ref="Y5:Y30" si="4">IF(COUNTA($F5,$K5,$P5,$U5)&gt;0,Y4+SUM(V5:X5),"")</f>
        <v>24500</v>
      </c>
      <c r="Z5" s="50">
        <f>IF($J5="","",ROUND(($J5-30000)/1000,1)+(2.5-_xlfn.RANK.AVG($J5,($J5,$O5,$T5,$Y5)))*20+IF(_xlfn.RANK.EQ($J5,($J5,$O5,$T5,$Y5))=1,20/((_xlfn.RANK.AVG($J5,($J5,$O5,$T5,$Y5))-1)*2+1),0))</f>
        <v>-5.5</v>
      </c>
      <c r="AA5" s="51">
        <f>IF($O5="","",ROUND(($O5-30000)/1000,1)+(2.5-_xlfn.RANK.AVG($O5,($J5,$O5,$T5,$Y5)))*20+IF(_xlfn.RANK.EQ($O5,($J5,$O5,$T5,$Y5))=1,20/((_xlfn.RANK.AVG($O5,($J5,$O5,$T5,$Y5))-1)*2+1),0))</f>
        <v>48.5</v>
      </c>
      <c r="AB5" s="51">
        <f>IF($T5="","",ROUND(($T5-30000)/1000,1)+(2.5-_xlfn.RANK.AVG($T5,($J5,$O5,$T5,$Y5)))*20+IF(_xlfn.RANK.EQ($T5,($J5,$O5,$T5,$Y5))=1,20/((_xlfn.RANK.AVG($T5,($J5,$O5,$T5,$Y5))-1)*2+1),0))</f>
        <v>-37.5</v>
      </c>
      <c r="AC5" s="52">
        <f>IF($Y5="","",ROUND(($Y5-30000)/1000,1)+(2.5-_xlfn.RANK.AVG($Y5,($J5,$O5,$T5,$Y5)))*20+IF(_xlfn.RANK.EQ($Y5,($J5,$O5,$T5,$Y5))=1,20/((_xlfn.RANK.AVG($Y5,($J5,$O5,$T5,$Y5))-1)*2+1),0))</f>
        <v>-5.5</v>
      </c>
      <c r="AE5" s="5" t="s">
        <v>195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194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194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195</v>
      </c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">
        <v>182</v>
      </c>
      <c r="F6" s="5"/>
      <c r="G6" s="6"/>
      <c r="H6" s="6"/>
      <c r="I6" s="45"/>
      <c r="J6" s="18">
        <f t="shared" si="2"/>
        <v>24500</v>
      </c>
      <c r="K6" s="5" t="s">
        <v>192</v>
      </c>
      <c r="L6" s="6">
        <v>2000</v>
      </c>
      <c r="M6" s="6">
        <v>1000</v>
      </c>
      <c r="N6" s="45">
        <v>300</v>
      </c>
      <c r="O6" s="18">
        <f t="shared" ref="O6:O30" si="8">IF(COUNTA($F6,$K6,$P6,$U6)&gt;0,O5+SUM(L6:N6),"")</f>
        <v>31800</v>
      </c>
      <c r="P6" s="5" t="s">
        <v>191</v>
      </c>
      <c r="Q6" s="6">
        <v>-2000</v>
      </c>
      <c r="R6" s="6">
        <v>-1000</v>
      </c>
      <c r="S6" s="45">
        <v>-300</v>
      </c>
      <c r="T6" s="18">
        <f t="shared" si="3"/>
        <v>19200</v>
      </c>
      <c r="U6" s="5"/>
      <c r="V6" s="6"/>
      <c r="W6" s="6"/>
      <c r="X6" s="45"/>
      <c r="Y6" s="18">
        <f t="shared" si="4"/>
        <v>24500</v>
      </c>
      <c r="Z6" s="50">
        <f>IF($J6="","",ROUND(($J6-30000)/1000,1)+(2.5-_xlfn.RANK.AVG($J6,($J6,$O6,$T6,$Y6)))*20+IF(_xlfn.RANK.EQ($J6,($J6,$O6,$T6,$Y6))=1,20/((_xlfn.RANK.AVG($J6,($J6,$O6,$T6,$Y6))-1)*2+1),0))</f>
        <v>-5.5</v>
      </c>
      <c r="AA6" s="51">
        <f>IF($O6="","",ROUND(($O6-30000)/1000,1)+(2.5-_xlfn.RANK.AVG($O6,($J6,$O6,$T6,$Y6)))*20+IF(_xlfn.RANK.EQ($O6,($J6,$O6,$T6,$Y6))=1,20/((_xlfn.RANK.AVG($O6,($J6,$O6,$T6,$Y6))-1)*2+1),0))</f>
        <v>51.8</v>
      </c>
      <c r="AB6" s="51">
        <f>IF($T6="","",ROUND(($T6-30000)/1000,1)+(2.5-_xlfn.RANK.AVG($T6,($J6,$O6,$T6,$Y6)))*20+IF(_xlfn.RANK.EQ($T6,($J6,$O6,$T6,$Y6))=1,20/((_xlfn.RANK.AVG($T6,($J6,$O6,$T6,$Y6))-1)*2+1),0))</f>
        <v>-40.799999999999997</v>
      </c>
      <c r="AC6" s="52">
        <f>IF($Y6="","",ROUND(($Y6-30000)/1000,1)+(2.5-_xlfn.RANK.AVG($Y6,($J6,$O6,$T6,$Y6)))*20+IF(_xlfn.RANK.EQ($Y6,($J6,$O6,$T6,$Y6))=1,20/((_xlfn.RANK.AVG($Y6,($J6,$O6,$T6,$Y6))-1)*2+1),0))</f>
        <v>-5.5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>
        <v>2</v>
      </c>
      <c r="BE6" s="27">
        <v>30</v>
      </c>
      <c r="BF6" s="37" t="s">
        <v>85</v>
      </c>
      <c r="BG6" s="38" t="s">
        <v>78</v>
      </c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">
        <v>181</v>
      </c>
      <c r="F7" s="5" t="s">
        <v>186</v>
      </c>
      <c r="G7" s="6">
        <v>-3000</v>
      </c>
      <c r="H7" s="6"/>
      <c r="I7" s="45">
        <v>0</v>
      </c>
      <c r="J7" s="18">
        <f t="shared" si="2"/>
        <v>21500</v>
      </c>
      <c r="K7" s="5" t="s">
        <v>186</v>
      </c>
      <c r="L7" s="6">
        <v>-3000</v>
      </c>
      <c r="M7" s="6"/>
      <c r="N7" s="45">
        <v>0</v>
      </c>
      <c r="O7" s="18">
        <f t="shared" si="8"/>
        <v>28800</v>
      </c>
      <c r="P7" s="5" t="s">
        <v>187</v>
      </c>
      <c r="Q7" s="6">
        <v>12000</v>
      </c>
      <c r="R7" s="6"/>
      <c r="S7" s="45">
        <v>0</v>
      </c>
      <c r="T7" s="18">
        <f t="shared" si="3"/>
        <v>31200</v>
      </c>
      <c r="U7" s="5" t="s">
        <v>186</v>
      </c>
      <c r="V7" s="6">
        <v>-6000</v>
      </c>
      <c r="W7" s="6"/>
      <c r="X7" s="45">
        <v>0</v>
      </c>
      <c r="Y7" s="18">
        <f t="shared" si="4"/>
        <v>18500</v>
      </c>
      <c r="Z7" s="50">
        <f>IF($J7="","",ROUND(($J7-30000)/1000,1)+(2.5-_xlfn.RANK.AVG($J7,($J7,$O7,$T7,$Y7)))*20+IF(_xlfn.RANK.EQ($J7,($J7,$O7,$T7,$Y7))=1,20/((_xlfn.RANK.AVG($J7,($J7,$O7,$T7,$Y7))-1)*2+1),0))</f>
        <v>-18.5</v>
      </c>
      <c r="AA7" s="51">
        <f>IF($O7="","",ROUND(($O7-30000)/1000,1)+(2.5-_xlfn.RANK.AVG($O7,($J7,$O7,$T7,$Y7)))*20+IF(_xlfn.RANK.EQ($O7,($J7,$O7,$T7,$Y7))=1,20/((_xlfn.RANK.AVG($O7,($J7,$O7,$T7,$Y7))-1)*2+1),0))</f>
        <v>8.8000000000000007</v>
      </c>
      <c r="AB7" s="51">
        <f>IF($T7="","",ROUND(($T7-30000)/1000,1)+(2.5-_xlfn.RANK.AVG($T7,($J7,$O7,$T7,$Y7)))*20+IF(_xlfn.RANK.EQ($T7,($J7,$O7,$T7,$Y7))=1,20/((_xlfn.RANK.AVG($T7,($J7,$O7,$T7,$Y7))-1)*2+1),0))</f>
        <v>51.2</v>
      </c>
      <c r="AC7" s="52">
        <f>IF($Y7="","",ROUND(($Y7-30000)/1000,1)+(2.5-_xlfn.RANK.AVG($Y7,($J7,$O7,$T7,$Y7)))*20+IF(_xlfn.RANK.EQ($Y7,($J7,$O7,$T7,$Y7))=1,20/((_xlfn.RANK.AVG($Y7,($J7,$O7,$T7,$Y7))-1)*2+1),0))</f>
        <v>-41.5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6</v>
      </c>
      <c r="BZ7" s="27" t="s">
        <v>188</v>
      </c>
      <c r="CA7" s="37" t="s">
        <v>189</v>
      </c>
      <c r="CB7" s="38" t="s">
        <v>81</v>
      </c>
      <c r="CC7" s="38" t="s">
        <v>197</v>
      </c>
      <c r="CD7" s="38" t="s">
        <v>82</v>
      </c>
      <c r="CE7" s="38" t="s">
        <v>93</v>
      </c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199</v>
      </c>
      <c r="F8" s="5"/>
      <c r="G8" s="6"/>
      <c r="H8" s="6"/>
      <c r="I8" s="45"/>
      <c r="J8" s="18">
        <f t="shared" si="2"/>
        <v>21500</v>
      </c>
      <c r="K8" s="5" t="s">
        <v>192</v>
      </c>
      <c r="L8" s="6">
        <v>3900</v>
      </c>
      <c r="M8" s="6"/>
      <c r="N8" s="45">
        <v>0</v>
      </c>
      <c r="O8" s="18">
        <f t="shared" si="8"/>
        <v>32700</v>
      </c>
      <c r="P8" s="5" t="s">
        <v>191</v>
      </c>
      <c r="Q8" s="6">
        <v>-3900</v>
      </c>
      <c r="R8" s="6"/>
      <c r="S8" s="45">
        <v>0</v>
      </c>
      <c r="T8" s="18">
        <f t="shared" si="3"/>
        <v>27300</v>
      </c>
      <c r="U8" s="5"/>
      <c r="V8" s="6"/>
      <c r="W8" s="6"/>
      <c r="X8" s="45"/>
      <c r="Y8" s="18">
        <f t="shared" si="4"/>
        <v>18500</v>
      </c>
      <c r="Z8" s="50">
        <f>IF($J8="","",ROUND(($J8-30000)/1000,1)+(2.5-_xlfn.RANK.AVG($J8,($J8,$O8,$T8,$Y8)))*20+IF(_xlfn.RANK.EQ($J8,($J8,$O8,$T8,$Y8))=1,20/((_xlfn.RANK.AVG($J8,($J8,$O8,$T8,$Y8))-1)*2+1),0))</f>
        <v>-18.5</v>
      </c>
      <c r="AA8" s="51">
        <f>IF($O8="","",ROUND(($O8-30000)/1000,1)+(2.5-_xlfn.RANK.AVG($O8,($J8,$O8,$T8,$Y8)))*20+IF(_xlfn.RANK.EQ($O8,($J8,$O8,$T8,$Y8))=1,20/((_xlfn.RANK.AVG($O8,($J8,$O8,$T8,$Y8))-1)*2+1),0))</f>
        <v>52.7</v>
      </c>
      <c r="AB8" s="51">
        <f>IF($T8="","",ROUND(($T8-30000)/1000,1)+(2.5-_xlfn.RANK.AVG($T8,($J8,$O8,$T8,$Y8)))*20+IF(_xlfn.RANK.EQ($T8,($J8,$O8,$T8,$Y8))=1,20/((_xlfn.RANK.AVG($T8,($J8,$O8,$T8,$Y8))-1)*2+1),0))</f>
        <v>7.3</v>
      </c>
      <c r="AC8" s="52">
        <f>IF($Y8="","",ROUND(($Y8-30000)/1000,1)+(2.5-_xlfn.RANK.AVG($Y8,($J8,$O8,$T8,$Y8)))*20+IF(_xlfn.RANK.EQ($Y8,($J8,$O8,$T8,$Y8))=1,20/((_xlfn.RANK.AVG($Y8,($J8,$O8,$T8,$Y8))-1)*2+1),0))</f>
        <v>-41.5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>
        <v>3</v>
      </c>
      <c r="BE8" s="27">
        <v>30</v>
      </c>
      <c r="BF8" s="37" t="s">
        <v>85</v>
      </c>
      <c r="BG8" s="38" t="s">
        <v>78</v>
      </c>
      <c r="BH8" s="38" t="s">
        <v>190</v>
      </c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">
        <v>185</v>
      </c>
      <c r="F9" s="5"/>
      <c r="G9" s="6"/>
      <c r="H9" s="6">
        <v>-1000</v>
      </c>
      <c r="I9" s="45"/>
      <c r="J9" s="18">
        <f t="shared" si="2"/>
        <v>20500</v>
      </c>
      <c r="K9" s="5" t="s">
        <v>191</v>
      </c>
      <c r="L9" s="6">
        <v>-3900</v>
      </c>
      <c r="M9" s="6"/>
      <c r="N9" s="45">
        <v>0</v>
      </c>
      <c r="O9" s="18">
        <f t="shared" si="8"/>
        <v>28800</v>
      </c>
      <c r="P9" s="5"/>
      <c r="Q9" s="6"/>
      <c r="R9" s="6"/>
      <c r="S9" s="45"/>
      <c r="T9" s="18">
        <f t="shared" si="3"/>
        <v>27300</v>
      </c>
      <c r="U9" s="5" t="s">
        <v>192</v>
      </c>
      <c r="V9" s="6">
        <v>3900</v>
      </c>
      <c r="W9" s="6">
        <v>1000</v>
      </c>
      <c r="X9" s="45">
        <v>0</v>
      </c>
      <c r="Y9" s="18">
        <f t="shared" si="4"/>
        <v>23400</v>
      </c>
      <c r="Z9" s="50">
        <f>IF($J9="","",ROUND(($J9-30000)/1000,1)+(2.5-_xlfn.RANK.AVG($J9,($J9,$O9,$T9,$Y9)))*20+IF(_xlfn.RANK.EQ($J9,($J9,$O9,$T9,$Y9))=1,20/((_xlfn.RANK.AVG($J9,($J9,$O9,$T9,$Y9))-1)*2+1),0))</f>
        <v>-39.5</v>
      </c>
      <c r="AA9" s="51">
        <f>IF($O9="","",ROUND(($O9-30000)/1000,1)+(2.5-_xlfn.RANK.AVG($O9,($J9,$O9,$T9,$Y9)))*20+IF(_xlfn.RANK.EQ($O9,($J9,$O9,$T9,$Y9))=1,20/((_xlfn.RANK.AVG($O9,($J9,$O9,$T9,$Y9))-1)*2+1),0))</f>
        <v>48.8</v>
      </c>
      <c r="AB9" s="51">
        <f>IF($T9="","",ROUND(($T9-30000)/1000,1)+(2.5-_xlfn.RANK.AVG($T9,($J9,$O9,$T9,$Y9)))*20+IF(_xlfn.RANK.EQ($T9,($J9,$O9,$T9,$Y9))=1,20/((_xlfn.RANK.AVG($T9,($J9,$O9,$T9,$Y9))-1)*2+1),0))</f>
        <v>7.3</v>
      </c>
      <c r="AC9" s="52">
        <f>IF($Y9="","",ROUND(($Y9-30000)/1000,1)+(2.5-_xlfn.RANK.AVG($Y9,($J9,$O9,$T9,$Y9)))*20+IF(_xlfn.RANK.EQ($Y9,($J9,$O9,$T9,$Y9))=1,20/((_xlfn.RANK.AVG($Y9,($J9,$O9,$T9,$Y9))-1)*2+1),0))</f>
        <v>-16.600000000000001</v>
      </c>
      <c r="AE9" s="5"/>
      <c r="AF9" s="31"/>
      <c r="AG9" s="23">
        <v>1</v>
      </c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30</v>
      </c>
      <c r="CV9" s="37" t="s">
        <v>189</v>
      </c>
      <c r="CW9" s="38" t="s">
        <v>82</v>
      </c>
      <c r="CX9" s="38" t="s">
        <v>190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63" t="s">
        <v>182</v>
      </c>
      <c r="F10" s="5" t="s">
        <v>191</v>
      </c>
      <c r="G10" s="6">
        <v>-12000</v>
      </c>
      <c r="H10" s="6"/>
      <c r="I10" s="45">
        <v>0</v>
      </c>
      <c r="J10" s="18">
        <f t="shared" si="2"/>
        <v>8500</v>
      </c>
      <c r="K10" s="5"/>
      <c r="L10" s="6"/>
      <c r="M10" s="6"/>
      <c r="N10" s="45"/>
      <c r="O10" s="18">
        <f t="shared" si="8"/>
        <v>28800</v>
      </c>
      <c r="P10" s="5" t="s">
        <v>192</v>
      </c>
      <c r="Q10" s="6">
        <v>12000</v>
      </c>
      <c r="R10" s="6">
        <v>1000</v>
      </c>
      <c r="S10" s="45">
        <v>0</v>
      </c>
      <c r="T10" s="18">
        <f t="shared" si="3"/>
        <v>40300</v>
      </c>
      <c r="U10" s="5"/>
      <c r="V10" s="6"/>
      <c r="W10" s="6">
        <v>-1000</v>
      </c>
      <c r="X10" s="45"/>
      <c r="Y10" s="18">
        <f t="shared" si="4"/>
        <v>22400</v>
      </c>
      <c r="Z10" s="50">
        <f>IF($J10="","",ROUND(($J10-30000)/1000,1)+(2.5-_xlfn.RANK.AVG($J10,($J10,$O10,$T10,$Y10)))*20+IF(_xlfn.RANK.EQ($J10,($J10,$O10,$T10,$Y10))=1,20/((_xlfn.RANK.AVG($J10,($J10,$O10,$T10,$Y10))-1)*2+1),0))</f>
        <v>-51.5</v>
      </c>
      <c r="AA10" s="51">
        <f>IF($O10="","",ROUND(($O10-30000)/1000,1)+(2.5-_xlfn.RANK.AVG($O10,($J10,$O10,$T10,$Y10)))*20+IF(_xlfn.RANK.EQ($O10,($J10,$O10,$T10,$Y10))=1,20/((_xlfn.RANK.AVG($O10,($J10,$O10,$T10,$Y10))-1)*2+1),0))</f>
        <v>8.8000000000000007</v>
      </c>
      <c r="AB10" s="51">
        <f>IF($T10="","",ROUND(($T10-30000)/1000,1)+(2.5-_xlfn.RANK.AVG($T10,($J10,$O10,$T10,$Y10)))*20+IF(_xlfn.RANK.EQ($T10,($J10,$O10,$T10,$Y10))=1,20/((_xlfn.RANK.AVG($T10,($J10,$O10,$T10,$Y10))-1)*2+1),0))</f>
        <v>60.3</v>
      </c>
      <c r="AC10" s="52">
        <f>IF($Y10="","",ROUND(($Y10-30000)/1000,1)+(2.5-_xlfn.RANK.AVG($Y10,($J10,$O10,$T10,$Y10)))*20+IF(_xlfn.RANK.EQ($Y10,($J10,$O10,$T10,$Y10))=1,20/((_xlfn.RANK.AVG($Y10,($J10,$O10,$T10,$Y10))-1)*2+1),0))</f>
        <v>-17.600000000000001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>
        <v>5</v>
      </c>
      <c r="BZ10" s="27" t="s">
        <v>188</v>
      </c>
      <c r="CA10" s="37" t="s">
        <v>189</v>
      </c>
      <c r="CB10" s="38" t="s">
        <v>190</v>
      </c>
      <c r="CC10" s="38" t="s">
        <v>78</v>
      </c>
      <c r="CD10" s="38" t="s">
        <v>78</v>
      </c>
      <c r="CE10" s="38" t="s">
        <v>78</v>
      </c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1</v>
      </c>
      <c r="D11" s="15">
        <f t="shared" si="7"/>
        <v>0</v>
      </c>
      <c r="E11" s="63" t="s">
        <v>182</v>
      </c>
      <c r="F11" s="5" t="s">
        <v>196</v>
      </c>
      <c r="G11" s="6"/>
      <c r="H11" s="6">
        <v>-1000</v>
      </c>
      <c r="I11" s="45"/>
      <c r="J11" s="18">
        <f t="shared" si="2"/>
        <v>7500</v>
      </c>
      <c r="K11" s="5" t="s">
        <v>196</v>
      </c>
      <c r="L11" s="6"/>
      <c r="M11" s="6"/>
      <c r="N11" s="45"/>
      <c r="O11" s="18">
        <f t="shared" si="8"/>
        <v>28800</v>
      </c>
      <c r="P11" s="5" t="s">
        <v>196</v>
      </c>
      <c r="Q11" s="6"/>
      <c r="R11" s="6">
        <v>1000</v>
      </c>
      <c r="S11" s="45"/>
      <c r="T11" s="18">
        <f t="shared" si="3"/>
        <v>41300</v>
      </c>
      <c r="U11" s="5" t="s">
        <v>196</v>
      </c>
      <c r="V11" s="6">
        <v>-10000</v>
      </c>
      <c r="W11" s="6"/>
      <c r="X11" s="45"/>
      <c r="Y11" s="18">
        <f t="shared" si="4"/>
        <v>12400</v>
      </c>
      <c r="Z11" s="50">
        <f>IF($J11="","",ROUND(($J11-30000)/1000,1)+(2.5-_xlfn.RANK.AVG($J11,($J11,$O11,$T11,$Y11)))*20+IF(_xlfn.RANK.EQ($J11,($J11,$O11,$T11,$Y11))=1,20/((_xlfn.RANK.AVG($J11,($J11,$O11,$T11,$Y11))-1)*2+1),0))</f>
        <v>-52.5</v>
      </c>
      <c r="AA11" s="51">
        <f>IF($O11="","",ROUND(($O11-30000)/1000,1)+(2.5-_xlfn.RANK.AVG($O11,($J11,$O11,$T11,$Y11)))*20+IF(_xlfn.RANK.EQ($O11,($J11,$O11,$T11,$Y11))=1,20/((_xlfn.RANK.AVG($O11,($J11,$O11,$T11,$Y11))-1)*2+1),0))</f>
        <v>8.8000000000000007</v>
      </c>
      <c r="AB11" s="51">
        <f>IF($T11="","",ROUND(($T11-30000)/1000,1)+(2.5-_xlfn.RANK.AVG($T11,($J11,$O11,$T11,$Y11)))*20+IF(_xlfn.RANK.EQ($T11,($J11,$O11,$T11,$Y11))=1,20/((_xlfn.RANK.AVG($T11,($J11,$O11,$T11,$Y11))-1)*2+1),0))</f>
        <v>61.3</v>
      </c>
      <c r="AC11" s="52">
        <f>IF($Y11="","",ROUND(($Y11-30000)/1000,1)+(2.5-_xlfn.RANK.AVG($Y11,($J11,$O11,$T11,$Y11)))*20+IF(_xlfn.RANK.EQ($Y11,($J11,$O11,$T11,$Y11))=1,20/((_xlfn.RANK.AVG($Y11,($J11,$O11,$T11,$Y11))-1)*2+1),0))</f>
        <v>-27.6</v>
      </c>
      <c r="AE11" s="5"/>
      <c r="AF11" s="31"/>
      <c r="AG11" s="23">
        <v>1</v>
      </c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>
        <v>1</v>
      </c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E051441-C2BA-4D26-8CE4-6E1A36CF1028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  <dataValidation type="list" showInputMessage="1" showErrorMessage="1" sqref="K4:K30 P4:P30 F4:F30 U4:U30" xr:uid="{129ADED0-BE11-4406-9E93-51ADDC0F98E7}">
      <formula1>"ロン,ツモ,放銃,ツモ支払,流局,チョンボ"</formula1>
    </dataValidation>
    <dataValidation type="list" allowBlank="1" showInputMessage="1" showErrorMessage="1" sqref="E4:E30" xr:uid="{647EB9BD-B74F-4539-988B-79DF26DD1DB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">
      <c r="A44" s="33" t="s">
        <v>118</v>
      </c>
      <c r="C44" s="12" t="s">
        <v>68</v>
      </c>
      <c r="D44" s="12">
        <v>13</v>
      </c>
    </row>
    <row r="45" spans="1:5" x14ac:dyDescent="0.4">
      <c r="A45" s="33" t="s">
        <v>119</v>
      </c>
      <c r="C45" s="12" t="s">
        <v>69</v>
      </c>
      <c r="D45" s="12">
        <v>26</v>
      </c>
    </row>
    <row r="46" spans="1:5" x14ac:dyDescent="0.4">
      <c r="A46" s="33" t="s">
        <v>120</v>
      </c>
      <c r="C46" s="12" t="s">
        <v>70</v>
      </c>
      <c r="D46" s="12">
        <v>26</v>
      </c>
    </row>
    <row r="47" spans="1:5" x14ac:dyDescent="0.4">
      <c r="A47" s="33" t="s">
        <v>121</v>
      </c>
      <c r="C47" s="12" t="s">
        <v>71</v>
      </c>
      <c r="D47" s="12">
        <v>26</v>
      </c>
    </row>
    <row r="48" spans="1:5" x14ac:dyDescent="0.4">
      <c r="A48" s="33" t="s">
        <v>122</v>
      </c>
      <c r="C48" s="12" t="s">
        <v>72</v>
      </c>
      <c r="D48" s="12">
        <v>13</v>
      </c>
    </row>
    <row r="49" spans="1:5" x14ac:dyDescent="0.4">
      <c r="A49" s="33" t="s">
        <v>123</v>
      </c>
      <c r="C49" s="12" t="s">
        <v>73</v>
      </c>
      <c r="D49" s="12">
        <v>13</v>
      </c>
    </row>
    <row r="50" spans="1:5" x14ac:dyDescent="0.4">
      <c r="A50" s="33" t="s">
        <v>124</v>
      </c>
      <c r="C50" s="12" t="s">
        <v>74</v>
      </c>
      <c r="D50" s="12">
        <v>13</v>
      </c>
    </row>
    <row r="51" spans="1:5" x14ac:dyDescent="0.4">
      <c r="A51" s="33" t="s">
        <v>125</v>
      </c>
      <c r="C51" s="12" t="s">
        <v>75</v>
      </c>
      <c r="D51" s="12">
        <v>13</v>
      </c>
    </row>
    <row r="52" spans="1:5" x14ac:dyDescent="0.4">
      <c r="A52" s="33" t="s">
        <v>133</v>
      </c>
      <c r="C52" s="12" t="s">
        <v>134</v>
      </c>
      <c r="D52" s="12">
        <v>2</v>
      </c>
    </row>
    <row r="53" spans="1:5" x14ac:dyDescent="0.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2019-12-20T10:15:37Z</dcterms:modified>
</cp:coreProperties>
</file>