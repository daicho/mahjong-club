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BFC13712-77A3-4803-B389-2252C1D03132}" xr6:coauthVersionLast="47" xr6:coauthVersionMax="47" xr10:uidLastSave="{00000000-0000-0000-0000-000000000000}"/>
  <bookViews>
    <workbookView xWindow="-110" yWindow="-110" windowWidth="19420" windowHeight="122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<sst xmlns="http://schemas.openxmlformats.org/spreadsheetml/2006/main" count="567" uniqueCount="175">
  <si>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</si>
  <si>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</si>
  <si>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</si>
  <si>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</si>
  <si>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</si>
  <si>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</si>
  <si>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</si>
  <si>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</si>
  <si>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</si>
  <si>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</si>
  <si>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</si>
  <si>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</si>
  <si>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</si>
  <si>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</si>
  <si>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</si>
  <si>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</si>
  <si>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</si>
  <si>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</si>
  <si>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</si>
  <si>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</si>
  <si>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</si>
  <si>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</si>
  <si>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</si>
  <si>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</si>
  <si>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</si>
  <si>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</si>
  <si>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</si>
  <si>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</si>
  <si>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</si>
  <si>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</si>
  <si>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</si>
  <si>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</si>
  <si>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</si>
  <si>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</si>
  <si>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</si>
  <si>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</si>
  <si>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</si>
  <si>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</si>
  <si>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</si>
  <si>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</si>
  <si>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</si>
  <si>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</si>
  <si>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</si>
  <si>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</si>
  <si>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</si>
  <si>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</si>
  <si>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</si>
  <si>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</si>
  <si>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</si>
  <si>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</si>
  <si>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</si>
  <si>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</si>
  <si>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</si>
  <si>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</si>
  <si>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</si>
  <si>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</si>
  <si>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</si>
  <si>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</si>
  <si>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</si>
  <si>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</si>
  <si>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</si>
  <si>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</si>
  <si>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</si>
  <si>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</si>
  <si>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</si>
  <si>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</si>
  <si>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</si>
  <si>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</si>
  <si>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</si>
  <si>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</si>
  <si>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</si>
  <si>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</si>
  <si>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</si>
  <si>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</si>
  <si>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</si>
  <si>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</si>
  <si>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</si>
  <si>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</si>
  <si>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</si>
  <si>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</si>
  <si>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</si>
  <si>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</si>
  <si>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</si>
  <si>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</si>
  <si>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</si>
  <si>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</si>
  <si>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</si>
  <si>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</si>
  <si>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</si>
  <si>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</si>
  <si>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</si>
  <si>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</si>
  <si>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</si>
  <si>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</si>
  <si>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</si>
  <si>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</si>
  <si>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</si>
  <si>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</si>
  <si>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</si>
  <si>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</si>
  <si>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</si>
  <si>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</si>
  <si>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</si>
  <si>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</si>
  <si>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</si>
  <si>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</si>
  <si>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</si>
  <si>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</si>
  <si>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</si>
  <si>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</si>
  <si>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</si>
  <si>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</si>
  <si>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</si>
  <si>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</si>
  <si>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</si>
  <si>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</si>
  <si>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</si>
  <si>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</si>
  <si>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</si>
  <si>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</si>
  <si>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</si>
  <si>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</si>
  <si>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</si>
  <si>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</si>
  <si>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</si>
  <si>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</si>
  <si>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</si>
  <si>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</si>
  <si>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</si>
  <si>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</si>
  <si>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</si>
  <si>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</si>
  <si>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</si>
  <si>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</si>
  <si>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</si>
  <si>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</si>
  <si>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</si>
  <si>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</si>
  <si>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</si>
  <si>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</si>
  <si>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</si>
  <si>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</si>
  <si>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</si>
  <si>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</si>
  <si>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</si>
  <si>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</si>
  <si>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</si>
  <si>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</si>
  <si>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</si>
  <si>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</si>
  <si>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</si>
  <si>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</si>
  <si>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</si>
  <si>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</si>
  <si>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</si>
  <si>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</si>
  <si>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</si>
  <si>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</si>
  <si>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</si>
  <si>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</si>
  <si>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 xml:space="preserve">q-9\qewruiop\9----------------------------------               </t>
    <phoneticPr fontId="1"/>
  </si>
  <si>
    <t>前田卓美</t>
  </si>
  <si>
    <t>清水遙斗</t>
  </si>
  <si>
    <t>笠原誠</t>
  </si>
  <si>
    <t>遠山龍之介</t>
    <rPh sb="0" eb="2">
      <t>トオヤマ</t>
    </rPh>
    <rPh sb="2" eb="5">
      <t>リュウノスケ</t>
    </rPh>
    <phoneticPr fontId="1"/>
  </si>
  <si>
    <t>放銃</t>
  </si>
  <si>
    <t>ロン</t>
  </si>
  <si>
    <t>*</t>
  </si>
  <si>
    <t>01</t>
  </si>
  <si>
    <t>ツモ支払</t>
  </si>
  <si>
    <t>ツモ</t>
  </si>
  <si>
    <t>52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</si>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</sst>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H1" zoomScaleNormal="100" workbookViewId="0">
      <selection activeCell="U1" sqref="U1:Y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6" t="s">
        <v>160</v>
      </c>
      <c r="B1" s="68" t="s">
        <v>1</v>
      </c>
      <c r="C1" s="68" t="s">
        <v>0</v>
      </c>
      <c r="D1" s="68" t="s">
        <v>20</v>
      </c>
      <c r="E1" s="70" t="s">
        <v>2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5</v>
      </c>
      <c r="AA1" s="61"/>
      <c r="AB1" s="62"/>
      <c r="AC1" s="63"/>
      <c r="AE1" s="60" t="str">
        <f>IF($F$1="","",$F$1)</f>
        <v>前田卓美</v>
      </c>
      <c r="AF1" s="61" t="str">
        <f t="shared" ref="AF1:AY1" si="0">$F$1</f>
        <v>前田卓美</v>
      </c>
      <c r="AG1" s="62" t="str">
        <f t="shared" si="0"/>
        <v>前田卓美</v>
      </c>
      <c r="AH1" s="62" t="str">
        <f t="shared" si="0"/>
        <v>前田卓美</v>
      </c>
      <c r="AI1" s="62" t="str">
        <f t="shared" si="0"/>
        <v>前田卓美</v>
      </c>
      <c r="AJ1" s="62" t="str">
        <f t="shared" si="0"/>
        <v>前田卓美</v>
      </c>
      <c r="AK1" s="62" t="str">
        <f t="shared" si="0"/>
        <v>前田卓美</v>
      </c>
      <c r="AL1" s="62" t="str">
        <f t="shared" si="0"/>
        <v>前田卓美</v>
      </c>
      <c r="AM1" s="62" t="str">
        <f t="shared" si="0"/>
        <v>前田卓美</v>
      </c>
      <c r="AN1" s="62" t="str">
        <f t="shared" si="0"/>
        <v>前田卓美</v>
      </c>
      <c r="AO1" s="62" t="str">
        <f t="shared" si="0"/>
        <v>前田卓美</v>
      </c>
      <c r="AP1" s="62" t="str">
        <f t="shared" si="0"/>
        <v>前田卓美</v>
      </c>
      <c r="AQ1" s="62" t="str">
        <f t="shared" si="0"/>
        <v>前田卓美</v>
      </c>
      <c r="AR1" s="62" t="str">
        <f t="shared" si="0"/>
        <v>前田卓美</v>
      </c>
      <c r="AS1" s="62" t="str">
        <f t="shared" si="0"/>
        <v>前田卓美</v>
      </c>
      <c r="AT1" s="62" t="str">
        <f t="shared" si="0"/>
        <v>前田卓美</v>
      </c>
      <c r="AU1" s="62" t="str">
        <f t="shared" si="0"/>
        <v>前田卓美</v>
      </c>
      <c r="AV1" s="62" t="str">
        <f t="shared" si="0"/>
        <v>前田卓美</v>
      </c>
      <c r="AW1" s="62" t="str">
        <f t="shared" si="0"/>
        <v>前田卓美</v>
      </c>
      <c r="AX1" s="62" t="str">
        <f t="shared" si="0"/>
        <v>前田卓美</v>
      </c>
      <c r="AY1" s="63" t="str">
        <f t="shared" si="0"/>
        <v>前田卓美</v>
      </c>
      <c r="AZ1" s="60" t="str">
        <f>IF($K$1="","",$K$1)</f>
        <v>清水遙斗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笠原誠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遠山龍之介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55000000000000004">
      <c r="A2" s="67"/>
      <c r="B2" s="69"/>
      <c r="C2" s="69"/>
      <c r="D2" s="69"/>
      <c r="E2" s="71"/>
      <c r="F2" s="1" t="s">
        <v>4</v>
      </c>
      <c r="G2" s="2" t="s">
        <v>7</v>
      </c>
      <c r="H2" s="2" t="s">
        <v>20</v>
      </c>
      <c r="I2" s="2" t="s">
        <v>0</v>
      </c>
      <c r="J2" s="3" t="s">
        <v>3</v>
      </c>
      <c r="K2" s="1" t="s">
        <v>4</v>
      </c>
      <c r="L2" s="2" t="s">
        <v>8</v>
      </c>
      <c r="M2" s="2" t="s">
        <v>20</v>
      </c>
      <c r="N2" s="2" t="s">
        <v>6</v>
      </c>
      <c r="O2" s="3" t="s">
        <v>3</v>
      </c>
      <c r="P2" s="1" t="s">
        <v>4</v>
      </c>
      <c r="Q2" s="2" t="s">
        <v>8</v>
      </c>
      <c r="R2" s="2" t="s">
        <v>20</v>
      </c>
      <c r="S2" s="2" t="s">
        <v>6</v>
      </c>
      <c r="T2" s="3" t="s">
        <v>3</v>
      </c>
      <c r="U2" s="1" t="s">
        <v>4</v>
      </c>
      <c r="V2" s="2" t="s">
        <v>8</v>
      </c>
      <c r="W2" s="2" t="s">
        <v>20</v>
      </c>
      <c r="X2" s="2" t="s">
        <v>6</v>
      </c>
      <c r="Y2" s="3" t="s">
        <v>3</v>
      </c>
      <c r="Z2" s="55" t="str">
        <f>IF($F$1="","",$F$1)</f>
        <v>前田卓美</v>
      </c>
      <c r="AA2" s="56" t="str">
        <f>IF($K$1="","",$K$1)</f>
        <v>清水遙斗</v>
      </c>
      <c r="AB2" s="56" t="str">
        <f>IF($P$1="","",$P$1)</f>
        <v>笠原誠</v>
      </c>
      <c r="AC2" s="13" t="str">
        <f>IF($U$1="","",$U$1)</f>
        <v>遠山龍之介</v>
      </c>
      <c r="AE2" s="51" t="s">
        <v>21</v>
      </c>
      <c r="AF2" s="54" t="s">
        <v>24</v>
      </c>
      <c r="AG2" s="52" t="s">
        <v>22</v>
      </c>
      <c r="AH2" s="52" t="s">
        <v>109</v>
      </c>
      <c r="AI2" s="52" t="s">
        <v>17</v>
      </c>
      <c r="AJ2" s="53" t="s">
        <v>18</v>
      </c>
      <c r="AK2" s="64" t="s">
        <v>19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21</v>
      </c>
      <c r="BA2" s="54" t="s">
        <v>24</v>
      </c>
      <c r="BB2" s="52" t="s">
        <v>22</v>
      </c>
      <c r="BC2" s="52" t="s">
        <v>110</v>
      </c>
      <c r="BD2" s="52" t="s">
        <v>17</v>
      </c>
      <c r="BE2" s="53" t="s">
        <v>18</v>
      </c>
      <c r="BF2" s="64" t="s">
        <v>19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21</v>
      </c>
      <c r="BV2" s="54" t="s">
        <v>24</v>
      </c>
      <c r="BW2" s="52" t="s">
        <v>22</v>
      </c>
      <c r="BX2" s="52" t="s">
        <v>110</v>
      </c>
      <c r="BY2" s="52" t="s">
        <v>17</v>
      </c>
      <c r="BZ2" s="53" t="s">
        <v>18</v>
      </c>
      <c r="CA2" s="64" t="s">
        <v>19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21</v>
      </c>
      <c r="CQ2" s="54" t="s">
        <v>24</v>
      </c>
      <c r="CR2" s="52" t="s">
        <v>22</v>
      </c>
      <c r="CS2" s="52" t="s">
        <v>110</v>
      </c>
      <c r="CT2" s="52" t="s">
        <v>17</v>
      </c>
      <c r="CU2" s="53" t="s">
        <v>18</v>
      </c>
      <c r="CV2" s="64" t="s">
        <v>19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115</v>
      </c>
      <c r="B4" s="15">
        <v>1</v>
      </c>
      <c r="C4" s="15">
        <v>0</v>
      </c>
      <c r="D4" s="15">
        <v>0</v>
      </c>
      <c r="E4" s="58" t="str">
        <f>IF($F$1="","",$F$1)</f>
        <v>前田卓美</v>
      </c>
      <c r="F4" s="5" t="s">
        <v>165</v>
      </c>
      <c r="G4" s="6">
        <v>-12000</v>
      </c>
      <c r="H4" s="6"/>
      <c r="I4" s="6">
        <v>0</v>
      </c>
      <c r="J4" s="18">
        <f>IF(COUNTA($F4,$K4,$P4,$U4)&gt;0,J3+SUM(G4:I4),"")</f>
        <v>13000</v>
      </c>
      <c r="K4" s="5" t="s">
        <v>166</v>
      </c>
      <c r="L4" s="6">
        <v>12000</v>
      </c>
      <c r="M4" s="6"/>
      <c r="N4" s="6">
        <v>0</v>
      </c>
      <c r="O4" s="18">
        <f>IF(COUNTA($F4,$K4,$P4,$U4)&gt;0,O3+SUM(L4:N4),"")</f>
        <v>37000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-47</v>
      </c>
      <c r="AA4" s="46">
        <f>IF($O4="","",ROUND(($O4-30000)/1000,1)+(2.5-_xlfn.RANK.AVG($O4,($J4,$O4,$T4,$Y4)))*20+IF(_xlfn.RANK.EQ($O4,($J4,$O4,$T4,$Y4))=1,20/((_xlfn.RANK.AVG($O4,($J4,$O4,$T4,$Y4))-1)*2+1),0))</f>
        <v>57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7</v>
      </c>
      <c r="BE4" s="27" t="s">
        <v>167</v>
      </c>
      <c r="BF4" s="36" t="s">
        <v>168</v>
      </c>
      <c r="BG4" s="37" t="s">
        <v>88</v>
      </c>
      <c r="BH4" s="37" t="s">
        <v>86</v>
      </c>
      <c r="BI4" s="37" t="s">
        <v>76</v>
      </c>
      <c r="BJ4" s="37" t="s">
        <v>76</v>
      </c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清水遙斗</v>
      </c>
      <c r="F5" s="5" t="s">
        <v>169</v>
      </c>
      <c r="G5" s="6">
        <v>-700</v>
      </c>
      <c r="H5" s="6"/>
      <c r="I5" s="6">
        <v>0</v>
      </c>
      <c r="J5" s="18">
        <f t="shared" ref="J5:J30" si="2">IF(COUNTA($F5,$K5,$P5,$U5)&gt;0,J4+SUM(G5:I5),"")</f>
        <v>12300</v>
      </c>
      <c r="K5" s="5" t="s">
        <v>169</v>
      </c>
      <c r="L5" s="6">
        <v>-1300</v>
      </c>
      <c r="M5" s="6"/>
      <c r="N5" s="6">
        <v>0</v>
      </c>
      <c r="O5" s="18">
        <f>IF(COUNTA($F5,$K5,$P5,$U5)&gt;0,O4+SUM(L5:N5),"")</f>
        <v>35700</v>
      </c>
      <c r="P5" s="5" t="s">
        <v>169</v>
      </c>
      <c r="Q5" s="6">
        <v>-700</v>
      </c>
      <c r="R5" s="6"/>
      <c r="S5" s="6">
        <v>0</v>
      </c>
      <c r="T5" s="18">
        <f t="shared" ref="T5:T30" si="3">IF(COUNTA($F5,$K5,$P5,$U5)&gt;0,T4+SUM(Q5:S5),"")</f>
        <v>24300</v>
      </c>
      <c r="U5" s="5" t="s">
        <v>170</v>
      </c>
      <c r="V5" s="6">
        <v>2700</v>
      </c>
      <c r="W5" s="6"/>
      <c r="X5" s="6">
        <v>0</v>
      </c>
      <c r="Y5" s="18">
        <f t="shared" ref="Y5:Y30" si="4">IF(COUNTA($F5,$K5,$P5,$U5)&gt;0,Y4+SUM(V5:X5),"")</f>
        <v>27700</v>
      </c>
      <c r="Z5" s="45">
        <f>IF($J5="","",ROUND(($J5-30000)/1000,1)+(2.5-_xlfn.RANK.AVG($J5,($J5,$O5,$T5,$Y5)))*20+IF(_xlfn.RANK.EQ($J5,($J5,$O5,$T5,$Y5))=1,20/((_xlfn.RANK.AVG($J5,($J5,$O5,$T5,$Y5))-1)*2+1),0))</f>
        <v>-47.7</v>
      </c>
      <c r="AA5" s="46">
        <f>IF($O5="","",ROUND(($O5-30000)/1000,1)+(2.5-_xlfn.RANK.AVG($O5,($J5,$O5,$T5,$Y5)))*20+IF(_xlfn.RANK.EQ($O5,($J5,$O5,$T5,$Y5))=1,20/((_xlfn.RANK.AVG($O5,($J5,$O5,$T5,$Y5))-1)*2+1),0))</f>
        <v>55.7</v>
      </c>
      <c r="AB5" s="46">
        <f>IF($T5="","",ROUND(($T5-30000)/1000,1)+(2.5-_xlfn.RANK.AVG($T5,($J5,$O5,$T5,$Y5)))*20+IF(_xlfn.RANK.EQ($T5,($J5,$O5,$T5,$Y5))=1,20/((_xlfn.RANK.AVG($T5,($J5,$O5,$T5,$Y5))-1)*2+1),0))</f>
        <v>-15.7</v>
      </c>
      <c r="AC5" s="47">
        <f>IF($Y5="","",ROUND(($Y5-30000)/1000,1)+(2.5-_xlfn.RANK.AVG($Y5,($J5,$O5,$T5,$Y5)))*20+IF(_xlfn.RANK.EQ($Y5,($J5,$O5,$T5,$Y5))=1,20/((_xlfn.RANK.AVG($Y5,($J5,$O5,$T5,$Y5))-1)*2+1),0))</f>
        <v>7.7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2</v>
      </c>
      <c r="CU5" s="27">
        <v>40</v>
      </c>
      <c r="CV5" s="36" t="s">
        <v>168</v>
      </c>
      <c r="CW5" s="37" t="s">
        <v>72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笠原誠</v>
      </c>
      <c r="F6" s="5" t="s">
        <v>169</v>
      </c>
      <c r="G6" s="6">
        <v>-1300</v>
      </c>
      <c r="H6" s="6"/>
      <c r="I6" s="6">
        <v>0</v>
      </c>
      <c r="J6" s="18">
        <f t="shared" si="2"/>
        <v>11000</v>
      </c>
      <c r="K6" s="5" t="s">
        <v>169</v>
      </c>
      <c r="L6" s="6">
        <v>-1300</v>
      </c>
      <c r="M6" s="6"/>
      <c r="N6" s="6">
        <v>0</v>
      </c>
      <c r="O6" s="18">
        <f t="shared" ref="O6:O30" si="8">IF(COUNTA($F6,$K6,$P6,$U6)&gt;0,O5+SUM(L6:N6),"")</f>
        <v>34400</v>
      </c>
      <c r="P6" s="5" t="s">
        <v>170</v>
      </c>
      <c r="Q6" s="6">
        <v>3900</v>
      </c>
      <c r="R6" s="6"/>
      <c r="S6" s="6">
        <v>0</v>
      </c>
      <c r="T6" s="18">
        <f t="shared" si="3"/>
        <v>28200</v>
      </c>
      <c r="U6" s="5" t="s">
        <v>169</v>
      </c>
      <c r="V6" s="6">
        <v>-1300</v>
      </c>
      <c r="W6" s="6"/>
      <c r="X6" s="6">
        <v>0</v>
      </c>
      <c r="Y6" s="18">
        <f t="shared" si="4"/>
        <v>26400</v>
      </c>
      <c r="Z6" s="45">
        <f>IF($J6="","",ROUND(($J6-30000)/1000,1)+(2.5-_xlfn.RANK.AVG($J6,($J6,$O6,$T6,$Y6)))*20+IF(_xlfn.RANK.EQ($J6,($J6,$O6,$T6,$Y6))=1,20/((_xlfn.RANK.AVG($J6,($J6,$O6,$T6,$Y6))-1)*2+1),0))</f>
        <v>-49</v>
      </c>
      <c r="AA6" s="46">
        <f>IF($O6="","",ROUND(($O6-30000)/1000,1)+(2.5-_xlfn.RANK.AVG($O6,($J6,$O6,$T6,$Y6)))*20+IF(_xlfn.RANK.EQ($O6,($J6,$O6,$T6,$Y6))=1,20/((_xlfn.RANK.AVG($O6,($J6,$O6,$T6,$Y6))-1)*2+1),0))</f>
        <v>54.4</v>
      </c>
      <c r="AB6" s="46">
        <f>IF($T6="","",ROUND(($T6-30000)/1000,1)+(2.5-_xlfn.RANK.AVG($T6,($J6,$O6,$T6,$Y6)))*20+IF(_xlfn.RANK.EQ($T6,($J6,$O6,$T6,$Y6))=1,20/((_xlfn.RANK.AVG($T6,($J6,$O6,$T6,$Y6))-1)*2+1),0))</f>
        <v>8.1999999999999993</v>
      </c>
      <c r="AC6" s="47">
        <f>IF($Y6="","",ROUND(($Y6-30000)/1000,1)+(2.5-_xlfn.RANK.AVG($Y6,($J6,$O6,$T6,$Y6)))*20+IF(_xlfn.RANK.EQ($Y6,($J6,$O6,$T6,$Y6))=1,20/((_xlfn.RANK.AVG($Y6,($J6,$O6,$T6,$Y6))-1)*2+1),0))</f>
        <v>-13.6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3</v>
      </c>
      <c r="BZ6" s="27">
        <v>20</v>
      </c>
      <c r="CA6" s="36" t="s">
        <v>168</v>
      </c>
      <c r="CB6" s="37" t="s">
        <v>72</v>
      </c>
      <c r="CC6" s="37" t="s">
        <v>73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笠原誠</v>
      </c>
      <c r="F7" s="5"/>
      <c r="G7" s="6"/>
      <c r="H7" s="6"/>
      <c r="I7" s="6"/>
      <c r="J7" s="18">
        <f t="shared" si="2"/>
        <v>11000</v>
      </c>
      <c r="K7" s="5" t="s">
        <v>166</v>
      </c>
      <c r="L7" s="6">
        <v>1000</v>
      </c>
      <c r="M7" s="6"/>
      <c r="N7" s="6">
        <v>300</v>
      </c>
      <c r="O7" s="18">
        <f t="shared" si="8"/>
        <v>35700</v>
      </c>
      <c r="P7" s="5"/>
      <c r="Q7" s="6"/>
      <c r="R7" s="6"/>
      <c r="S7" s="6"/>
      <c r="T7" s="18">
        <f t="shared" si="3"/>
        <v>28200</v>
      </c>
      <c r="U7" s="5" t="s">
        <v>165</v>
      </c>
      <c r="V7" s="6">
        <v>-1000</v>
      </c>
      <c r="W7" s="6"/>
      <c r="X7" s="6">
        <v>-300</v>
      </c>
      <c r="Y7" s="18">
        <f t="shared" si="4"/>
        <v>25100</v>
      </c>
      <c r="Z7" s="45">
        <f>IF($J7="","",ROUND(($J7-30000)/1000,1)+(2.5-_xlfn.RANK.AVG($J7,($J7,$O7,$T7,$Y7)))*20+IF(_xlfn.RANK.EQ($J7,($J7,$O7,$T7,$Y7))=1,20/((_xlfn.RANK.AVG($J7,($J7,$O7,$T7,$Y7))-1)*2+1),0))</f>
        <v>-49</v>
      </c>
      <c r="AA7" s="46">
        <f>IF($O7="","",ROUND(($O7-30000)/1000,1)+(2.5-_xlfn.RANK.AVG($O7,($J7,$O7,$T7,$Y7)))*20+IF(_xlfn.RANK.EQ($O7,($J7,$O7,$T7,$Y7))=1,20/((_xlfn.RANK.AVG($O7,($J7,$O7,$T7,$Y7))-1)*2+1),0))</f>
        <v>55.7</v>
      </c>
      <c r="AB7" s="46">
        <f>IF($T7="","",ROUND(($T7-30000)/1000,1)+(2.5-_xlfn.RANK.AVG($T7,($J7,$O7,$T7,$Y7)))*20+IF(_xlfn.RANK.EQ($T7,($J7,$O7,$T7,$Y7))=1,20/((_xlfn.RANK.AVG($T7,($J7,$O7,$T7,$Y7))-1)*2+1),0))</f>
        <v>8.1999999999999993</v>
      </c>
      <c r="AC7" s="47">
        <f>IF($Y7="","",ROUND(($Y7-30000)/1000,1)+(2.5-_xlfn.RANK.AVG($Y7,($J7,$O7,$T7,$Y7)))*20+IF(_xlfn.RANK.EQ($Y7,($J7,$O7,$T7,$Y7))=1,20/((_xlfn.RANK.AVG($Y7,($J7,$O7,$T7,$Y7))-1)*2+1),0))</f>
        <v>-14.9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1</v>
      </c>
      <c r="BE7" s="27">
        <v>30</v>
      </c>
      <c r="BF7" s="36" t="s">
        <v>168</v>
      </c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遠山龍之介</v>
      </c>
      <c r="F8" s="5" t="s">
        <v>166</v>
      </c>
      <c r="G8" s="6">
        <v>2600</v>
      </c>
      <c r="H8" s="6"/>
      <c r="I8" s="6">
        <v>0</v>
      </c>
      <c r="J8" s="18">
        <f t="shared" si="2"/>
        <v>13600</v>
      </c>
      <c r="K8" s="5"/>
      <c r="L8" s="6"/>
      <c r="M8" s="6"/>
      <c r="N8" s="6"/>
      <c r="O8" s="18">
        <f t="shared" si="8"/>
        <v>35700</v>
      </c>
      <c r="P8" s="5"/>
      <c r="Q8" s="6"/>
      <c r="R8" s="6"/>
      <c r="S8" s="6"/>
      <c r="T8" s="18">
        <f t="shared" si="3"/>
        <v>28200</v>
      </c>
      <c r="U8" s="5" t="s">
        <v>165</v>
      </c>
      <c r="V8" s="6">
        <v>-2600</v>
      </c>
      <c r="W8" s="6"/>
      <c r="X8" s="6">
        <v>0</v>
      </c>
      <c r="Y8" s="18">
        <f t="shared" si="4"/>
        <v>22500</v>
      </c>
      <c r="Z8" s="45">
        <f>IF($J8="","",ROUND(($J8-30000)/1000,1)+(2.5-_xlfn.RANK.AVG($J8,($J8,$O8,$T8,$Y8)))*20+IF(_xlfn.RANK.EQ($J8,($J8,$O8,$T8,$Y8))=1,20/((_xlfn.RANK.AVG($J8,($J8,$O8,$T8,$Y8))-1)*2+1),0))</f>
        <v>-46.4</v>
      </c>
      <c r="AA8" s="46">
        <f>IF($O8="","",ROUND(($O8-30000)/1000,1)+(2.5-_xlfn.RANK.AVG($O8,($J8,$O8,$T8,$Y8)))*20+IF(_xlfn.RANK.EQ($O8,($J8,$O8,$T8,$Y8))=1,20/((_xlfn.RANK.AVG($O8,($J8,$O8,$T8,$Y8))-1)*2+1),0))</f>
        <v>55.7</v>
      </c>
      <c r="AB8" s="46">
        <f>IF($T8="","",ROUND(($T8-30000)/1000,1)+(2.5-_xlfn.RANK.AVG($T8,($J8,$O8,$T8,$Y8)))*20+IF(_xlfn.RANK.EQ($T8,($J8,$O8,$T8,$Y8))=1,20/((_xlfn.RANK.AVG($T8,($J8,$O8,$T8,$Y8))-1)*2+1),0))</f>
        <v>8.1999999999999993</v>
      </c>
      <c r="AC8" s="47">
        <f>IF($Y8="","",ROUND(($Y8-30000)/1000,1)+(2.5-_xlfn.RANK.AVG($Y8,($J8,$O8,$T8,$Y8)))*20+IF(_xlfn.RANK.EQ($Y8,($J8,$O8,$T8,$Y8))=1,20/((_xlfn.RANK.AVG($Y8,($J8,$O8,$T8,$Y8))-1)*2+1),0))</f>
        <v>-17.5</v>
      </c>
      <c r="AE8" s="5"/>
      <c r="AF8" s="30"/>
      <c r="AG8" s="23">
        <v>1</v>
      </c>
      <c r="AH8" s="23"/>
      <c r="AI8" s="23">
        <v>2</v>
      </c>
      <c r="AJ8" s="27">
        <v>40</v>
      </c>
      <c r="AK8" s="36" t="s">
        <v>168</v>
      </c>
      <c r="AL8" s="37" t="s">
        <v>70</v>
      </c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前田卓美</v>
      </c>
      <c r="F9" s="5" t="s">
        <v>169</v>
      </c>
      <c r="G9" s="6">
        <v>-4000</v>
      </c>
      <c r="H9" s="6"/>
      <c r="I9" s="6">
        <v>0</v>
      </c>
      <c r="J9" s="18">
        <f t="shared" si="2"/>
        <v>9600</v>
      </c>
      <c r="K9" s="5" t="s">
        <v>170</v>
      </c>
      <c r="L9" s="6">
        <v>8000</v>
      </c>
      <c r="M9" s="6"/>
      <c r="N9" s="6">
        <v>0</v>
      </c>
      <c r="O9" s="18">
        <f t="shared" si="8"/>
        <v>43700</v>
      </c>
      <c r="P9" s="5" t="s">
        <v>169</v>
      </c>
      <c r="Q9" s="6">
        <v>-2000</v>
      </c>
      <c r="R9" s="6"/>
      <c r="S9" s="6">
        <v>0</v>
      </c>
      <c r="T9" s="18">
        <f t="shared" si="3"/>
        <v>26200</v>
      </c>
      <c r="U9" s="5" t="s">
        <v>169</v>
      </c>
      <c r="V9" s="6">
        <v>-2000</v>
      </c>
      <c r="W9" s="6"/>
      <c r="X9" s="6">
        <v>0</v>
      </c>
      <c r="Y9" s="18">
        <f t="shared" si="4"/>
        <v>20500</v>
      </c>
      <c r="Z9" s="45">
        <f>IF($J9="","",ROUND(($J9-30000)/1000,1)+(2.5-_xlfn.RANK.AVG($J9,($J9,$O9,$T9,$Y9)))*20+IF(_xlfn.RANK.EQ($J9,($J9,$O9,$T9,$Y9))=1,20/((_xlfn.RANK.AVG($J9,($J9,$O9,$T9,$Y9))-1)*2+1),0))</f>
        <v>-50.4</v>
      </c>
      <c r="AA9" s="46">
        <f>IF($O9="","",ROUND(($O9-30000)/1000,1)+(2.5-_xlfn.RANK.AVG($O9,($J9,$O9,$T9,$Y9)))*20+IF(_xlfn.RANK.EQ($O9,($J9,$O9,$T9,$Y9))=1,20/((_xlfn.RANK.AVG($O9,($J9,$O9,$T9,$Y9))-1)*2+1),0))</f>
        <v>63.7</v>
      </c>
      <c r="AB9" s="46">
        <f>IF($T9="","",ROUND(($T9-30000)/1000,1)+(2.5-_xlfn.RANK.AVG($T9,($J9,$O9,$T9,$Y9)))*20+IF(_xlfn.RANK.EQ($T9,($J9,$O9,$T9,$Y9))=1,20/((_xlfn.RANK.AVG($T9,($J9,$O9,$T9,$Y9))-1)*2+1),0))</f>
        <v>6.2</v>
      </c>
      <c r="AC9" s="47">
        <f>IF($Y9="","",ROUND(($Y9-30000)/1000,1)+(2.5-_xlfn.RANK.AVG($Y9,($J9,$O9,$T9,$Y9)))*20+IF(_xlfn.RANK.EQ($Y9,($J9,$O9,$T9,$Y9))=1,20/((_xlfn.RANK.AVG($Y9,($J9,$O9,$T9,$Y9))-1)*2+1),0))</f>
        <v>-19.5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5</v>
      </c>
      <c r="BE9" s="27" t="s">
        <v>167</v>
      </c>
      <c r="BF9" s="36" t="s">
        <v>75</v>
      </c>
      <c r="BG9" s="37" t="s">
        <v>171</v>
      </c>
      <c r="BH9" s="37" t="s">
        <v>69</v>
      </c>
      <c r="BI9" s="37" t="s">
        <v>69</v>
      </c>
      <c r="BJ9" s="37" t="s">
        <v>69</v>
      </c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清水遙斗</v>
      </c>
      <c r="F10" s="5"/>
      <c r="G10" s="6"/>
      <c r="H10" s="6"/>
      <c r="I10" s="6"/>
      <c r="J10" s="18">
        <f t="shared" si="2"/>
        <v>9600</v>
      </c>
      <c r="K10" s="5" t="s">
        <v>165</v>
      </c>
      <c r="L10" s="6">
        <v>-2000</v>
      </c>
      <c r="M10" s="6"/>
      <c r="N10" s="6">
        <v>0</v>
      </c>
      <c r="O10" s="18">
        <f t="shared" si="8"/>
        <v>41700</v>
      </c>
      <c r="P10" s="5"/>
      <c r="Q10" s="6"/>
      <c r="R10" s="6"/>
      <c r="S10" s="6"/>
      <c r="T10" s="18">
        <f t="shared" si="3"/>
        <v>26200</v>
      </c>
      <c r="U10" s="5" t="s">
        <v>166</v>
      </c>
      <c r="V10" s="6">
        <v>2000</v>
      </c>
      <c r="W10" s="6"/>
      <c r="X10" s="6">
        <v>0</v>
      </c>
      <c r="Y10" s="18">
        <f t="shared" si="4"/>
        <v>22500</v>
      </c>
      <c r="Z10" s="45">
        <f>IF($J10="","",ROUND(($J10-30000)/1000,1)+(2.5-_xlfn.RANK.AVG($J10,($J10,$O10,$T10,$Y10)))*20+IF(_xlfn.RANK.EQ($J10,($J10,$O10,$T10,$Y10))=1,20/((_xlfn.RANK.AVG($J10,($J10,$O10,$T10,$Y10))-1)*2+1),0))</f>
        <v>-50.4</v>
      </c>
      <c r="AA10" s="46">
        <f>IF($O10="","",ROUND(($O10-30000)/1000,1)+(2.5-_xlfn.RANK.AVG($O10,($J10,$O10,$T10,$Y10)))*20+IF(_xlfn.RANK.EQ($O10,($J10,$O10,$T10,$Y10))=1,20/((_xlfn.RANK.AVG($O10,($J10,$O10,$T10,$Y10))-1)*2+1),0))</f>
        <v>61.7</v>
      </c>
      <c r="AB10" s="46">
        <f>IF($T10="","",ROUND(($T10-30000)/1000,1)+(2.5-_xlfn.RANK.AVG($T10,($J10,$O10,$T10,$Y10)))*20+IF(_xlfn.RANK.EQ($T10,($J10,$O10,$T10,$Y10))=1,20/((_xlfn.RANK.AVG($T10,($J10,$O10,$T10,$Y10))-1)*2+1),0))</f>
        <v>6.2</v>
      </c>
      <c r="AC10" s="47">
        <f>IF($Y10="","",ROUND(($Y10-30000)/1000,1)+(2.5-_xlfn.RANK.AVG($Y10,($J10,$O10,$T10,$Y10)))*20+IF(_xlfn.RANK.EQ($Y10,($J10,$O10,$T10,$Y10))=1,20/((_xlfn.RANK.AVG($Y10,($J10,$O10,$T10,$Y10))-1)*2+1),0))</f>
        <v>-17.5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2</v>
      </c>
      <c r="CU10" s="27">
        <v>30</v>
      </c>
      <c r="CV10" s="36" t="s">
        <v>76</v>
      </c>
      <c r="CW10" s="37" t="s">
        <v>171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笠原誠</v>
      </c>
      <c r="F11" s="5" t="s">
        <v>174</v>
      </c>
      <c r="G11" s="6">
        <v>3000</v>
      </c>
      <c r="H11" s="6"/>
      <c r="I11" s="6"/>
      <c r="J11" s="18">
        <f t="shared" si="2"/>
        <v>12600</v>
      </c>
      <c r="K11" s="5" t="s">
        <v>174</v>
      </c>
      <c r="L11" s="6">
        <v>-1000</v>
      </c>
      <c r="M11" s="6"/>
      <c r="N11" s="6"/>
      <c r="O11" s="18">
        <f t="shared" si="8"/>
        <v>40700</v>
      </c>
      <c r="P11" s="5" t="s">
        <v>174</v>
      </c>
      <c r="Q11" s="6">
        <v>-1000</v>
      </c>
      <c r="R11" s="6"/>
      <c r="S11" s="6"/>
      <c r="T11" s="18">
        <f t="shared" si="3"/>
        <v>25200</v>
      </c>
      <c r="U11" s="5" t="s">
        <v>174</v>
      </c>
      <c r="V11" s="6">
        <v>-1000</v>
      </c>
      <c r="W11" s="6"/>
      <c r="X11" s="6"/>
      <c r="Y11" s="18">
        <f t="shared" si="4"/>
        <v>21500</v>
      </c>
      <c r="Z11" s="45">
        <f>IF($J11="","",ROUND(($J11-30000)/1000,1)+(2.5-_xlfn.RANK.AVG($J11,($J11,$O11,$T11,$Y11)))*20+IF(_xlfn.RANK.EQ($J11,($J11,$O11,$T11,$Y11))=1,20/((_xlfn.RANK.AVG($J11,($J11,$O11,$T11,$Y11))-1)*2+1),0))</f>
        <v>-47.4</v>
      </c>
      <c r="AA11" s="46">
        <f>IF($O11="","",ROUND(($O11-30000)/1000,1)+(2.5-_xlfn.RANK.AVG($O11,($J11,$O11,$T11,$Y11)))*20+IF(_xlfn.RANK.EQ($O11,($J11,$O11,$T11,$Y11))=1,20/((_xlfn.RANK.AVG($O11,($J11,$O11,$T11,$Y11))-1)*2+1),0))</f>
        <v>60.7</v>
      </c>
      <c r="AB11" s="46">
        <f>IF($T11="","",ROUND(($T11-30000)/1000,1)+(2.5-_xlfn.RANK.AVG($T11,($J11,$O11,$T11,$Y11)))*20+IF(_xlfn.RANK.EQ($T11,($J11,$O11,$T11,$Y11))=1,20/((_xlfn.RANK.AVG($T11,($J11,$O11,$T11,$Y11))-1)*2+1),0))</f>
        <v>5.2</v>
      </c>
      <c r="AC11" s="47">
        <f>IF($Y11="","",ROUND(($Y11-30000)/1000,1)+(2.5-_xlfn.RANK.AVG($Y11,($J11,$O11,$T11,$Y11)))*20+IF(_xlfn.RANK.EQ($Y11,($J11,$O11,$T11,$Y11))=1,20/((_xlfn.RANK.AVG($Y11,($J11,$O11,$T11,$Y11))-1)*2+1),0))</f>
        <v>-18.5</v>
      </c>
      <c r="AE11" s="5" t="s">
        <v>172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173</v>
      </c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173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173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4</v>
      </c>
      <c r="C12" s="15">
        <f t="shared" si="6"/>
        <v>1</v>
      </c>
      <c r="D12" s="15">
        <f t="shared" si="7"/>
        <v>0</v>
      </c>
      <c r="E12" s="58" t="str">
        <f>IF($U$1="","",$U$1)</f>
        <v>遠山龍之介</v>
      </c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17CB1A47-7C18-4FEA-9B72-69EABA892598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小林莉子,前田卓美,佐藤大輔,市川琢磨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25</v>
      </c>
      <c r="B1" s="32" t="s">
        <v>118</v>
      </c>
      <c r="C1" s="12" t="s">
        <v>26</v>
      </c>
      <c r="D1" s="12" t="s">
        <v>27</v>
      </c>
      <c r="E1" s="12" t="s">
        <v>28</v>
      </c>
    </row>
    <row r="2" spans="1:5" x14ac:dyDescent="0.55000000000000004">
      <c r="A2" s="32" t="s">
        <v>67</v>
      </c>
      <c r="B2" s="32" t="s">
        <v>119</v>
      </c>
      <c r="C2" s="12" t="s">
        <v>114</v>
      </c>
      <c r="D2" s="12">
        <v>1</v>
      </c>
    </row>
    <row r="3" spans="1:5" x14ac:dyDescent="0.55000000000000004">
      <c r="A3" s="32" t="s">
        <v>68</v>
      </c>
      <c r="B3" s="32" t="s">
        <v>128</v>
      </c>
      <c r="C3" s="12" t="s">
        <v>29</v>
      </c>
      <c r="D3" s="12">
        <v>1</v>
      </c>
    </row>
    <row r="4" spans="1:5" x14ac:dyDescent="0.55000000000000004">
      <c r="A4" s="32" t="s">
        <v>69</v>
      </c>
      <c r="B4" s="32" t="s">
        <v>121</v>
      </c>
      <c r="C4" s="12" t="s">
        <v>30</v>
      </c>
      <c r="D4" s="12">
        <v>1</v>
      </c>
      <c r="E4" s="12">
        <v>1</v>
      </c>
    </row>
    <row r="5" spans="1:5" x14ac:dyDescent="0.55000000000000004">
      <c r="A5" s="32" t="s">
        <v>70</v>
      </c>
      <c r="B5" s="32" t="s">
        <v>122</v>
      </c>
      <c r="C5" s="12" t="s">
        <v>31</v>
      </c>
      <c r="D5" s="12">
        <v>1</v>
      </c>
    </row>
    <row r="6" spans="1:5" x14ac:dyDescent="0.55000000000000004">
      <c r="A6" s="32" t="s">
        <v>71</v>
      </c>
      <c r="C6" s="12" t="s">
        <v>32</v>
      </c>
      <c r="D6" s="12">
        <v>1</v>
      </c>
      <c r="E6" s="12">
        <v>1</v>
      </c>
    </row>
    <row r="7" spans="1:5" x14ac:dyDescent="0.55000000000000004">
      <c r="A7" s="32" t="s">
        <v>72</v>
      </c>
      <c r="B7" s="32" t="s">
        <v>120</v>
      </c>
      <c r="C7" s="12" t="s">
        <v>33</v>
      </c>
      <c r="D7" s="12">
        <v>1</v>
      </c>
    </row>
    <row r="8" spans="1:5" x14ac:dyDescent="0.55000000000000004">
      <c r="A8" s="32" t="s">
        <v>73</v>
      </c>
      <c r="B8" s="32" t="s">
        <v>124</v>
      </c>
      <c r="C8" s="12" t="s">
        <v>34</v>
      </c>
      <c r="D8" s="12">
        <v>1</v>
      </c>
    </row>
    <row r="9" spans="1:5" x14ac:dyDescent="0.55000000000000004">
      <c r="A9" s="32" t="s">
        <v>74</v>
      </c>
      <c r="B9" s="32" t="s">
        <v>126</v>
      </c>
      <c r="C9" s="12" t="s">
        <v>35</v>
      </c>
      <c r="D9" s="12">
        <v>1</v>
      </c>
    </row>
    <row r="10" spans="1:5" x14ac:dyDescent="0.55000000000000004">
      <c r="A10" s="32" t="s">
        <v>75</v>
      </c>
      <c r="B10" s="32" t="s">
        <v>125</v>
      </c>
      <c r="C10" s="12" t="s">
        <v>111</v>
      </c>
      <c r="D10" s="12">
        <v>1</v>
      </c>
      <c r="E10" s="12">
        <v>1</v>
      </c>
    </row>
    <row r="11" spans="1:5" x14ac:dyDescent="0.55000000000000004">
      <c r="A11" s="32" t="s">
        <v>76</v>
      </c>
      <c r="B11" s="32" t="s">
        <v>127</v>
      </c>
      <c r="C11" s="12" t="s">
        <v>36</v>
      </c>
      <c r="D11" s="12">
        <v>1</v>
      </c>
      <c r="E11" s="12">
        <v>1</v>
      </c>
    </row>
    <row r="12" spans="1:5" x14ac:dyDescent="0.55000000000000004">
      <c r="A12" s="32" t="s">
        <v>77</v>
      </c>
      <c r="B12" s="32" t="s">
        <v>138</v>
      </c>
      <c r="C12" s="12" t="s">
        <v>37</v>
      </c>
      <c r="D12" s="12">
        <v>1</v>
      </c>
      <c r="E12" s="12">
        <v>1</v>
      </c>
    </row>
    <row r="13" spans="1:5" x14ac:dyDescent="0.55000000000000004">
      <c r="A13" s="32" t="s">
        <v>78</v>
      </c>
      <c r="B13" s="32" t="s">
        <v>139</v>
      </c>
      <c r="C13" s="12" t="s">
        <v>38</v>
      </c>
      <c r="D13" s="12">
        <v>1</v>
      </c>
      <c r="E13" s="12">
        <v>1</v>
      </c>
    </row>
    <row r="14" spans="1:5" x14ac:dyDescent="0.55000000000000004">
      <c r="A14" s="32" t="s">
        <v>79</v>
      </c>
      <c r="B14" s="32" t="s">
        <v>140</v>
      </c>
      <c r="C14" s="12" t="s">
        <v>39</v>
      </c>
      <c r="D14" s="12">
        <v>1</v>
      </c>
      <c r="E14" s="12">
        <v>1</v>
      </c>
    </row>
    <row r="15" spans="1:5" x14ac:dyDescent="0.55000000000000004">
      <c r="A15" s="32" t="s">
        <v>80</v>
      </c>
      <c r="B15" s="32" t="s">
        <v>141</v>
      </c>
      <c r="C15" s="12" t="s">
        <v>40</v>
      </c>
      <c r="D15" s="12">
        <v>1</v>
      </c>
      <c r="E15" s="12">
        <v>1</v>
      </c>
    </row>
    <row r="16" spans="1:5" x14ac:dyDescent="0.55000000000000004">
      <c r="A16" s="32" t="s">
        <v>81</v>
      </c>
      <c r="B16" s="32" t="s">
        <v>142</v>
      </c>
      <c r="C16" s="12" t="s">
        <v>41</v>
      </c>
      <c r="D16" s="12">
        <v>2</v>
      </c>
    </row>
    <row r="17" spans="1:5" x14ac:dyDescent="0.55000000000000004">
      <c r="A17" s="32" t="s">
        <v>82</v>
      </c>
      <c r="B17" s="32" t="s">
        <v>129</v>
      </c>
      <c r="C17" s="12" t="s">
        <v>42</v>
      </c>
      <c r="D17" s="12">
        <v>2</v>
      </c>
      <c r="E17" s="12">
        <v>1</v>
      </c>
    </row>
    <row r="18" spans="1:5" x14ac:dyDescent="0.55000000000000004">
      <c r="A18" s="32" t="s">
        <v>83</v>
      </c>
      <c r="B18" s="32" t="s">
        <v>135</v>
      </c>
      <c r="C18" s="12" t="s">
        <v>113</v>
      </c>
      <c r="D18" s="12">
        <v>2</v>
      </c>
      <c r="E18" s="12">
        <v>1</v>
      </c>
    </row>
    <row r="19" spans="1:5" x14ac:dyDescent="0.55000000000000004">
      <c r="A19" s="32" t="s">
        <v>84</v>
      </c>
      <c r="B19" s="32" t="s">
        <v>159</v>
      </c>
      <c r="C19" s="12" t="s">
        <v>43</v>
      </c>
      <c r="D19" s="12">
        <v>2</v>
      </c>
      <c r="E19" s="12">
        <v>1</v>
      </c>
    </row>
    <row r="20" spans="1:5" x14ac:dyDescent="0.55000000000000004">
      <c r="A20" s="32" t="s">
        <v>85</v>
      </c>
      <c r="B20" s="32" t="s">
        <v>137</v>
      </c>
      <c r="C20" s="12" t="s">
        <v>44</v>
      </c>
      <c r="D20" s="12">
        <v>2</v>
      </c>
      <c r="E20" s="12">
        <v>2</v>
      </c>
    </row>
    <row r="21" spans="1:5" x14ac:dyDescent="0.55000000000000004">
      <c r="A21" s="32" t="s">
        <v>86</v>
      </c>
      <c r="B21" s="32" t="s">
        <v>131</v>
      </c>
      <c r="C21" s="12" t="s">
        <v>45</v>
      </c>
      <c r="D21" s="12">
        <v>2</v>
      </c>
      <c r="E21" s="12">
        <v>2</v>
      </c>
    </row>
    <row r="22" spans="1:5" x14ac:dyDescent="0.55000000000000004">
      <c r="A22" s="32" t="s">
        <v>87</v>
      </c>
      <c r="B22" s="32" t="s">
        <v>144</v>
      </c>
      <c r="C22" s="12" t="s">
        <v>46</v>
      </c>
      <c r="D22" s="12">
        <v>2</v>
      </c>
      <c r="E22" s="12">
        <v>2</v>
      </c>
    </row>
    <row r="23" spans="1:5" x14ac:dyDescent="0.55000000000000004">
      <c r="A23" s="32" t="s">
        <v>88</v>
      </c>
      <c r="B23" s="32" t="s">
        <v>130</v>
      </c>
      <c r="C23" s="12" t="s">
        <v>47</v>
      </c>
      <c r="D23" s="12">
        <v>2</v>
      </c>
      <c r="E23" s="12">
        <v>2</v>
      </c>
    </row>
    <row r="24" spans="1:5" x14ac:dyDescent="0.55000000000000004">
      <c r="A24" s="32" t="s">
        <v>89</v>
      </c>
      <c r="B24" s="32" t="s">
        <v>145</v>
      </c>
      <c r="C24" s="12" t="s">
        <v>48</v>
      </c>
      <c r="D24" s="12">
        <v>2</v>
      </c>
      <c r="E24" s="12">
        <v>2</v>
      </c>
    </row>
    <row r="25" spans="1:5" x14ac:dyDescent="0.55000000000000004">
      <c r="A25" s="32" t="s">
        <v>90</v>
      </c>
      <c r="B25" s="32" t="s">
        <v>146</v>
      </c>
      <c r="C25" s="12" t="s">
        <v>49</v>
      </c>
      <c r="D25" s="12">
        <v>2</v>
      </c>
      <c r="E25" s="12">
        <v>2</v>
      </c>
    </row>
    <row r="26" spans="1:5" x14ac:dyDescent="0.55000000000000004">
      <c r="A26" s="32" t="s">
        <v>91</v>
      </c>
      <c r="B26" s="32" t="s">
        <v>134</v>
      </c>
      <c r="C26" s="12" t="s">
        <v>50</v>
      </c>
      <c r="D26" s="12">
        <v>2</v>
      </c>
    </row>
    <row r="27" spans="1:5" x14ac:dyDescent="0.55000000000000004">
      <c r="A27" s="32" t="s">
        <v>92</v>
      </c>
      <c r="B27" s="32" t="s">
        <v>143</v>
      </c>
      <c r="C27" s="12" t="s">
        <v>51</v>
      </c>
      <c r="D27" s="12">
        <v>3</v>
      </c>
    </row>
    <row r="28" spans="1:5" x14ac:dyDescent="0.55000000000000004">
      <c r="A28" s="32" t="s">
        <v>93</v>
      </c>
      <c r="B28" s="32" t="s">
        <v>136</v>
      </c>
      <c r="C28" s="12" t="s">
        <v>112</v>
      </c>
      <c r="D28" s="12">
        <v>3</v>
      </c>
      <c r="E28" s="12">
        <v>2</v>
      </c>
    </row>
    <row r="29" spans="1:5" x14ac:dyDescent="0.55000000000000004">
      <c r="A29" s="32" t="s">
        <v>94</v>
      </c>
      <c r="B29" s="32" t="s">
        <v>132</v>
      </c>
      <c r="C29" s="12" t="s">
        <v>52</v>
      </c>
      <c r="D29" s="12">
        <v>3</v>
      </c>
      <c r="E29" s="12">
        <v>2</v>
      </c>
    </row>
    <row r="30" spans="1:5" x14ac:dyDescent="0.55000000000000004">
      <c r="A30" s="32" t="s">
        <v>95</v>
      </c>
      <c r="C30" s="12" t="s">
        <v>53</v>
      </c>
      <c r="D30" s="12">
        <v>5</v>
      </c>
      <c r="E30" s="12">
        <v>5</v>
      </c>
    </row>
    <row r="31" spans="1:5" x14ac:dyDescent="0.55000000000000004">
      <c r="A31" s="32" t="s">
        <v>96</v>
      </c>
      <c r="B31" s="32" t="s">
        <v>133</v>
      </c>
      <c r="C31" s="12" t="s">
        <v>54</v>
      </c>
      <c r="D31" s="12">
        <v>6</v>
      </c>
      <c r="E31" s="12">
        <v>5</v>
      </c>
    </row>
    <row r="32" spans="1:5" x14ac:dyDescent="0.55000000000000004">
      <c r="A32" s="32" t="s">
        <v>97</v>
      </c>
      <c r="B32" s="32" t="s">
        <v>147</v>
      </c>
      <c r="C32" s="12" t="s">
        <v>55</v>
      </c>
      <c r="D32" s="12">
        <v>13</v>
      </c>
    </row>
    <row r="33" spans="1:5" x14ac:dyDescent="0.55000000000000004">
      <c r="A33" s="32" t="s">
        <v>98</v>
      </c>
      <c r="B33" s="32" t="s">
        <v>148</v>
      </c>
      <c r="C33" s="12" t="s">
        <v>56</v>
      </c>
      <c r="D33" s="12">
        <v>13</v>
      </c>
    </row>
    <row r="34" spans="1:5" x14ac:dyDescent="0.55000000000000004">
      <c r="A34" s="32" t="s">
        <v>99</v>
      </c>
      <c r="B34" s="32" t="s">
        <v>149</v>
      </c>
      <c r="C34" s="12" t="s">
        <v>57</v>
      </c>
      <c r="D34" s="12">
        <v>13</v>
      </c>
      <c r="E34" s="12">
        <v>13</v>
      </c>
    </row>
    <row r="35" spans="1:5" x14ac:dyDescent="0.55000000000000004">
      <c r="A35" s="32" t="s">
        <v>100</v>
      </c>
      <c r="B35" s="32" t="s">
        <v>150</v>
      </c>
      <c r="C35" s="12" t="s">
        <v>58</v>
      </c>
      <c r="D35" s="12">
        <v>13</v>
      </c>
      <c r="E35" s="12">
        <v>13</v>
      </c>
    </row>
    <row r="36" spans="1:5" x14ac:dyDescent="0.55000000000000004">
      <c r="A36" s="32" t="s">
        <v>101</v>
      </c>
      <c r="B36" s="32" t="s">
        <v>151</v>
      </c>
      <c r="C36" s="12" t="s">
        <v>59</v>
      </c>
      <c r="D36" s="12">
        <v>26</v>
      </c>
      <c r="E36" s="12">
        <v>26</v>
      </c>
    </row>
    <row r="37" spans="1:5" x14ac:dyDescent="0.55000000000000004">
      <c r="A37" s="32" t="s">
        <v>102</v>
      </c>
      <c r="B37" s="32" t="s">
        <v>152</v>
      </c>
      <c r="C37" s="12" t="s">
        <v>60</v>
      </c>
      <c r="D37" s="12">
        <v>13</v>
      </c>
      <c r="E37" s="12">
        <v>13</v>
      </c>
    </row>
    <row r="38" spans="1:5" x14ac:dyDescent="0.55000000000000004">
      <c r="A38" s="32" t="s">
        <v>103</v>
      </c>
      <c r="B38" s="32" t="s">
        <v>153</v>
      </c>
      <c r="C38" s="12" t="s">
        <v>61</v>
      </c>
      <c r="D38" s="12">
        <v>13</v>
      </c>
      <c r="E38" s="12">
        <v>13</v>
      </c>
    </row>
    <row r="39" spans="1:5" x14ac:dyDescent="0.55000000000000004">
      <c r="A39" s="32" t="s">
        <v>104</v>
      </c>
      <c r="B39" s="32" t="s">
        <v>154</v>
      </c>
      <c r="C39" s="12" t="s">
        <v>62</v>
      </c>
      <c r="D39" s="12">
        <v>13</v>
      </c>
      <c r="E39" s="12">
        <v>13</v>
      </c>
    </row>
    <row r="40" spans="1:5" x14ac:dyDescent="0.55000000000000004">
      <c r="A40" s="32" t="s">
        <v>105</v>
      </c>
      <c r="B40" s="32" t="s">
        <v>155</v>
      </c>
      <c r="C40" s="12" t="s">
        <v>63</v>
      </c>
      <c r="D40" s="12">
        <v>13</v>
      </c>
      <c r="E40" s="12">
        <v>13</v>
      </c>
    </row>
    <row r="41" spans="1:5" x14ac:dyDescent="0.55000000000000004">
      <c r="A41" s="32" t="s">
        <v>106</v>
      </c>
      <c r="B41" s="32" t="s">
        <v>156</v>
      </c>
      <c r="C41" s="12" t="s">
        <v>64</v>
      </c>
      <c r="D41" s="12">
        <v>13</v>
      </c>
    </row>
    <row r="42" spans="1:5" x14ac:dyDescent="0.55000000000000004">
      <c r="A42" s="32" t="s">
        <v>107</v>
      </c>
      <c r="B42" s="32" t="s">
        <v>157</v>
      </c>
      <c r="C42" s="12" t="s">
        <v>65</v>
      </c>
      <c r="D42" s="12">
        <v>13</v>
      </c>
    </row>
    <row r="43" spans="1:5" x14ac:dyDescent="0.55000000000000004">
      <c r="A43" s="32" t="s">
        <v>108</v>
      </c>
      <c r="B43" s="32" t="s">
        <v>158</v>
      </c>
      <c r="C43" s="12" t="s">
        <v>66</v>
      </c>
      <c r="D43" s="12">
        <v>13</v>
      </c>
    </row>
    <row r="44" spans="1:5" x14ac:dyDescent="0.55000000000000004">
      <c r="A44" s="32" t="s">
        <v>116</v>
      </c>
      <c r="B44" s="32" t="s">
        <v>123</v>
      </c>
      <c r="C44" s="12" t="s">
        <v>117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</row>
    <row r="2" spans="1:13" x14ac:dyDescent="0.55000000000000004">
      <c r="A2" s="12" t="s">
        <v>23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</row>
    <row r="2" spans="1:13" x14ac:dyDescent="0.55000000000000004">
      <c r="A2" s="12" t="s">
        <v>23</v>
      </c>
      <c r="B2">
        <v>0</v>
      </c>
      <c r="C2" t="s">
        <v>9</v>
      </c>
      <c r="D2" t="s">
        <v>9</v>
      </c>
      <c r="E2" t="s">
        <v>9</v>
      </c>
      <c r="F2" t="s">
        <v>9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9</v>
      </c>
      <c r="C3" t="s">
        <v>9</v>
      </c>
      <c r="D3">
        <v>2100</v>
      </c>
      <c r="E3">
        <v>3900</v>
      </c>
      <c r="F3">
        <v>7800</v>
      </c>
      <c r="G3" t="s">
        <v>9</v>
      </c>
      <c r="H3" t="s">
        <v>9</v>
      </c>
      <c r="I3" t="s">
        <v>9</v>
      </c>
      <c r="J3" t="s">
        <v>9</v>
      </c>
      <c r="K3" t="s">
        <v>9</v>
      </c>
      <c r="L3" t="s">
        <v>9</v>
      </c>
      <c r="M3" t="s">
        <v>9</v>
      </c>
    </row>
    <row r="4" spans="1:13" x14ac:dyDescent="0.55000000000000004">
      <c r="A4" s="12">
        <v>25</v>
      </c>
      <c r="B4" t="s">
        <v>9</v>
      </c>
      <c r="C4" t="s">
        <v>9</v>
      </c>
      <c r="D4" t="s">
        <v>9</v>
      </c>
      <c r="E4">
        <v>4800</v>
      </c>
      <c r="F4">
        <v>9600</v>
      </c>
      <c r="G4" t="s">
        <v>9</v>
      </c>
      <c r="H4" t="s">
        <v>9</v>
      </c>
      <c r="I4" t="s">
        <v>9</v>
      </c>
      <c r="J4" t="s">
        <v>9</v>
      </c>
      <c r="K4" t="s">
        <v>9</v>
      </c>
      <c r="L4" t="s">
        <v>9</v>
      </c>
      <c r="M4" t="s">
        <v>9</v>
      </c>
    </row>
    <row r="5" spans="1:13" x14ac:dyDescent="0.55000000000000004">
      <c r="A5" s="12">
        <v>30</v>
      </c>
      <c r="B5" t="s">
        <v>9</v>
      </c>
      <c r="C5">
        <v>1500</v>
      </c>
      <c r="D5">
        <v>3000</v>
      </c>
      <c r="E5">
        <v>6000</v>
      </c>
      <c r="F5">
        <v>12000</v>
      </c>
      <c r="G5" t="s">
        <v>9</v>
      </c>
      <c r="H5" t="s">
        <v>9</v>
      </c>
      <c r="I5" t="s">
        <v>9</v>
      </c>
      <c r="J5" t="s">
        <v>9</v>
      </c>
      <c r="K5" t="s">
        <v>9</v>
      </c>
      <c r="L5" t="s">
        <v>9</v>
      </c>
      <c r="M5" t="s">
        <v>9</v>
      </c>
    </row>
    <row r="6" spans="1:13" x14ac:dyDescent="0.55000000000000004">
      <c r="A6" s="12">
        <v>40</v>
      </c>
      <c r="B6" t="s">
        <v>9</v>
      </c>
      <c r="C6">
        <v>2100</v>
      </c>
      <c r="D6">
        <v>3900</v>
      </c>
      <c r="E6">
        <v>7800</v>
      </c>
      <c r="F6">
        <v>12000</v>
      </c>
      <c r="G6" t="s">
        <v>9</v>
      </c>
      <c r="H6" t="s">
        <v>9</v>
      </c>
      <c r="I6" t="s">
        <v>9</v>
      </c>
      <c r="J6" t="s">
        <v>9</v>
      </c>
      <c r="K6" t="s">
        <v>9</v>
      </c>
      <c r="L6" t="s">
        <v>9</v>
      </c>
      <c r="M6" t="s">
        <v>9</v>
      </c>
    </row>
    <row r="7" spans="1:13" x14ac:dyDescent="0.55000000000000004">
      <c r="A7" s="12">
        <v>50</v>
      </c>
      <c r="B7" t="s">
        <v>9</v>
      </c>
      <c r="C7">
        <v>2400</v>
      </c>
      <c r="D7">
        <v>4800</v>
      </c>
      <c r="E7">
        <v>9600</v>
      </c>
      <c r="F7">
        <v>12000</v>
      </c>
      <c r="G7" t="s">
        <v>9</v>
      </c>
      <c r="H7" t="s">
        <v>9</v>
      </c>
      <c r="I7" t="s">
        <v>9</v>
      </c>
      <c r="J7" t="s">
        <v>9</v>
      </c>
      <c r="K7" t="s">
        <v>9</v>
      </c>
      <c r="L7" t="s">
        <v>9</v>
      </c>
      <c r="M7" t="s">
        <v>9</v>
      </c>
    </row>
    <row r="8" spans="1:13" x14ac:dyDescent="0.55000000000000004">
      <c r="A8" s="12">
        <v>60</v>
      </c>
      <c r="B8" t="s">
        <v>9</v>
      </c>
      <c r="C8">
        <v>3000</v>
      </c>
      <c r="D8">
        <v>6000</v>
      </c>
      <c r="E8">
        <v>12000</v>
      </c>
      <c r="F8">
        <v>12000</v>
      </c>
      <c r="G8" t="s">
        <v>9</v>
      </c>
      <c r="H8" t="s">
        <v>9</v>
      </c>
      <c r="I8" t="s">
        <v>9</v>
      </c>
      <c r="J8" t="s">
        <v>9</v>
      </c>
      <c r="K8" t="s">
        <v>9</v>
      </c>
      <c r="L8" t="s">
        <v>9</v>
      </c>
      <c r="M8" t="s">
        <v>9</v>
      </c>
    </row>
    <row r="9" spans="1:13" x14ac:dyDescent="0.55000000000000004">
      <c r="A9" s="12">
        <v>70</v>
      </c>
      <c r="B9" t="s">
        <v>9</v>
      </c>
      <c r="C9">
        <v>3600</v>
      </c>
      <c r="D9">
        <v>6900</v>
      </c>
      <c r="E9">
        <v>12000</v>
      </c>
      <c r="F9">
        <v>12000</v>
      </c>
      <c r="G9" t="s">
        <v>9</v>
      </c>
      <c r="H9" t="s">
        <v>9</v>
      </c>
      <c r="I9" t="s">
        <v>9</v>
      </c>
      <c r="J9" t="s">
        <v>9</v>
      </c>
      <c r="K9" t="s">
        <v>9</v>
      </c>
      <c r="L9" t="s">
        <v>9</v>
      </c>
      <c r="M9" t="s">
        <v>9</v>
      </c>
    </row>
    <row r="10" spans="1:13" x14ac:dyDescent="0.55000000000000004">
      <c r="A10" s="12">
        <v>80</v>
      </c>
      <c r="B10" t="s">
        <v>9</v>
      </c>
      <c r="C10">
        <v>3900</v>
      </c>
      <c r="D10">
        <v>7800</v>
      </c>
      <c r="E10">
        <v>12000</v>
      </c>
      <c r="F10">
        <v>12000</v>
      </c>
      <c r="G10" t="s">
        <v>9</v>
      </c>
      <c r="H10" t="s">
        <v>9</v>
      </c>
      <c r="I10" t="s">
        <v>9</v>
      </c>
      <c r="J10" t="s">
        <v>9</v>
      </c>
      <c r="K10" t="s">
        <v>9</v>
      </c>
      <c r="L10" t="s">
        <v>9</v>
      </c>
      <c r="M10" t="s">
        <v>9</v>
      </c>
    </row>
    <row r="11" spans="1:13" x14ac:dyDescent="0.55000000000000004">
      <c r="A11" s="12">
        <v>90</v>
      </c>
      <c r="B11" t="s">
        <v>9</v>
      </c>
      <c r="C11">
        <v>4500</v>
      </c>
      <c r="D11">
        <v>8700</v>
      </c>
      <c r="E11">
        <v>12000</v>
      </c>
      <c r="F11">
        <v>12000</v>
      </c>
      <c r="G11" t="s">
        <v>9</v>
      </c>
      <c r="H11" t="s">
        <v>9</v>
      </c>
      <c r="I11" t="s">
        <v>9</v>
      </c>
      <c r="J11" t="s">
        <v>9</v>
      </c>
      <c r="K11" t="s">
        <v>9</v>
      </c>
      <c r="L11" t="s">
        <v>9</v>
      </c>
      <c r="M11" t="s">
        <v>9</v>
      </c>
    </row>
    <row r="12" spans="1:13" x14ac:dyDescent="0.55000000000000004">
      <c r="A12" s="12">
        <v>100</v>
      </c>
      <c r="B12" t="s">
        <v>9</v>
      </c>
      <c r="C12">
        <v>4800</v>
      </c>
      <c r="D12">
        <v>9600</v>
      </c>
      <c r="E12">
        <v>12000</v>
      </c>
      <c r="F12">
        <v>12000</v>
      </c>
      <c r="G12" t="s">
        <v>9</v>
      </c>
      <c r="H12" t="s">
        <v>9</v>
      </c>
      <c r="I12" t="s">
        <v>9</v>
      </c>
      <c r="J12" t="s">
        <v>9</v>
      </c>
      <c r="K12" t="s">
        <v>9</v>
      </c>
      <c r="L12" t="s">
        <v>9</v>
      </c>
      <c r="M12" t="s">
        <v>9</v>
      </c>
    </row>
    <row r="13" spans="1:13" x14ac:dyDescent="0.55000000000000004">
      <c r="A13" s="12">
        <v>110</v>
      </c>
      <c r="B13" t="s">
        <v>9</v>
      </c>
      <c r="C13" t="s">
        <v>9</v>
      </c>
      <c r="D13">
        <v>10800</v>
      </c>
      <c r="E13">
        <v>12000</v>
      </c>
      <c r="F13">
        <v>12000</v>
      </c>
      <c r="G13" t="s">
        <v>9</v>
      </c>
      <c r="H13" t="s">
        <v>9</v>
      </c>
      <c r="I13" t="s">
        <v>9</v>
      </c>
      <c r="J13" t="s">
        <v>9</v>
      </c>
      <c r="K13" t="s">
        <v>9</v>
      </c>
      <c r="L13" t="s">
        <v>9</v>
      </c>
      <c r="M13" t="s">
        <v>9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</row>
    <row r="2" spans="1:13" x14ac:dyDescent="0.55000000000000004">
      <c r="A2" s="12" t="s">
        <v>23</v>
      </c>
      <c r="B2">
        <v>0</v>
      </c>
      <c r="C2" t="s">
        <v>9</v>
      </c>
      <c r="D2" t="s">
        <v>9</v>
      </c>
      <c r="E2" t="s">
        <v>9</v>
      </c>
      <c r="F2" t="s">
        <v>9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9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9</v>
      </c>
      <c r="D4" t="s">
        <v>9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9</v>
      </c>
      <c r="H9" t="s">
        <v>9</v>
      </c>
      <c r="I9" t="s">
        <v>9</v>
      </c>
      <c r="J9" t="s">
        <v>9</v>
      </c>
      <c r="K9" t="s">
        <v>9</v>
      </c>
      <c r="L9" t="s">
        <v>9</v>
      </c>
      <c r="M9" t="s">
        <v>9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9</v>
      </c>
      <c r="H10" t="s">
        <v>9</v>
      </c>
      <c r="I10" t="s">
        <v>9</v>
      </c>
      <c r="J10" t="s">
        <v>9</v>
      </c>
      <c r="K10" t="s">
        <v>9</v>
      </c>
      <c r="L10" t="s">
        <v>9</v>
      </c>
      <c r="M10" t="s">
        <v>9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9</v>
      </c>
      <c r="H11" t="s">
        <v>9</v>
      </c>
      <c r="I11" t="s">
        <v>9</v>
      </c>
      <c r="J11" t="s">
        <v>9</v>
      </c>
      <c r="K11" t="s">
        <v>9</v>
      </c>
      <c r="L11" t="s">
        <v>9</v>
      </c>
      <c r="M11" t="s">
        <v>9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9</v>
      </c>
      <c r="H12" t="s">
        <v>9</v>
      </c>
      <c r="I12" t="s">
        <v>9</v>
      </c>
      <c r="J12" t="s">
        <v>9</v>
      </c>
      <c r="K12" t="s">
        <v>9</v>
      </c>
      <c r="L12" t="s">
        <v>9</v>
      </c>
      <c r="M12" t="s">
        <v>9</v>
      </c>
    </row>
    <row r="13" spans="1:13" x14ac:dyDescent="0.55000000000000004">
      <c r="A13" s="12">
        <v>110</v>
      </c>
      <c r="C13" t="s">
        <v>9</v>
      </c>
      <c r="D13">
        <v>-3600</v>
      </c>
      <c r="E13">
        <v>-4000</v>
      </c>
      <c r="F13">
        <v>-4000</v>
      </c>
      <c r="G13" t="s">
        <v>9</v>
      </c>
      <c r="H13" t="s">
        <v>9</v>
      </c>
      <c r="I13" t="s">
        <v>9</v>
      </c>
      <c r="J13" t="s">
        <v>9</v>
      </c>
      <c r="K13" t="s">
        <v>9</v>
      </c>
      <c r="L13" t="s">
        <v>9</v>
      </c>
      <c r="M13" t="s">
        <v>9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</row>
    <row r="2" spans="1:13" x14ac:dyDescent="0.55000000000000004">
      <c r="A2" s="12" t="s">
        <v>23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9</v>
      </c>
      <c r="D3" t="s">
        <v>9</v>
      </c>
      <c r="E3">
        <v>2600</v>
      </c>
      <c r="F3">
        <v>5200</v>
      </c>
    </row>
    <row r="4" spans="1:13" x14ac:dyDescent="0.55000000000000004">
      <c r="A4" s="12">
        <v>25</v>
      </c>
      <c r="C4" t="s">
        <v>9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9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</row>
    <row r="2" spans="1:13" x14ac:dyDescent="0.55000000000000004">
      <c r="A2" s="12" t="s">
        <v>23</v>
      </c>
      <c r="B2">
        <v>0</v>
      </c>
      <c r="C2" t="s">
        <v>9</v>
      </c>
      <c r="D2" t="s">
        <v>9</v>
      </c>
      <c r="E2" t="s">
        <v>9</v>
      </c>
      <c r="F2" t="s">
        <v>9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9</v>
      </c>
      <c r="C3" t="s">
        <v>9</v>
      </c>
      <c r="D3">
        <v>1500</v>
      </c>
      <c r="E3">
        <v>2700</v>
      </c>
      <c r="F3">
        <v>5200</v>
      </c>
      <c r="G3" t="s">
        <v>9</v>
      </c>
      <c r="H3" t="s">
        <v>9</v>
      </c>
      <c r="I3" t="s">
        <v>9</v>
      </c>
      <c r="J3" t="s">
        <v>9</v>
      </c>
      <c r="K3" t="s">
        <v>9</v>
      </c>
      <c r="L3" t="s">
        <v>9</v>
      </c>
      <c r="M3" t="s">
        <v>9</v>
      </c>
    </row>
    <row r="4" spans="1:13" x14ac:dyDescent="0.55000000000000004">
      <c r="A4" s="12">
        <v>25</v>
      </c>
      <c r="B4" t="s">
        <v>9</v>
      </c>
      <c r="C4" t="s">
        <v>9</v>
      </c>
      <c r="D4" t="s">
        <v>9</v>
      </c>
      <c r="E4">
        <v>3200</v>
      </c>
      <c r="F4">
        <v>6400</v>
      </c>
      <c r="G4" t="s">
        <v>9</v>
      </c>
      <c r="H4" t="s">
        <v>9</v>
      </c>
      <c r="I4" t="s">
        <v>9</v>
      </c>
      <c r="J4" t="s">
        <v>9</v>
      </c>
      <c r="K4" t="s">
        <v>9</v>
      </c>
      <c r="L4" t="s">
        <v>9</v>
      </c>
      <c r="M4" t="s">
        <v>9</v>
      </c>
    </row>
    <row r="5" spans="1:13" x14ac:dyDescent="0.55000000000000004">
      <c r="A5" s="12">
        <v>30</v>
      </c>
      <c r="B5" t="s">
        <v>9</v>
      </c>
      <c r="C5">
        <v>1100</v>
      </c>
      <c r="D5">
        <v>2000</v>
      </c>
      <c r="E5">
        <v>4000</v>
      </c>
      <c r="F5">
        <v>8000</v>
      </c>
      <c r="G5" t="s">
        <v>9</v>
      </c>
      <c r="H5" t="s">
        <v>9</v>
      </c>
      <c r="I5" t="s">
        <v>9</v>
      </c>
      <c r="J5" t="s">
        <v>9</v>
      </c>
      <c r="K5" t="s">
        <v>9</v>
      </c>
      <c r="L5" t="s">
        <v>9</v>
      </c>
      <c r="M5" t="s">
        <v>9</v>
      </c>
    </row>
    <row r="6" spans="1:13" x14ac:dyDescent="0.55000000000000004">
      <c r="A6" s="12">
        <v>40</v>
      </c>
      <c r="B6" t="s">
        <v>9</v>
      </c>
      <c r="C6">
        <v>1500</v>
      </c>
      <c r="D6">
        <v>2700</v>
      </c>
      <c r="E6">
        <v>5200</v>
      </c>
      <c r="F6">
        <v>8000</v>
      </c>
      <c r="G6" t="s">
        <v>9</v>
      </c>
      <c r="H6" t="s">
        <v>9</v>
      </c>
      <c r="I6" t="s">
        <v>9</v>
      </c>
      <c r="J6" t="s">
        <v>9</v>
      </c>
      <c r="K6" t="s">
        <v>9</v>
      </c>
      <c r="L6" t="s">
        <v>9</v>
      </c>
      <c r="M6" t="s">
        <v>9</v>
      </c>
    </row>
    <row r="7" spans="1:13" x14ac:dyDescent="0.55000000000000004">
      <c r="A7" s="12">
        <v>50</v>
      </c>
      <c r="B7" t="s">
        <v>9</v>
      </c>
      <c r="C7">
        <v>1600</v>
      </c>
      <c r="D7">
        <v>3200</v>
      </c>
      <c r="E7">
        <v>6400</v>
      </c>
      <c r="F7">
        <v>8000</v>
      </c>
      <c r="G7" t="s">
        <v>9</v>
      </c>
      <c r="H7" t="s">
        <v>9</v>
      </c>
      <c r="I7" t="s">
        <v>9</v>
      </c>
      <c r="J7" t="s">
        <v>9</v>
      </c>
      <c r="K7" t="s">
        <v>9</v>
      </c>
      <c r="L7" t="s">
        <v>9</v>
      </c>
      <c r="M7" t="s">
        <v>9</v>
      </c>
    </row>
    <row r="8" spans="1:13" x14ac:dyDescent="0.55000000000000004">
      <c r="A8" s="12">
        <v>60</v>
      </c>
      <c r="B8" t="s">
        <v>9</v>
      </c>
      <c r="C8">
        <v>2000</v>
      </c>
      <c r="D8">
        <v>4000</v>
      </c>
      <c r="E8">
        <v>8000</v>
      </c>
      <c r="F8">
        <v>8000</v>
      </c>
      <c r="G8" t="s">
        <v>9</v>
      </c>
      <c r="H8" t="s">
        <v>9</v>
      </c>
      <c r="I8" t="s">
        <v>9</v>
      </c>
      <c r="J8" t="s">
        <v>9</v>
      </c>
      <c r="K8" t="s">
        <v>9</v>
      </c>
      <c r="L8" t="s">
        <v>9</v>
      </c>
      <c r="M8" t="s">
        <v>9</v>
      </c>
    </row>
    <row r="9" spans="1:13" x14ac:dyDescent="0.55000000000000004">
      <c r="A9" s="12">
        <v>70</v>
      </c>
      <c r="B9" t="s">
        <v>9</v>
      </c>
      <c r="C9">
        <v>2400</v>
      </c>
      <c r="D9">
        <v>4700</v>
      </c>
      <c r="E9">
        <v>8000</v>
      </c>
      <c r="F9">
        <v>8000</v>
      </c>
      <c r="G9" t="s">
        <v>9</v>
      </c>
      <c r="H9" t="s">
        <v>9</v>
      </c>
      <c r="I9" t="s">
        <v>9</v>
      </c>
      <c r="J9" t="s">
        <v>9</v>
      </c>
      <c r="K9" t="s">
        <v>9</v>
      </c>
      <c r="L9" t="s">
        <v>9</v>
      </c>
      <c r="M9" t="s">
        <v>9</v>
      </c>
    </row>
    <row r="10" spans="1:13" x14ac:dyDescent="0.55000000000000004">
      <c r="A10" s="12">
        <v>80</v>
      </c>
      <c r="B10" t="s">
        <v>9</v>
      </c>
      <c r="C10">
        <v>2700</v>
      </c>
      <c r="D10">
        <v>5200</v>
      </c>
      <c r="E10">
        <v>8000</v>
      </c>
      <c r="F10">
        <v>8000</v>
      </c>
      <c r="G10" t="s">
        <v>9</v>
      </c>
      <c r="H10" t="s">
        <v>9</v>
      </c>
      <c r="I10" t="s">
        <v>9</v>
      </c>
      <c r="J10" t="s">
        <v>9</v>
      </c>
      <c r="K10" t="s">
        <v>9</v>
      </c>
      <c r="L10" t="s">
        <v>9</v>
      </c>
      <c r="M10" t="s">
        <v>9</v>
      </c>
    </row>
    <row r="11" spans="1:13" x14ac:dyDescent="0.55000000000000004">
      <c r="A11" s="12">
        <v>90</v>
      </c>
      <c r="B11" t="s">
        <v>9</v>
      </c>
      <c r="C11">
        <v>3100</v>
      </c>
      <c r="D11">
        <v>5900</v>
      </c>
      <c r="E11">
        <v>8000</v>
      </c>
      <c r="F11">
        <v>8000</v>
      </c>
      <c r="G11" t="s">
        <v>9</v>
      </c>
      <c r="H11" t="s">
        <v>9</v>
      </c>
      <c r="I11" t="s">
        <v>9</v>
      </c>
      <c r="J11" t="s">
        <v>9</v>
      </c>
      <c r="K11" t="s">
        <v>9</v>
      </c>
      <c r="L11" t="s">
        <v>9</v>
      </c>
      <c r="M11" t="s">
        <v>9</v>
      </c>
    </row>
    <row r="12" spans="1:13" x14ac:dyDescent="0.55000000000000004">
      <c r="A12" s="12">
        <v>100</v>
      </c>
      <c r="B12" t="s">
        <v>9</v>
      </c>
      <c r="C12">
        <v>3200</v>
      </c>
      <c r="D12">
        <v>6400</v>
      </c>
      <c r="E12">
        <v>8000</v>
      </c>
      <c r="F12">
        <v>8000</v>
      </c>
      <c r="G12" t="s">
        <v>9</v>
      </c>
      <c r="H12" t="s">
        <v>9</v>
      </c>
      <c r="I12" t="s">
        <v>9</v>
      </c>
      <c r="J12" t="s">
        <v>9</v>
      </c>
      <c r="K12" t="s">
        <v>9</v>
      </c>
      <c r="L12" t="s">
        <v>9</v>
      </c>
      <c r="M12" t="s">
        <v>9</v>
      </c>
    </row>
    <row r="13" spans="1:13" x14ac:dyDescent="0.55000000000000004">
      <c r="A13" s="12">
        <v>110</v>
      </c>
      <c r="B13" t="s">
        <v>9</v>
      </c>
      <c r="C13" t="s">
        <v>9</v>
      </c>
      <c r="D13">
        <v>7200</v>
      </c>
      <c r="E13">
        <v>8000</v>
      </c>
      <c r="F13">
        <v>8000</v>
      </c>
      <c r="G13" t="s">
        <v>9</v>
      </c>
      <c r="H13" t="s">
        <v>9</v>
      </c>
      <c r="I13" t="s">
        <v>9</v>
      </c>
      <c r="J13" t="s">
        <v>9</v>
      </c>
      <c r="K13" t="s">
        <v>9</v>
      </c>
      <c r="L13" t="s">
        <v>9</v>
      </c>
      <c r="M13" t="s">
        <v>9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</row>
    <row r="2" spans="1:13" x14ac:dyDescent="0.55000000000000004">
      <c r="A2" s="12" t="s">
        <v>23</v>
      </c>
      <c r="B2">
        <v>0</v>
      </c>
      <c r="C2" t="s">
        <v>9</v>
      </c>
      <c r="D2" t="s">
        <v>9</v>
      </c>
      <c r="E2" t="s">
        <v>9</v>
      </c>
      <c r="F2" t="s">
        <v>9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9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9</v>
      </c>
      <c r="D4" t="s">
        <v>9</v>
      </c>
      <c r="E4">
        <v>-800</v>
      </c>
      <c r="F4">
        <v>-1600</v>
      </c>
      <c r="M4" t="s">
        <v>9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9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9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9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9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9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9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9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9</v>
      </c>
    </row>
    <row r="13" spans="1:13" x14ac:dyDescent="0.55000000000000004">
      <c r="A13" s="12">
        <v>110</v>
      </c>
      <c r="C13" t="s">
        <v>9</v>
      </c>
      <c r="D13">
        <v>-1800</v>
      </c>
      <c r="E13">
        <v>-2000</v>
      </c>
      <c r="F13">
        <v>-2000</v>
      </c>
      <c r="M13" t="s">
        <v>9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</row>
    <row r="2" spans="1:13" x14ac:dyDescent="0.55000000000000004">
      <c r="A2" s="12" t="s">
        <v>23</v>
      </c>
      <c r="B2">
        <v>0</v>
      </c>
      <c r="C2" t="s">
        <v>9</v>
      </c>
      <c r="D2" t="s">
        <v>9</v>
      </c>
      <c r="E2" t="s">
        <v>9</v>
      </c>
      <c r="F2" t="s">
        <v>9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9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9</v>
      </c>
      <c r="D4" t="s">
        <v>9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9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9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9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9</v>
      </c>
    </row>
    <row r="13" spans="1:13" x14ac:dyDescent="0.55000000000000004">
      <c r="A13" s="12">
        <v>110</v>
      </c>
      <c r="C13" t="s">
        <v>9</v>
      </c>
      <c r="D13">
        <v>-3600</v>
      </c>
      <c r="E13">
        <v>-4000</v>
      </c>
      <c r="F13">
        <v>-4000</v>
      </c>
      <c r="M13" t="s">
        <v>9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2026-10-15T14:29:57Z</dcterms:modified>
</cp:coreProperties>
</file>