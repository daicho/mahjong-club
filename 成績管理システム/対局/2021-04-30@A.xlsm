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Club\mahjong-club\成績管理システム\対局\"/>
    </mc:Choice>
  </mc:AlternateContent>
  <xr:revisionPtr revIDLastSave="0" documentId="13_ncr:1_{E6B22C0E-3B9C-403C-9D08-5E78E840DE29}" xr6:coauthVersionLast="46" xr6:coauthVersionMax="46" xr10:uidLastSave="{00000000-0000-0000-0000-000000000000}"/>
  <bookViews>
    <workbookView xWindow="-120" yWindow="-120" windowWidth="29040" windowHeight="1584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27" l="1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J8" i="27"/>
  <c r="D8" i="27"/>
  <c r="C8" i="27"/>
  <c r="J7" i="27"/>
  <c r="D7" i="27"/>
  <c r="C7" i="27"/>
  <c r="J6" i="27"/>
  <c r="J5" i="27"/>
  <c r="D5" i="27"/>
  <c r="D6" i="27" s="1"/>
  <c r="C5" i="27"/>
  <c r="C6" i="27" s="1"/>
  <c r="B5" i="27"/>
  <c r="A5" i="27" s="1"/>
  <c r="Y4" i="27"/>
  <c r="T4" i="27"/>
  <c r="O4" i="27"/>
  <c r="J4" i="27"/>
  <c r="B6" i="27" l="1"/>
  <c r="A6" i="27" s="1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B7" i="27" l="1"/>
  <c r="A7" i="27" s="1"/>
  <c r="Z5" i="27"/>
  <c r="AB5" i="27"/>
  <c r="AA5" i="27"/>
  <c r="AC5" i="27"/>
  <c r="Y7" i="27"/>
  <c r="O8" i="27"/>
  <c r="T6" i="27"/>
  <c r="B8" i="27" l="1"/>
  <c r="A8" i="27" s="1"/>
  <c r="AC6" i="27"/>
  <c r="AB6" i="27"/>
  <c r="Z6" i="27"/>
  <c r="AA6" i="27"/>
  <c r="Y8" i="27"/>
  <c r="T7" i="27"/>
  <c r="B9" i="27" l="1"/>
  <c r="A9" i="27" s="1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<sst xmlns="http://schemas.openxmlformats.org/spreadsheetml/2006/main" count="562" uniqueCount="176">
  <si>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</si>
  <si>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</si>
  <si>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</si>
  <si>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</si>
  <si>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</si>
  <si>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</si>
  <si>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</si>
  <si>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</si>
  <si>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</si>
  <si>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</si>
  <si>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</si>
  <si>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</si>
  <si>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</si>
  <si>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</si>
  <si>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</si>
  <si>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</si>
  <si>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</si>
  <si>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</si>
  <si>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</si>
  <si>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</si>
  <si>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</si>
  <si>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</si>
  <si>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</si>
  <si>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</si>
  <si>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</si>
  <si>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</si>
  <si>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</si>
  <si>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</si>
  <si>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</si>
  <si>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</si>
  <si>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</si>
  <si>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</si>
  <si>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</si>
  <si>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</si>
  <si>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</si>
  <si>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</si>
  <si>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</si>
  <si>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</si>
  <si>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</si>
  <si>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</si>
  <si>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</si>
  <si>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</si>
  <si>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</si>
  <si>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</si>
  <si>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</si>
  <si>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</si>
  <si>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</si>
  <si>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</si>
  <si>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</si>
  <si>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</si>
  <si>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</si>
  <si>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</si>
  <si>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</si>
  <si>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</si>
  <si>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</si>
  <si>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</si>
  <si>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</si>
  <si>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</si>
  <si>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</si>
  <si>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</si>
  <si>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</si>
  <si>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</si>
  <si>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</si>
  <si>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</si>
  <si>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</si>
  <si>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</si>
  <si>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</si>
  <si>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</si>
  <si>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</si>
  <si>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</si>
  <si>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</si>
  <si>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</si>
  <si>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</si>
  <si>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</si>
  <si>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</si>
  <si>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</si>
  <si>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</si>
  <si>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</si>
  <si>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</si>
  <si>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</si>
  <si>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</si>
  <si>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</si>
  <si>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</si>
  <si>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</si>
  <si>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</si>
  <si>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</si>
  <si>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</si>
  <si>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</si>
  <si>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</si>
  <si>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</si>
  <si>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</si>
  <si>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</si>
  <si>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</si>
  <si>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</si>
  <si>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</si>
  <si>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</si>
  <si>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</si>
  <si>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</si>
  <si>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</si>
  <si>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</si>
  <si>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</si>
  <si>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</si>
  <si>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</si>
  <si>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</si>
  <si>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</si>
  <si>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</si>
  <si>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</si>
  <si>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</si>
  <si>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</si>
  <si>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</si>
  <si>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</si>
  <si>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</si>
  <si>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</si>
  <si>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</si>
  <si>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</si>
  <si>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</si>
  <si>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</si>
  <si>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</si>
  <si>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</si>
  <si>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</si>
  <si>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</si>
  <si>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</si>
  <si>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</si>
  <si>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</si>
  <si>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</si>
  <si>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</si>
  <si>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</si>
  <si>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</si>
  <si>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</si>
  <si>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</si>
  <si>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</si>
  <si>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</si>
  <si>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</si>
  <si>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</si>
  <si>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</si>
  <si>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</si>
  <si>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</si>
  <si>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</si>
  <si>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</si>
  <si>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</si>
  <si>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</si>
  <si>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</si>
  <si>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</si>
  <si>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</si>
  <si>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</si>
  <si>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</si>
  <si>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</si>
  <si>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</si>
  <si>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</si>
  <si>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</si>
  <si>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</si>
  <si>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</si>
  <si>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</si>
  <si>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</si>
  <si>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</si>
  <si>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</si>
  <si>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</si>
  <si>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</si>
  <si>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</si>
  <si>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</si>
  <si>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</si>
  <si>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大池陸斗</t>
  </si>
  <si>
    <t>柳澤颯吾</t>
  </si>
  <si>
    <t>佐藤成浩</t>
  </si>
  <si>
    <t>阿部圭太朗</t>
    <rPh sb="0" eb="2">
      <t>アベ</t>
    </rPh>
    <rPh sb="2" eb="5">
      <t>ケイタロウ</t>
    </rPh>
    <phoneticPr fontId="1"/>
  </si>
  <si>
    <t>N</t>
  </si>
  <si>
    <t>T</t>
  </si>
  <si>
    <t>流局</t>
    <phoneticPr fontId="1"/>
  </si>
  <si>
    <t>放銃</t>
  </si>
  <si>
    <t>ロン</t>
  </si>
  <si>
    <t>*</t>
  </si>
  <si>
    <t>01</t>
  </si>
  <si>
    <t>52</t>
  </si>
  <si>
    <t>ツモ支払</t>
  </si>
  <si>
    <t>ツモ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</si>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</sst>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K1" sqref="K1:O1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 t="s">
        <v>161</v>
      </c>
      <c r="G1" s="67"/>
      <c r="H1" s="67"/>
      <c r="I1" s="70"/>
      <c r="J1" s="68"/>
      <c r="K1" s="65" t="s">
        <v>162</v>
      </c>
      <c r="L1" s="67"/>
      <c r="M1" s="67"/>
      <c r="N1" s="70"/>
      <c r="O1" s="68"/>
      <c r="P1" s="65" t="s">
        <v>163</v>
      </c>
      <c r="Q1" s="67"/>
      <c r="R1" s="67"/>
      <c r="S1" s="70"/>
      <c r="T1" s="68"/>
      <c r="U1" s="65" t="s">
        <v>164</v>
      </c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>大池陸斗</v>
      </c>
      <c r="AF1" s="66" t="str">
        <f t="shared" ref="AF1:AY1" si="0">$F$1</f>
        <v>大池陸斗</v>
      </c>
      <c r="AG1" s="67" t="str">
        <f t="shared" si="0"/>
        <v>大池陸斗</v>
      </c>
      <c r="AH1" s="67" t="str">
        <f t="shared" si="0"/>
        <v>大池陸斗</v>
      </c>
      <c r="AI1" s="67" t="str">
        <f t="shared" si="0"/>
        <v>大池陸斗</v>
      </c>
      <c r="AJ1" s="67" t="str">
        <f t="shared" si="0"/>
        <v>大池陸斗</v>
      </c>
      <c r="AK1" s="67" t="str">
        <f t="shared" si="0"/>
        <v>大池陸斗</v>
      </c>
      <c r="AL1" s="67" t="str">
        <f t="shared" si="0"/>
        <v>大池陸斗</v>
      </c>
      <c r="AM1" s="67" t="str">
        <f t="shared" si="0"/>
        <v>大池陸斗</v>
      </c>
      <c r="AN1" s="67" t="str">
        <f t="shared" si="0"/>
        <v>大池陸斗</v>
      </c>
      <c r="AO1" s="67" t="str">
        <f t="shared" si="0"/>
        <v>大池陸斗</v>
      </c>
      <c r="AP1" s="67" t="str">
        <f t="shared" si="0"/>
        <v>大池陸斗</v>
      </c>
      <c r="AQ1" s="67" t="str">
        <f t="shared" si="0"/>
        <v>大池陸斗</v>
      </c>
      <c r="AR1" s="67" t="str">
        <f t="shared" si="0"/>
        <v>大池陸斗</v>
      </c>
      <c r="AS1" s="67" t="str">
        <f t="shared" si="0"/>
        <v>大池陸斗</v>
      </c>
      <c r="AT1" s="67" t="str">
        <f t="shared" si="0"/>
        <v>大池陸斗</v>
      </c>
      <c r="AU1" s="67" t="str">
        <f t="shared" si="0"/>
        <v>大池陸斗</v>
      </c>
      <c r="AV1" s="67" t="str">
        <f t="shared" si="0"/>
        <v>大池陸斗</v>
      </c>
      <c r="AW1" s="67" t="str">
        <f t="shared" si="0"/>
        <v>大池陸斗</v>
      </c>
      <c r="AX1" s="67" t="str">
        <f t="shared" si="0"/>
        <v>大池陸斗</v>
      </c>
      <c r="AY1" s="68" t="str">
        <f t="shared" si="0"/>
        <v>大池陸斗</v>
      </c>
      <c r="AZ1" s="65" t="str">
        <f>IF($K$1="","",$K$1)</f>
        <v>柳澤颯吾</v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>佐藤成浩</v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>阿部圭太朗</v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大池陸斗</v>
      </c>
      <c r="AA2" s="61" t="str">
        <f>IF($K$1="","",$K$1)</f>
        <v>柳澤颯吾</v>
      </c>
      <c r="AB2" s="61" t="str">
        <f>IF($P$1="","",$P$1)</f>
        <v>佐藤成浩</v>
      </c>
      <c r="AC2" s="13" t="str">
        <f>IF($U$1="","",$U$1)</f>
        <v>阿部圭太朗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大池陸斗</v>
      </c>
      <c r="F4" s="5" t="s">
        <v>167</v>
      </c>
      <c r="G4" s="6">
        <v>-1500</v>
      </c>
      <c r="H4" s="6"/>
      <c r="I4" s="45"/>
      <c r="J4" s="18">
        <f>IF(COUNTA($F4,$K4,$P4,$U4)&gt;0,J3+SUM(G4:I4),"")</f>
        <v>23500</v>
      </c>
      <c r="K4" s="5" t="s">
        <v>167</v>
      </c>
      <c r="L4" s="6">
        <v>1500</v>
      </c>
      <c r="M4" s="6">
        <v>-1000</v>
      </c>
      <c r="N4" s="45"/>
      <c r="O4" s="18">
        <f>IF(COUNTA($F4,$K4,$P4,$U4)&gt;0,O3+SUM(L4:N4),"")</f>
        <v>25500</v>
      </c>
      <c r="P4" s="5" t="s">
        <v>167</v>
      </c>
      <c r="Q4" s="6">
        <v>1500</v>
      </c>
      <c r="R4" s="6"/>
      <c r="S4" s="45"/>
      <c r="T4" s="18">
        <f>IF(COUNTA($F4,$K4,$P4,$U4)&gt;0,T3+SUM(Q4:S4),"")</f>
        <v>26500</v>
      </c>
      <c r="U4" s="5" t="s">
        <v>167</v>
      </c>
      <c r="V4" s="6">
        <v>-1500</v>
      </c>
      <c r="W4" s="6"/>
      <c r="X4" s="45"/>
      <c r="Y4" s="18">
        <f>IF(COUNTA($F4,$K4,$P4,$U4)&gt;0,Y3+SUM(V4:X4),"")</f>
        <v>23500</v>
      </c>
      <c r="Z4" s="50">
        <f>IF($J4="","",ROUND(($J4-30000)/1000,1)+(2.5-_xlfn.RANK.AVG($J4,($J4,$O4,$T4,$Y4)))*20+IF(_xlfn.RANK.EQ($J4,($J4,$O4,$T4,$Y4))=1,20/((_xlfn.RANK.AVG($J4,($J4,$O4,$T4,$Y4))-1)*2+1),0))</f>
        <v>-26.5</v>
      </c>
      <c r="AA4" s="51">
        <f>IF($O4="","",ROUND(($O4-30000)/1000,1)+(2.5-_xlfn.RANK.AVG($O4,($J4,$O4,$T4,$Y4)))*20+IF(_xlfn.RANK.EQ($O4,($J4,$O4,$T4,$Y4))=1,20/((_xlfn.RANK.AVG($O4,($J4,$O4,$T4,$Y4))-1)*2+1),0))</f>
        <v>5.5</v>
      </c>
      <c r="AB4" s="51">
        <f>IF($T4="","",ROUND(($T4-30000)/1000,1)+(2.5-_xlfn.RANK.AVG($T4,($J4,$O4,$T4,$Y4)))*20+IF(_xlfn.RANK.EQ($T4,($J4,$O4,$T4,$Y4))=1,20/((_xlfn.RANK.AVG($T4,($J4,$O4,$T4,$Y4))-1)*2+1),0))</f>
        <v>46.5</v>
      </c>
      <c r="AC4" s="52">
        <f>IF($Y4="","",ROUND(($Y4-30000)/1000,1)+(2.5-_xlfn.RANK.AVG($Y4,($J4,$O4,$T4,$Y4)))*20+IF(_xlfn.RANK.EQ($Y4,($J4,$O4,$T4,$Y4))=1,20/((_xlfn.RANK.AVG($Y4,($J4,$O4,$T4,$Y4))-1)*2+1),0))</f>
        <v>-26.5</v>
      </c>
      <c r="AE4" s="5" t="s">
        <v>165</v>
      </c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 t="s">
        <v>166</v>
      </c>
      <c r="BA4" s="31"/>
      <c r="BB4" s="23">
        <v>1</v>
      </c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 t="s">
        <v>166</v>
      </c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 t="s">
        <v>165</v>
      </c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63" t="str">
        <f>IF($K$1="","",$K$1)</f>
        <v>柳澤颯吾</v>
      </c>
      <c r="F5" s="5" t="s">
        <v>167</v>
      </c>
      <c r="G5" s="6">
        <v>-1000</v>
      </c>
      <c r="H5" s="6"/>
      <c r="I5" s="45"/>
      <c r="J5" s="18">
        <f t="shared" ref="J5:J30" si="2">IF(COUNTA($F5,$K5,$P5,$U5)&gt;0,J4+SUM(G5:I5),"")</f>
        <v>22500</v>
      </c>
      <c r="K5" s="5" t="s">
        <v>167</v>
      </c>
      <c r="L5" s="6">
        <v>3000</v>
      </c>
      <c r="M5" s="6">
        <v>-1000</v>
      </c>
      <c r="N5" s="45"/>
      <c r="O5" s="18">
        <f>IF(COUNTA($F5,$K5,$P5,$U5)&gt;0,O4+SUM(L5:N5),"")</f>
        <v>27500</v>
      </c>
      <c r="P5" s="5" t="s">
        <v>167</v>
      </c>
      <c r="Q5" s="6">
        <v>-1000</v>
      </c>
      <c r="R5" s="6"/>
      <c r="S5" s="45"/>
      <c r="T5" s="18">
        <f t="shared" ref="T5:T30" si="3">IF(COUNTA($F5,$K5,$P5,$U5)&gt;0,T4+SUM(Q5:S5),"")</f>
        <v>25500</v>
      </c>
      <c r="U5" s="5" t="s">
        <v>167</v>
      </c>
      <c r="V5" s="6">
        <v>-1000</v>
      </c>
      <c r="W5" s="6"/>
      <c r="X5" s="45"/>
      <c r="Y5" s="18">
        <f t="shared" ref="Y5:Y30" si="4">IF(COUNTA($F5,$K5,$P5,$U5)&gt;0,Y4+SUM(V5:X5),"")</f>
        <v>22500</v>
      </c>
      <c r="Z5" s="50">
        <f>IF($J5="","",ROUND(($J5-30000)/1000,1)+(2.5-_xlfn.RANK.AVG($J5,($J5,$O5,$T5,$Y5)))*20+IF(_xlfn.RANK.EQ($J5,($J5,$O5,$T5,$Y5))=1,20/((_xlfn.RANK.AVG($J5,($J5,$O5,$T5,$Y5))-1)*2+1),0))</f>
        <v>-27.5</v>
      </c>
      <c r="AA5" s="51">
        <f>IF($O5="","",ROUND(($O5-30000)/1000,1)+(2.5-_xlfn.RANK.AVG($O5,($J5,$O5,$T5,$Y5)))*20+IF(_xlfn.RANK.EQ($O5,($J5,$O5,$T5,$Y5))=1,20/((_xlfn.RANK.AVG($O5,($J5,$O5,$T5,$Y5))-1)*2+1),0))</f>
        <v>47.5</v>
      </c>
      <c r="AB5" s="51">
        <f>IF($T5="","",ROUND(($T5-30000)/1000,1)+(2.5-_xlfn.RANK.AVG($T5,($J5,$O5,$T5,$Y5)))*20+IF(_xlfn.RANK.EQ($T5,($J5,$O5,$T5,$Y5))=1,20/((_xlfn.RANK.AVG($T5,($J5,$O5,$T5,$Y5))-1)*2+1),0))</f>
        <v>5.5</v>
      </c>
      <c r="AC5" s="52">
        <f>IF($Y5="","",ROUND(($Y5-30000)/1000,1)+(2.5-_xlfn.RANK.AVG($Y5,($J5,$O5,$T5,$Y5)))*20+IF(_xlfn.RANK.EQ($Y5,($J5,$O5,$T5,$Y5))=1,20/((_xlfn.RANK.AVG($Y5,($J5,$O5,$T5,$Y5))-1)*2+1),0))</f>
        <v>-27.5</v>
      </c>
      <c r="AE5" s="5" t="s">
        <v>165</v>
      </c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166</v>
      </c>
      <c r="BA5" s="31"/>
      <c r="BB5" s="23">
        <v>1</v>
      </c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165</v>
      </c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165</v>
      </c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2</v>
      </c>
      <c r="E6" s="63" t="str">
        <f>IF($K$1="","",$K$1)</f>
        <v>柳澤颯吾</v>
      </c>
      <c r="F6" s="5"/>
      <c r="G6" s="6"/>
      <c r="H6" s="6"/>
      <c r="I6" s="45"/>
      <c r="J6" s="18">
        <f t="shared" si="2"/>
        <v>22500</v>
      </c>
      <c r="K6" s="5" t="s">
        <v>168</v>
      </c>
      <c r="L6" s="6">
        <v>-12000</v>
      </c>
      <c r="M6" s="6"/>
      <c r="N6" s="45">
        <v>-600</v>
      </c>
      <c r="O6" s="18">
        <f t="shared" ref="O6:O30" si="8">IF(COUNTA($F6,$K6,$P6,$U6)&gt;0,O5+SUM(L6:N6),"")</f>
        <v>14900</v>
      </c>
      <c r="P6" s="5" t="s">
        <v>169</v>
      </c>
      <c r="Q6" s="6">
        <v>12000</v>
      </c>
      <c r="R6" s="6">
        <v>2000</v>
      </c>
      <c r="S6" s="45">
        <v>600</v>
      </c>
      <c r="T6" s="18">
        <f t="shared" si="3"/>
        <v>40100</v>
      </c>
      <c r="U6" s="5"/>
      <c r="V6" s="6"/>
      <c r="W6" s="6"/>
      <c r="X6" s="45"/>
      <c r="Y6" s="18">
        <f t="shared" si="4"/>
        <v>22500</v>
      </c>
      <c r="Z6" s="50">
        <f>IF($J6="","",ROUND(($J6-30000)/1000,1)+(2.5-_xlfn.RANK.AVG($J6,($J6,$O6,$T6,$Y6)))*20+IF(_xlfn.RANK.EQ($J6,($J6,$O6,$T6,$Y6))=1,20/((_xlfn.RANK.AVG($J6,($J6,$O6,$T6,$Y6))-1)*2+1),0))</f>
        <v>-7.5</v>
      </c>
      <c r="AA6" s="51">
        <f>IF($O6="","",ROUND(($O6-30000)/1000,1)+(2.5-_xlfn.RANK.AVG($O6,($J6,$O6,$T6,$Y6)))*20+IF(_xlfn.RANK.EQ($O6,($J6,$O6,$T6,$Y6))=1,20/((_xlfn.RANK.AVG($O6,($J6,$O6,$T6,$Y6))-1)*2+1),0))</f>
        <v>-45.1</v>
      </c>
      <c r="AB6" s="51">
        <f>IF($T6="","",ROUND(($T6-30000)/1000,1)+(2.5-_xlfn.RANK.AVG($T6,($J6,$O6,$T6,$Y6)))*20+IF(_xlfn.RANK.EQ($T6,($J6,$O6,$T6,$Y6))=1,20/((_xlfn.RANK.AVG($T6,($J6,$O6,$T6,$Y6))-1)*2+1),0))</f>
        <v>60.1</v>
      </c>
      <c r="AC6" s="52">
        <f>IF($Y6="","",ROUND(($Y6-30000)/1000,1)+(2.5-_xlfn.RANK.AVG($Y6,($J6,$O6,$T6,$Y6)))*20+IF(_xlfn.RANK.EQ($Y6,($J6,$O6,$T6,$Y6))=1,20/((_xlfn.RANK.AVG($Y6,($J6,$O6,$T6,$Y6))-1)*2+1),0))</f>
        <v>-7.5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>
        <v>1</v>
      </c>
      <c r="BY6" s="23">
        <v>6</v>
      </c>
      <c r="BZ6" s="27" t="s">
        <v>170</v>
      </c>
      <c r="CA6" s="37" t="s">
        <v>95</v>
      </c>
      <c r="CB6" s="38" t="s">
        <v>77</v>
      </c>
      <c r="CC6" s="38" t="s">
        <v>70</v>
      </c>
      <c r="CD6" s="38" t="s">
        <v>70</v>
      </c>
      <c r="CE6" s="38" t="s">
        <v>70</v>
      </c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tr">
        <f>IF($P$1="","",$P$1)</f>
        <v>佐藤成浩</v>
      </c>
      <c r="F7" s="5" t="s">
        <v>169</v>
      </c>
      <c r="G7" s="6">
        <v>8000</v>
      </c>
      <c r="H7" s="6"/>
      <c r="I7" s="45">
        <v>0</v>
      </c>
      <c r="J7" s="18">
        <f t="shared" si="2"/>
        <v>30500</v>
      </c>
      <c r="K7" s="5"/>
      <c r="L7" s="6"/>
      <c r="M7" s="6"/>
      <c r="N7" s="45"/>
      <c r="O7" s="18">
        <f t="shared" si="8"/>
        <v>14900</v>
      </c>
      <c r="P7" s="5" t="s">
        <v>168</v>
      </c>
      <c r="Q7" s="6">
        <v>-8000</v>
      </c>
      <c r="R7" s="6"/>
      <c r="S7" s="45">
        <v>0</v>
      </c>
      <c r="T7" s="18">
        <f t="shared" si="3"/>
        <v>32100</v>
      </c>
      <c r="U7" s="5"/>
      <c r="V7" s="6"/>
      <c r="W7" s="6"/>
      <c r="X7" s="45"/>
      <c r="Y7" s="18">
        <f t="shared" si="4"/>
        <v>22500</v>
      </c>
      <c r="Z7" s="50">
        <f>IF($J7="","",ROUND(($J7-30000)/1000,1)+(2.5-_xlfn.RANK.AVG($J7,($J7,$O7,$T7,$Y7)))*20+IF(_xlfn.RANK.EQ($J7,($J7,$O7,$T7,$Y7))=1,20/((_xlfn.RANK.AVG($J7,($J7,$O7,$T7,$Y7))-1)*2+1),0))</f>
        <v>10.5</v>
      </c>
      <c r="AA7" s="51">
        <f>IF($O7="","",ROUND(($O7-30000)/1000,1)+(2.5-_xlfn.RANK.AVG($O7,($J7,$O7,$T7,$Y7)))*20+IF(_xlfn.RANK.EQ($O7,($J7,$O7,$T7,$Y7))=1,20/((_xlfn.RANK.AVG($O7,($J7,$O7,$T7,$Y7))-1)*2+1),0))</f>
        <v>-45.1</v>
      </c>
      <c r="AB7" s="51">
        <f>IF($T7="","",ROUND(($T7-30000)/1000,1)+(2.5-_xlfn.RANK.AVG($T7,($J7,$O7,$T7,$Y7)))*20+IF(_xlfn.RANK.EQ($T7,($J7,$O7,$T7,$Y7))=1,20/((_xlfn.RANK.AVG($T7,($J7,$O7,$T7,$Y7))-1)*2+1),0))</f>
        <v>52.1</v>
      </c>
      <c r="AC7" s="52">
        <f>IF($Y7="","",ROUND(($Y7-30000)/1000,1)+(2.5-_xlfn.RANK.AVG($Y7,($J7,$O7,$T7,$Y7)))*20+IF(_xlfn.RANK.EQ($Y7,($J7,$O7,$T7,$Y7))=1,20/((_xlfn.RANK.AVG($Y7,($J7,$O7,$T7,$Y7))-1)*2+1),0))</f>
        <v>-17.5</v>
      </c>
      <c r="AE7" s="5"/>
      <c r="AF7" s="31"/>
      <c r="AG7" s="23">
        <v>1</v>
      </c>
      <c r="AH7" s="23"/>
      <c r="AI7" s="23">
        <v>4</v>
      </c>
      <c r="AJ7" s="27">
        <v>30</v>
      </c>
      <c r="AK7" s="37" t="s">
        <v>171</v>
      </c>
      <c r="AL7" s="38" t="s">
        <v>74</v>
      </c>
      <c r="AM7" s="38" t="s">
        <v>172</v>
      </c>
      <c r="AN7" s="38" t="s">
        <v>71</v>
      </c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>
        <v>1</v>
      </c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IF($U$1="","",$U$1)</f>
        <v>阿部圭太朗</v>
      </c>
      <c r="F8" s="5" t="s">
        <v>173</v>
      </c>
      <c r="G8" s="6">
        <v>-500</v>
      </c>
      <c r="H8" s="6"/>
      <c r="I8" s="45">
        <v>0</v>
      </c>
      <c r="J8" s="18">
        <f t="shared" si="2"/>
        <v>30000</v>
      </c>
      <c r="K8" s="5" t="s">
        <v>174</v>
      </c>
      <c r="L8" s="6">
        <v>2000</v>
      </c>
      <c r="M8" s="6">
        <v>1000</v>
      </c>
      <c r="N8" s="45">
        <v>0</v>
      </c>
      <c r="O8" s="18">
        <f t="shared" si="8"/>
        <v>17900</v>
      </c>
      <c r="P8" s="5" t="s">
        <v>173</v>
      </c>
      <c r="Q8" s="6">
        <v>-500</v>
      </c>
      <c r="R8" s="6"/>
      <c r="S8" s="45">
        <v>0</v>
      </c>
      <c r="T8" s="18">
        <f t="shared" si="3"/>
        <v>31600</v>
      </c>
      <c r="U8" s="5" t="s">
        <v>173</v>
      </c>
      <c r="V8" s="6">
        <v>-1000</v>
      </c>
      <c r="W8" s="6">
        <v>-1000</v>
      </c>
      <c r="X8" s="45">
        <v>0</v>
      </c>
      <c r="Y8" s="18">
        <f t="shared" si="4"/>
        <v>20500</v>
      </c>
      <c r="Z8" s="50">
        <f>IF($J8="","",ROUND(($J8-30000)/1000,1)+(2.5-_xlfn.RANK.AVG($J8,($J8,$O8,$T8,$Y8)))*20+IF(_xlfn.RANK.EQ($J8,($J8,$O8,$T8,$Y8))=1,20/((_xlfn.RANK.AVG($J8,($J8,$O8,$T8,$Y8))-1)*2+1),0))</f>
        <v>10</v>
      </c>
      <c r="AA8" s="51">
        <f>IF($O8="","",ROUND(($O8-30000)/1000,1)+(2.5-_xlfn.RANK.AVG($O8,($J8,$O8,$T8,$Y8)))*20+IF(_xlfn.RANK.EQ($O8,($J8,$O8,$T8,$Y8))=1,20/((_xlfn.RANK.AVG($O8,($J8,$O8,$T8,$Y8))-1)*2+1),0))</f>
        <v>-42.1</v>
      </c>
      <c r="AB8" s="51">
        <f>IF($T8="","",ROUND(($T8-30000)/1000,1)+(2.5-_xlfn.RANK.AVG($T8,($J8,$O8,$T8,$Y8)))*20+IF(_xlfn.RANK.EQ($T8,($J8,$O8,$T8,$Y8))=1,20/((_xlfn.RANK.AVG($T8,($J8,$O8,$T8,$Y8))-1)*2+1),0))</f>
        <v>51.6</v>
      </c>
      <c r="AC8" s="52">
        <f>IF($Y8="","",ROUND(($Y8-30000)/1000,1)+(2.5-_xlfn.RANK.AVG($Y8,($J8,$O8,$T8,$Y8)))*20+IF(_xlfn.RANK.EQ($Y8,($J8,$O8,$T8,$Y8))=1,20/((_xlfn.RANK.AVG($Y8,($J8,$O8,$T8,$Y8))-1)*2+1),0))</f>
        <v>-19.5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>
        <v>1</v>
      </c>
      <c r="BD8" s="23">
        <v>2</v>
      </c>
      <c r="BE8" s="27">
        <v>30</v>
      </c>
      <c r="BF8" s="37" t="s">
        <v>77</v>
      </c>
      <c r="BG8" s="38" t="s">
        <v>172</v>
      </c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>
        <v>1</v>
      </c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>
        <v>1</v>
      </c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63" t="str">
        <f>IF($F$1="","",$F$1)</f>
        <v>大池陸斗</v>
      </c>
      <c r="F9" s="5" t="s">
        <v>169</v>
      </c>
      <c r="G9" s="6">
        <v>18000</v>
      </c>
      <c r="H9" s="6">
        <v>0</v>
      </c>
      <c r="I9" s="45">
        <v>0</v>
      </c>
      <c r="J9" s="18">
        <f t="shared" si="2"/>
        <v>48000</v>
      </c>
      <c r="K9" s="5" t="s">
        <v>168</v>
      </c>
      <c r="L9" s="6">
        <v>-18000</v>
      </c>
      <c r="M9" s="6"/>
      <c r="N9" s="45">
        <v>0</v>
      </c>
      <c r="O9" s="18">
        <f t="shared" si="8"/>
        <v>-100</v>
      </c>
      <c r="P9" s="5"/>
      <c r="Q9" s="6"/>
      <c r="R9" s="6"/>
      <c r="S9" s="45"/>
      <c r="T9" s="18">
        <f t="shared" si="3"/>
        <v>31600</v>
      </c>
      <c r="U9" s="5"/>
      <c r="V9" s="6"/>
      <c r="W9" s="6"/>
      <c r="X9" s="45"/>
      <c r="Y9" s="18">
        <f t="shared" si="4"/>
        <v>20500</v>
      </c>
      <c r="Z9" s="50">
        <f>IF($J9="","",ROUND(($J9-30000)/1000,1)+(2.5-_xlfn.RANK.AVG($J9,($J9,$O9,$T9,$Y9)))*20+IF(_xlfn.RANK.EQ($J9,($J9,$O9,$T9,$Y9))=1,20/((_xlfn.RANK.AVG($J9,($J9,$O9,$T9,$Y9))-1)*2+1),0))</f>
        <v>68</v>
      </c>
      <c r="AA9" s="51">
        <f>IF($O9="","",ROUND(($O9-30000)/1000,1)+(2.5-_xlfn.RANK.AVG($O9,($J9,$O9,$T9,$Y9)))*20+IF(_xlfn.RANK.EQ($O9,($J9,$O9,$T9,$Y9))=1,20/((_xlfn.RANK.AVG($O9,($J9,$O9,$T9,$Y9))-1)*2+1),0))</f>
        <v>-60.1</v>
      </c>
      <c r="AB9" s="51">
        <f>IF($T9="","",ROUND(($T9-30000)/1000,1)+(2.5-_xlfn.RANK.AVG($T9,($J9,$O9,$T9,$Y9)))*20+IF(_xlfn.RANK.EQ($T9,($J9,$O9,$T9,$Y9))=1,20/((_xlfn.RANK.AVG($T9,($J9,$O9,$T9,$Y9))-1)*2+1),0))</f>
        <v>11.6</v>
      </c>
      <c r="AC9" s="52">
        <f>IF($Y9="","",ROUND(($Y9-30000)/1000,1)+(2.5-_xlfn.RANK.AVG($Y9,($J9,$O9,$T9,$Y9)))*20+IF(_xlfn.RANK.EQ($Y9,($J9,$O9,$T9,$Y9))=1,20/((_xlfn.RANK.AVG($Y9,($J9,$O9,$T9,$Y9))-1)*2+1),0))</f>
        <v>-19.5</v>
      </c>
      <c r="AE9" s="5"/>
      <c r="AF9" s="31"/>
      <c r="AG9" s="23">
        <v>1</v>
      </c>
      <c r="AH9" s="23"/>
      <c r="AI9" s="23">
        <v>6</v>
      </c>
      <c r="AJ9" s="27" t="s">
        <v>170</v>
      </c>
      <c r="AK9" s="37" t="s">
        <v>171</v>
      </c>
      <c r="AL9" s="38" t="s">
        <v>175</v>
      </c>
      <c r="AM9" s="38" t="s">
        <v>74</v>
      </c>
      <c r="AN9" s="38" t="s">
        <v>172</v>
      </c>
      <c r="AO9" s="38" t="s">
        <v>172</v>
      </c>
      <c r="AP9" s="38" t="s">
        <v>71</v>
      </c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>
        <v>1</v>
      </c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1931E5F-8DD6-4E78-ACDE-E22CE56460AF}">
      <formula1>"百瀬成空,滝沢悠人,大池陸斗,佐藤成浩,柳澤颯吾,石澤巧望,小林郁斗,川上翔大,中川弘崇,小原陸哉,近藤隼,鷲野翼,松澤大地,水澤良平,"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Nqpycs XD</cp:lastModifiedBy>
  <cp:lastPrinted>2018-10-03T09:15:05Z</cp:lastPrinted>
  <dcterms:created xsi:type="dcterms:W3CDTF">2018-10-02T11:54:05Z</dcterms:created>
  <dcterms:modified xsi:type="dcterms:W3CDTF">2021-04-30T08:54:30Z</dcterms:modified>
</cp:coreProperties>
</file>