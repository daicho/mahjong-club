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ahjongClub\mahjong-club\成績管理システム\対局\"/>
    </mc:Choice>
  </mc:AlternateContent>
  <xr:revisionPtr revIDLastSave="0" documentId="13_ncr:1_{C1073D32-F98F-42D9-B166-76CFB0F98858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7" l="1"/>
  <c r="E12" i="27"/>
  <c r="E11" i="27"/>
  <c r="E10" i="27"/>
  <c r="E9" i="27"/>
  <c r="E8" i="27"/>
  <c r="E7" i="27"/>
  <c r="E6" i="27"/>
  <c r="E5" i="27"/>
  <c r="E4" i="27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<sst xmlns="http://schemas.openxmlformats.org/spreadsheetml/2006/main" count="588" uniqueCount="173">
  <si>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</si>
  <si>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</si>
  <si>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</si>
  <si>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</si>
  <si>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</si>
  <si>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</si>
  <si>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</si>
  <si>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</si>
  <si>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</si>
  <si>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</si>
  <si>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</si>
  <si>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</si>
  <si>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</si>
  <si>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</si>
  <si>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</si>
  <si>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</si>
  <si>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</si>
  <si>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</si>
  <si>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</si>
  <si>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</si>
  <si>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</si>
  <si>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</si>
  <si>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</si>
  <si>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</si>
  <si>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</si>
  <si>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</si>
  <si>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</si>
  <si>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</si>
  <si>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</si>
  <si>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</si>
  <si>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</si>
  <si>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</si>
  <si>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</si>
  <si>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</si>
  <si>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</si>
  <si>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</si>
  <si>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</si>
  <si>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</si>
  <si>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</si>
  <si>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</si>
  <si>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</si>
  <si>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</si>
  <si>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</si>
  <si>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</si>
  <si>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</si>
  <si>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</si>
  <si>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</si>
  <si>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</si>
  <si>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</si>
  <si>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</si>
  <si>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</si>
  <si>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</si>
  <si>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</si>
  <si>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</si>
  <si>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</si>
  <si>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</si>
  <si>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</si>
  <si>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</si>
  <si>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</si>
  <si>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</si>
  <si>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</si>
  <si>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</si>
  <si>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</si>
  <si>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</si>
  <si>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</si>
  <si>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</si>
  <si>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</si>
  <si>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</si>
  <si>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</si>
  <si>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</si>
  <si>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</si>
  <si>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</si>
  <si>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</si>
  <si>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</si>
  <si>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</si>
  <si>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</si>
  <si>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</si>
  <si>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</si>
  <si>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</si>
  <si>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</si>
  <si>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</si>
  <si>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</si>
  <si>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</si>
  <si>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</si>
  <si>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</si>
  <si>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</si>
  <si>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</si>
  <si>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</si>
  <si>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</si>
  <si>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</si>
  <si>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</si>
  <si>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</si>
  <si>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</si>
  <si>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</si>
  <si>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</si>
  <si>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</si>
  <si>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</si>
  <si>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</si>
  <si>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</si>
  <si>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</si>
  <si>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</si>
  <si>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</si>
  <si>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</si>
  <si>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</si>
  <si>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</si>
  <si>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</si>
  <si>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</si>
  <si>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</si>
  <si>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</si>
  <si>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</si>
  <si>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</si>
  <si>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</si>
  <si>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</si>
  <si>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</si>
  <si>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</si>
  <si>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</si>
  <si>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</si>
  <si>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</si>
  <si>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</si>
  <si>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</si>
  <si>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</si>
  <si>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</si>
  <si>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</si>
  <si>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</si>
  <si>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</si>
  <si>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</si>
  <si>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</si>
  <si>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</si>
  <si>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</si>
  <si>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</si>
  <si>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</si>
  <si>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</si>
  <si>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</si>
  <si>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</si>
  <si>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</si>
  <si>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</si>
  <si>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</si>
  <si>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</si>
  <si>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</si>
  <si>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</si>
  <si>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</si>
  <si>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</si>
  <si>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</si>
  <si>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</si>
  <si>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</si>
  <si>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</si>
  <si>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</si>
  <si>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</si>
  <si>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</si>
  <si>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</si>
  <si>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</si>
  <si>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</si>
  <si>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</si>
  <si>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</si>
  <si>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</si>
  <si>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</si>
  <si>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</si>
  <si>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</si>
  <si>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</si>
  <si>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</si>
  <si>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</si>
  <si>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</si>
  <si>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中村季暉</t>
  </si>
  <si>
    <t>佐藤成浩</t>
  </si>
  <si>
    <t>清水常緑</t>
  </si>
  <si>
    <t>ツモ支払</t>
  </si>
  <si>
    <t>ツモ</t>
  </si>
  <si>
    <t>52</t>
  </si>
  <si>
    <t>放銃</t>
  </si>
  <si>
    <t>ロン</t>
  </si>
  <si>
    <t>01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</si>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</sst>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E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中村季暉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中村季暉</v>
      </c>
      <c r="AB2" s="56" t="str">
        <f>IF($P$1="","",$P$1)</f>
        <v>佐藤成浩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 t="s">
        <v>165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-7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4</v>
      </c>
      <c r="BZ4" s="27">
        <v>30</v>
      </c>
      <c r="CA4" s="36" t="s">
        <v>76</v>
      </c>
      <c r="CB4" s="37" t="s">
        <v>70</v>
      </c>
      <c r="CC4" s="37" t="s">
        <v>70</v>
      </c>
      <c r="CD4" s="37" t="s">
        <v>167</v>
      </c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中村季暉</v>
      </c>
      <c r="F5" s="5"/>
      <c r="G5" s="6"/>
      <c r="H5" s="6"/>
      <c r="I5" s="6"/>
      <c r="J5" s="18">
        <f t="shared" ref="J5:J30" si="2">IF(COUNTA($F5,$K5,$P5,$U5)&gt;0,J4+SUM(G5:I5),"")</f>
        <v>21000</v>
      </c>
      <c r="K5" s="5"/>
      <c r="L5" s="6"/>
      <c r="M5" s="6"/>
      <c r="N5" s="6"/>
      <c r="O5" s="18">
        <f>IF(COUNTA($F5,$K5,$P5,$U5)&gt;0,O4+SUM(L5:N5),"")</f>
        <v>23000</v>
      </c>
      <c r="P5" s="5" t="s">
        <v>168</v>
      </c>
      <c r="Q5" s="6">
        <v>-2600</v>
      </c>
      <c r="R5" s="6"/>
      <c r="S5" s="6">
        <v>0</v>
      </c>
      <c r="T5" s="18">
        <f t="shared" ref="T5:T30" si="3">IF(COUNTA($F5,$K5,$P5,$U5)&gt;0,T4+SUM(Q5:S5),"")</f>
        <v>30400</v>
      </c>
      <c r="U5" s="5" t="s">
        <v>169</v>
      </c>
      <c r="V5" s="6">
        <v>2600</v>
      </c>
      <c r="W5" s="6"/>
      <c r="X5" s="6">
        <v>0</v>
      </c>
      <c r="Y5" s="18">
        <f t="shared" ref="Y5:Y30" si="4">IF(COUNTA($F5,$K5,$P5,$U5)&gt;0,Y4+SUM(V5:X5),"")</f>
        <v>25600</v>
      </c>
      <c r="Z5" s="45">
        <f>IF($J5="","",ROUND(($J5-30000)/1000,1)+(2.5-_xlfn.RANK.AVG($J5,($J5,$O5,$T5,$Y5)))*20+IF(_xlfn.RANK.EQ($J5,($J5,$O5,$T5,$Y5))=1,20/((_xlfn.RANK.AVG($J5,($J5,$O5,$T5,$Y5))-1)*2+1),0))</f>
        <v>-39</v>
      </c>
      <c r="AA5" s="46">
        <f>IF($O5="","",ROUND(($O5-30000)/1000,1)+(2.5-_xlfn.RANK.AVG($O5,($J5,$O5,$T5,$Y5)))*20+IF(_xlfn.RANK.EQ($O5,($J5,$O5,$T5,$Y5))=1,20/((_xlfn.RANK.AVG($O5,($J5,$O5,$T5,$Y5))-1)*2+1),0))</f>
        <v>-17</v>
      </c>
      <c r="AB5" s="46">
        <f>IF($T5="","",ROUND(($T5-30000)/1000,1)+(2.5-_xlfn.RANK.AVG($T5,($J5,$O5,$T5,$Y5)))*20+IF(_xlfn.RANK.EQ($T5,($J5,$O5,$T5,$Y5))=1,20/((_xlfn.RANK.AVG($T5,($J5,$O5,$T5,$Y5))-1)*2+1),0))</f>
        <v>50.4</v>
      </c>
      <c r="AC5" s="47">
        <f>IF($Y5="","",ROUND(($Y5-30000)/1000,1)+(2.5-_xlfn.RANK.AVG($Y5,($J5,$O5,$T5,$Y5)))*20+IF(_xlfn.RANK.EQ($Y5,($J5,$O5,$T5,$Y5))=1,20/((_xlfn.RANK.AVG($Y5,($J5,$O5,$T5,$Y5))-1)*2+1),0))</f>
        <v>5.6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2</v>
      </c>
      <c r="CU5" s="27">
        <v>40</v>
      </c>
      <c r="CV5" s="36" t="s">
        <v>170</v>
      </c>
      <c r="CW5" s="37" t="s">
        <v>76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佐藤成浩</v>
      </c>
      <c r="F6" s="5" t="s">
        <v>165</v>
      </c>
      <c r="G6" s="6">
        <v>-8000</v>
      </c>
      <c r="H6" s="6"/>
      <c r="I6" s="6">
        <v>0</v>
      </c>
      <c r="J6" s="18">
        <f t="shared" si="2"/>
        <v>13000</v>
      </c>
      <c r="K6" s="5" t="s">
        <v>165</v>
      </c>
      <c r="L6" s="6">
        <v>-8000</v>
      </c>
      <c r="M6" s="6"/>
      <c r="N6" s="6">
        <v>0</v>
      </c>
      <c r="O6" s="18">
        <f t="shared" ref="O6:O30" si="8">IF(COUNTA($F6,$K6,$P6,$U6)&gt;0,O5+SUM(L6:N6),"")</f>
        <v>15000</v>
      </c>
      <c r="P6" s="5" t="s">
        <v>166</v>
      </c>
      <c r="Q6" s="6">
        <v>24000</v>
      </c>
      <c r="R6" s="6"/>
      <c r="S6" s="6">
        <v>0</v>
      </c>
      <c r="T6" s="18">
        <f t="shared" si="3"/>
        <v>54400</v>
      </c>
      <c r="U6" s="5" t="s">
        <v>165</v>
      </c>
      <c r="V6" s="6">
        <v>-8000</v>
      </c>
      <c r="W6" s="6"/>
      <c r="X6" s="6">
        <v>0</v>
      </c>
      <c r="Y6" s="18">
        <f t="shared" si="4"/>
        <v>17600</v>
      </c>
      <c r="Z6" s="45">
        <f>IF($J6="","",ROUND(($J6-30000)/1000,1)+(2.5-_xlfn.RANK.AVG($J6,($J6,$O6,$T6,$Y6)))*20+IF(_xlfn.RANK.EQ($J6,($J6,$O6,$T6,$Y6))=1,20/((_xlfn.RANK.AVG($J6,($J6,$O6,$T6,$Y6))-1)*2+1),0))</f>
        <v>-47</v>
      </c>
      <c r="AA6" s="46">
        <f>IF($O6="","",ROUND(($O6-30000)/1000,1)+(2.5-_xlfn.RANK.AVG($O6,($J6,$O6,$T6,$Y6)))*20+IF(_xlfn.RANK.EQ($O6,($J6,$O6,$T6,$Y6))=1,20/((_xlfn.RANK.AVG($O6,($J6,$O6,$T6,$Y6))-1)*2+1),0))</f>
        <v>-25</v>
      </c>
      <c r="AB6" s="46">
        <f>IF($T6="","",ROUND(($T6-30000)/1000,1)+(2.5-_xlfn.RANK.AVG($T6,($J6,$O6,$T6,$Y6)))*20+IF(_xlfn.RANK.EQ($T6,($J6,$O6,$T6,$Y6))=1,20/((_xlfn.RANK.AVG($T6,($J6,$O6,$T6,$Y6))-1)*2+1),0))</f>
        <v>74.400000000000006</v>
      </c>
      <c r="AC6" s="47">
        <f>IF($Y6="","",ROUND(($Y6-30000)/1000,1)+(2.5-_xlfn.RANK.AVG($Y6,($J6,$O6,$T6,$Y6)))*20+IF(_xlfn.RANK.EQ($Y6,($J6,$O6,$T6,$Y6))=1,20/((_xlfn.RANK.AVG($Y6,($J6,$O6,$T6,$Y6))-1)*2+1),0))</f>
        <v>-2.4000000000000004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9</v>
      </c>
      <c r="BZ6" s="27" t="s">
        <v>171</v>
      </c>
      <c r="CA6" s="36" t="s">
        <v>170</v>
      </c>
      <c r="CB6" s="37" t="s">
        <v>76</v>
      </c>
      <c r="CC6" s="37" t="s">
        <v>74</v>
      </c>
      <c r="CD6" s="37" t="s">
        <v>73</v>
      </c>
      <c r="CE6" s="37" t="s">
        <v>167</v>
      </c>
      <c r="CF6" s="37" t="s">
        <v>172</v>
      </c>
      <c r="CG6" s="37" t="s">
        <v>71</v>
      </c>
      <c r="CH6" s="37" t="s">
        <v>70</v>
      </c>
      <c r="CI6" s="37" t="s">
        <v>71</v>
      </c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佐藤成浩</v>
      </c>
      <c r="F7" s="5" t="s">
        <v>166</v>
      </c>
      <c r="G7" s="6">
        <v>4000</v>
      </c>
      <c r="H7" s="6">
        <v>1000</v>
      </c>
      <c r="I7" s="6">
        <v>300</v>
      </c>
      <c r="J7" s="18">
        <f t="shared" si="2"/>
        <v>18300</v>
      </c>
      <c r="K7" s="5" t="s">
        <v>165</v>
      </c>
      <c r="L7" s="6">
        <v>-1000</v>
      </c>
      <c r="M7" s="6"/>
      <c r="N7" s="6">
        <v>-100</v>
      </c>
      <c r="O7" s="18">
        <f t="shared" si="8"/>
        <v>13900</v>
      </c>
      <c r="P7" s="5" t="s">
        <v>165</v>
      </c>
      <c r="Q7" s="6">
        <v>-2000</v>
      </c>
      <c r="R7" s="6"/>
      <c r="S7" s="6">
        <v>-100</v>
      </c>
      <c r="T7" s="18">
        <f t="shared" si="3"/>
        <v>52300</v>
      </c>
      <c r="U7" s="5" t="s">
        <v>165</v>
      </c>
      <c r="V7" s="6">
        <v>-1000</v>
      </c>
      <c r="W7" s="6">
        <v>-1000</v>
      </c>
      <c r="X7" s="6">
        <v>-100</v>
      </c>
      <c r="Y7" s="18">
        <f t="shared" si="4"/>
        <v>15500</v>
      </c>
      <c r="Z7" s="45">
        <f>IF($J7="","",ROUND(($J7-30000)/1000,1)+(2.5-_xlfn.RANK.AVG($J7,($J7,$O7,$T7,$Y7)))*20+IF(_xlfn.RANK.EQ($J7,($J7,$O7,$T7,$Y7))=1,20/((_xlfn.RANK.AVG($J7,($J7,$O7,$T7,$Y7))-1)*2+1),0))</f>
        <v>-1.6999999999999993</v>
      </c>
      <c r="AA7" s="46">
        <f>IF($O7="","",ROUND(($O7-30000)/1000,1)+(2.5-_xlfn.RANK.AVG($O7,($J7,$O7,$T7,$Y7)))*20+IF(_xlfn.RANK.EQ($O7,($J7,$O7,$T7,$Y7))=1,20/((_xlfn.RANK.AVG($O7,($J7,$O7,$T7,$Y7))-1)*2+1),0))</f>
        <v>-46.1</v>
      </c>
      <c r="AB7" s="46">
        <f>IF($T7="","",ROUND(($T7-30000)/1000,1)+(2.5-_xlfn.RANK.AVG($T7,($J7,$O7,$T7,$Y7)))*20+IF(_xlfn.RANK.EQ($T7,($J7,$O7,$T7,$Y7))=1,20/((_xlfn.RANK.AVG($T7,($J7,$O7,$T7,$Y7))-1)*2+1),0))</f>
        <v>72.3</v>
      </c>
      <c r="AC7" s="47">
        <f>IF($Y7="","",ROUND(($Y7-30000)/1000,1)+(2.5-_xlfn.RANK.AVG($Y7,($J7,$O7,$T7,$Y7)))*20+IF(_xlfn.RANK.EQ($Y7,($J7,$O7,$T7,$Y7))=1,20/((_xlfn.RANK.AVG($Y7,($J7,$O7,$T7,$Y7))-1)*2+1),0))</f>
        <v>-24.5</v>
      </c>
      <c r="AE7" s="5"/>
      <c r="AF7" s="30"/>
      <c r="AG7" s="23">
        <v>1</v>
      </c>
      <c r="AH7" s="23"/>
      <c r="AI7" s="23">
        <v>3</v>
      </c>
      <c r="AJ7" s="27">
        <v>30</v>
      </c>
      <c r="AK7" s="36" t="s">
        <v>170</v>
      </c>
      <c r="AL7" s="37" t="s">
        <v>73</v>
      </c>
      <c r="AM7" s="37" t="s">
        <v>70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清水常緑</v>
      </c>
      <c r="F8" s="5" t="s">
        <v>165</v>
      </c>
      <c r="G8" s="6">
        <v>-2000</v>
      </c>
      <c r="H8" s="6"/>
      <c r="I8" s="6">
        <v>0</v>
      </c>
      <c r="J8" s="18">
        <f t="shared" si="2"/>
        <v>16300</v>
      </c>
      <c r="K8" s="5" t="s">
        <v>165</v>
      </c>
      <c r="L8" s="6">
        <v>-2000</v>
      </c>
      <c r="M8" s="6"/>
      <c r="N8" s="6">
        <v>0</v>
      </c>
      <c r="O8" s="18">
        <f t="shared" si="8"/>
        <v>11900</v>
      </c>
      <c r="P8" s="5" t="s">
        <v>165</v>
      </c>
      <c r="Q8" s="6">
        <v>-2000</v>
      </c>
      <c r="R8" s="6"/>
      <c r="S8" s="6">
        <v>0</v>
      </c>
      <c r="T8" s="18">
        <f t="shared" si="3"/>
        <v>50300</v>
      </c>
      <c r="U8" s="5" t="s">
        <v>166</v>
      </c>
      <c r="V8" s="6">
        <v>6000</v>
      </c>
      <c r="W8" s="6"/>
      <c r="X8" s="6">
        <v>0</v>
      </c>
      <c r="Y8" s="18">
        <f t="shared" si="4"/>
        <v>21500</v>
      </c>
      <c r="Z8" s="45">
        <f>IF($J8="","",ROUND(($J8-30000)/1000,1)+(2.5-_xlfn.RANK.AVG($J8,($J8,$O8,$T8,$Y8)))*20+IF(_xlfn.RANK.EQ($J8,($J8,$O8,$T8,$Y8))=1,20/((_xlfn.RANK.AVG($J8,($J8,$O8,$T8,$Y8))-1)*2+1),0))</f>
        <v>-23.7</v>
      </c>
      <c r="AA8" s="46">
        <f>IF($O8="","",ROUND(($O8-30000)/1000,1)+(2.5-_xlfn.RANK.AVG($O8,($J8,$O8,$T8,$Y8)))*20+IF(_xlfn.RANK.EQ($O8,($J8,$O8,$T8,$Y8))=1,20/((_xlfn.RANK.AVG($O8,($J8,$O8,$T8,$Y8))-1)*2+1),0))</f>
        <v>-48.1</v>
      </c>
      <c r="AB8" s="46">
        <f>IF($T8="","",ROUND(($T8-30000)/1000,1)+(2.5-_xlfn.RANK.AVG($T8,($J8,$O8,$T8,$Y8)))*20+IF(_xlfn.RANK.EQ($T8,($J8,$O8,$T8,$Y8))=1,20/((_xlfn.RANK.AVG($T8,($J8,$O8,$T8,$Y8))-1)*2+1),0))</f>
        <v>70.3</v>
      </c>
      <c r="AC8" s="47">
        <f>IF($Y8="","",ROUND(($Y8-30000)/1000,1)+(2.5-_xlfn.RANK.AVG($Y8,($J8,$O8,$T8,$Y8)))*20+IF(_xlfn.RANK.EQ($Y8,($J8,$O8,$T8,$Y8))=1,20/((_xlfn.RANK.AVG($Y8,($J8,$O8,$T8,$Y8))-1)*2+1),0))</f>
        <v>1.5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3</v>
      </c>
      <c r="CU8" s="27">
        <v>30</v>
      </c>
      <c r="CV8" s="36" t="s">
        <v>170</v>
      </c>
      <c r="CW8" s="37" t="s">
        <v>172</v>
      </c>
      <c r="CX8" s="37" t="s">
        <v>73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清水常緑</v>
      </c>
      <c r="F9" s="5"/>
      <c r="G9" s="6"/>
      <c r="H9" s="6"/>
      <c r="I9" s="6"/>
      <c r="J9" s="18">
        <f t="shared" si="2"/>
        <v>16300</v>
      </c>
      <c r="K9" s="5" t="s">
        <v>169</v>
      </c>
      <c r="L9" s="6">
        <v>3900</v>
      </c>
      <c r="M9" s="6"/>
      <c r="N9" s="6">
        <v>300</v>
      </c>
      <c r="O9" s="18">
        <f t="shared" si="8"/>
        <v>16100</v>
      </c>
      <c r="P9" s="5" t="s">
        <v>168</v>
      </c>
      <c r="Q9" s="6">
        <v>-3900</v>
      </c>
      <c r="R9" s="6"/>
      <c r="S9" s="6">
        <v>-300</v>
      </c>
      <c r="T9" s="18">
        <f t="shared" si="3"/>
        <v>46100</v>
      </c>
      <c r="U9" s="5"/>
      <c r="V9" s="6"/>
      <c r="W9" s="6"/>
      <c r="X9" s="6"/>
      <c r="Y9" s="18">
        <f t="shared" si="4"/>
        <v>21500</v>
      </c>
      <c r="Z9" s="45">
        <f>IF($J9="","",ROUND(($J9-30000)/1000,1)+(2.5-_xlfn.RANK.AVG($J9,($J9,$O9,$T9,$Y9)))*20+IF(_xlfn.RANK.EQ($J9,($J9,$O9,$T9,$Y9))=1,20/((_xlfn.RANK.AVG($J9,($J9,$O9,$T9,$Y9))-1)*2+1),0))</f>
        <v>-23.7</v>
      </c>
      <c r="AA9" s="46">
        <f>IF($O9="","",ROUND(($O9-30000)/1000,1)+(2.5-_xlfn.RANK.AVG($O9,($J9,$O9,$T9,$Y9)))*20+IF(_xlfn.RANK.EQ($O9,($J9,$O9,$T9,$Y9))=1,20/((_xlfn.RANK.AVG($O9,($J9,$O9,$T9,$Y9))-1)*2+1),0))</f>
        <v>-43.9</v>
      </c>
      <c r="AB9" s="46">
        <f>IF($T9="","",ROUND(($T9-30000)/1000,1)+(2.5-_xlfn.RANK.AVG($T9,($J9,$O9,$T9,$Y9)))*20+IF(_xlfn.RANK.EQ($T9,($J9,$O9,$T9,$Y9))=1,20/((_xlfn.RANK.AVG($T9,($J9,$O9,$T9,$Y9))-1)*2+1),0))</f>
        <v>66.099999999999994</v>
      </c>
      <c r="AC9" s="47">
        <f>IF($Y9="","",ROUND(($Y9-30000)/1000,1)+(2.5-_xlfn.RANK.AVG($Y9,($J9,$O9,$T9,$Y9)))*20+IF(_xlfn.RANK.EQ($Y9,($J9,$O9,$T9,$Y9))=1,20/((_xlfn.RANK.AVG($Y9,($J9,$O9,$T9,$Y9))-1)*2+1),0))</f>
        <v>1.5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3</v>
      </c>
      <c r="BE9" s="27">
        <v>30</v>
      </c>
      <c r="BF9" s="36" t="s">
        <v>95</v>
      </c>
      <c r="BG9" s="37" t="s">
        <v>77</v>
      </c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山本悠介</v>
      </c>
      <c r="F10" s="5" t="s">
        <v>166</v>
      </c>
      <c r="G10" s="6">
        <v>12000</v>
      </c>
      <c r="H10" s="6"/>
      <c r="I10" s="6">
        <v>0</v>
      </c>
      <c r="J10" s="18">
        <f t="shared" si="2"/>
        <v>28300</v>
      </c>
      <c r="K10" s="5" t="s">
        <v>165</v>
      </c>
      <c r="L10" s="6">
        <v>-4000</v>
      </c>
      <c r="M10" s="6"/>
      <c r="N10" s="6">
        <v>0</v>
      </c>
      <c r="O10" s="18">
        <f t="shared" si="8"/>
        <v>12100</v>
      </c>
      <c r="P10" s="5" t="s">
        <v>165</v>
      </c>
      <c r="Q10" s="6">
        <v>-4000</v>
      </c>
      <c r="R10" s="6"/>
      <c r="S10" s="6">
        <v>0</v>
      </c>
      <c r="T10" s="18">
        <f t="shared" si="3"/>
        <v>42100</v>
      </c>
      <c r="U10" s="5" t="s">
        <v>165</v>
      </c>
      <c r="V10" s="6">
        <v>-4000</v>
      </c>
      <c r="W10" s="6"/>
      <c r="X10" s="6">
        <v>0</v>
      </c>
      <c r="Y10" s="18">
        <f t="shared" si="4"/>
        <v>17500</v>
      </c>
      <c r="Z10" s="45">
        <f>IF($J10="","",ROUND(($J10-30000)/1000,1)+(2.5-_xlfn.RANK.AVG($J10,($J10,$O10,$T10,$Y10)))*20+IF(_xlfn.RANK.EQ($J10,($J10,$O10,$T10,$Y10))=1,20/((_xlfn.RANK.AVG($J10,($J10,$O10,$T10,$Y10))-1)*2+1),0))</f>
        <v>8.3000000000000007</v>
      </c>
      <c r="AA10" s="46">
        <f>IF($O10="","",ROUND(($O10-30000)/1000,1)+(2.5-_xlfn.RANK.AVG($O10,($J10,$O10,$T10,$Y10)))*20+IF(_xlfn.RANK.EQ($O10,($J10,$O10,$T10,$Y10))=1,20/((_xlfn.RANK.AVG($O10,($J10,$O10,$T10,$Y10))-1)*2+1),0))</f>
        <v>-47.9</v>
      </c>
      <c r="AB10" s="46">
        <f>IF($T10="","",ROUND(($T10-30000)/1000,1)+(2.5-_xlfn.RANK.AVG($T10,($J10,$O10,$T10,$Y10)))*20+IF(_xlfn.RANK.EQ($T10,($J10,$O10,$T10,$Y10))=1,20/((_xlfn.RANK.AVG($T10,($J10,$O10,$T10,$Y10))-1)*2+1),0))</f>
        <v>62.1</v>
      </c>
      <c r="AC10" s="47">
        <f>IF($Y10="","",ROUND(($Y10-30000)/1000,1)+(2.5-_xlfn.RANK.AVG($Y10,($J10,$O10,$T10,$Y10)))*20+IF(_xlfn.RANK.EQ($Y10,($J10,$O10,$T10,$Y10))=1,20/((_xlfn.RANK.AVG($Y10,($J10,$O10,$T10,$Y10))-1)*2+1),0))</f>
        <v>-22.5</v>
      </c>
      <c r="AE10" s="5"/>
      <c r="AF10" s="30"/>
      <c r="AG10" s="23">
        <v>1</v>
      </c>
      <c r="AH10" s="23"/>
      <c r="AI10" s="23">
        <v>4</v>
      </c>
      <c r="AJ10" s="27">
        <v>30</v>
      </c>
      <c r="AK10" s="36" t="s">
        <v>170</v>
      </c>
      <c r="AL10" s="37" t="s">
        <v>73</v>
      </c>
      <c r="AM10" s="37" t="s">
        <v>167</v>
      </c>
      <c r="AN10" s="37" t="s">
        <v>70</v>
      </c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0</v>
      </c>
      <c r="E11" s="58" t="str">
        <f>IF($F$1="","",$F$1)</f>
        <v>山本悠介</v>
      </c>
      <c r="F11" s="5"/>
      <c r="G11" s="6"/>
      <c r="H11" s="6"/>
      <c r="I11" s="6"/>
      <c r="J11" s="18">
        <f t="shared" si="2"/>
        <v>28300</v>
      </c>
      <c r="K11" s="5"/>
      <c r="L11" s="6"/>
      <c r="M11" s="6"/>
      <c r="N11" s="6"/>
      <c r="O11" s="18">
        <f t="shared" si="8"/>
        <v>12100</v>
      </c>
      <c r="P11" s="5" t="s">
        <v>169</v>
      </c>
      <c r="Q11" s="6">
        <v>2000</v>
      </c>
      <c r="R11" s="6"/>
      <c r="S11" s="6">
        <v>300</v>
      </c>
      <c r="T11" s="18">
        <f t="shared" si="3"/>
        <v>44400</v>
      </c>
      <c r="U11" s="5" t="s">
        <v>168</v>
      </c>
      <c r="V11" s="6">
        <v>-2000</v>
      </c>
      <c r="W11" s="6"/>
      <c r="X11" s="6">
        <v>-300</v>
      </c>
      <c r="Y11" s="18">
        <f t="shared" si="4"/>
        <v>15200</v>
      </c>
      <c r="Z11" s="45">
        <f>IF($J11="","",ROUND(($J11-30000)/1000,1)+(2.5-_xlfn.RANK.AVG($J11,($J11,$O11,$T11,$Y11)))*20+IF(_xlfn.RANK.EQ($J11,($J11,$O11,$T11,$Y11))=1,20/((_xlfn.RANK.AVG($J11,($J11,$O11,$T11,$Y11))-1)*2+1),0))</f>
        <v>8.3000000000000007</v>
      </c>
      <c r="AA11" s="46">
        <f>IF($O11="","",ROUND(($O11-30000)/1000,1)+(2.5-_xlfn.RANK.AVG($O11,($J11,$O11,$T11,$Y11)))*20+IF(_xlfn.RANK.EQ($O11,($J11,$O11,$T11,$Y11))=1,20/((_xlfn.RANK.AVG($O11,($J11,$O11,$T11,$Y11))-1)*2+1),0))</f>
        <v>-47.9</v>
      </c>
      <c r="AB11" s="46">
        <f>IF($T11="","",ROUND(($T11-30000)/1000,1)+(2.5-_xlfn.RANK.AVG($T11,($J11,$O11,$T11,$Y11)))*20+IF(_xlfn.RANK.EQ($T11,($J11,$O11,$T11,$Y11))=1,20/((_xlfn.RANK.AVG($T11,($J11,$O11,$T11,$Y11))-1)*2+1),0))</f>
        <v>64.400000000000006</v>
      </c>
      <c r="AC11" s="47">
        <f>IF($Y11="","",ROUND(($Y11-30000)/1000,1)+(2.5-_xlfn.RANK.AVG($Y11,($J11,$O11,$T11,$Y11)))*20+IF(_xlfn.RANK.EQ($Y11,($J11,$O11,$T11,$Y11))=1,20/((_xlfn.RANK.AVG($Y11,($J11,$O11,$T11,$Y11))-1)*2+1),0))</f>
        <v>-24.8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2</v>
      </c>
      <c r="BZ11" s="27">
        <v>30</v>
      </c>
      <c r="CA11" s="36" t="s">
        <v>77</v>
      </c>
      <c r="CB11" s="37" t="s">
        <v>167</v>
      </c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中村季暉</v>
      </c>
      <c r="F12" s="5"/>
      <c r="G12" s="6"/>
      <c r="H12" s="6"/>
      <c r="I12" s="6"/>
      <c r="J12" s="18">
        <f t="shared" si="2"/>
        <v>28300</v>
      </c>
      <c r="K12" s="5" t="s">
        <v>168</v>
      </c>
      <c r="L12" s="6">
        <v>-8000</v>
      </c>
      <c r="M12" s="6"/>
      <c r="N12" s="6">
        <v>0</v>
      </c>
      <c r="O12" s="18">
        <f t="shared" si="8"/>
        <v>4100</v>
      </c>
      <c r="P12" s="5"/>
      <c r="Q12" s="6"/>
      <c r="R12" s="6"/>
      <c r="S12" s="6"/>
      <c r="T12" s="18">
        <f t="shared" si="3"/>
        <v>44400</v>
      </c>
      <c r="U12" s="5" t="s">
        <v>169</v>
      </c>
      <c r="V12" s="6">
        <v>8000</v>
      </c>
      <c r="W12" s="6"/>
      <c r="X12" s="6">
        <v>0</v>
      </c>
      <c r="Y12" s="18">
        <f t="shared" si="4"/>
        <v>23200</v>
      </c>
      <c r="Z12" s="45">
        <f>IF($J12="","",ROUND(($J12-30000)/1000,1)+(2.5-_xlfn.RANK.AVG($J12,($J12,$O12,$T12,$Y12)))*20+IF(_xlfn.RANK.EQ($J12,($J12,$O12,$T12,$Y12))=1,20/((_xlfn.RANK.AVG($J12,($J12,$O12,$T12,$Y12))-1)*2+1),0))</f>
        <v>8.3000000000000007</v>
      </c>
      <c r="AA12" s="46">
        <f>IF($O12="","",ROUND(($O12-30000)/1000,1)+(2.5-_xlfn.RANK.AVG($O12,($J12,$O12,$T12,$Y12)))*20+IF(_xlfn.RANK.EQ($O12,($J12,$O12,$T12,$Y12))=1,20/((_xlfn.RANK.AVG($O12,($J12,$O12,$T12,$Y12))-1)*2+1),0))</f>
        <v>-55.9</v>
      </c>
      <c r="AB12" s="46">
        <f>IF($T12="","",ROUND(($T12-30000)/1000,1)+(2.5-_xlfn.RANK.AVG($T12,($J12,$O12,$T12,$Y12)))*20+IF(_xlfn.RANK.EQ($T12,($J12,$O12,$T12,$Y12))=1,20/((_xlfn.RANK.AVG($T12,($J12,$O12,$T12,$Y12))-1)*2+1),0))</f>
        <v>64.400000000000006</v>
      </c>
      <c r="AC12" s="47">
        <f>IF($Y12="","",ROUND(($Y12-30000)/1000,1)+(2.5-_xlfn.RANK.AVG($Y12,($J12,$O12,$T12,$Y12)))*20+IF(_xlfn.RANK.EQ($Y12,($J12,$O12,$T12,$Y12))=1,20/((_xlfn.RANK.AVG($Y12,($J12,$O12,$T12,$Y12))-1)*2+1),0))</f>
        <v>-16.8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>
        <v>5</v>
      </c>
      <c r="CU12" s="27" t="s">
        <v>171</v>
      </c>
      <c r="CV12" s="36" t="s">
        <v>170</v>
      </c>
      <c r="CW12" s="37" t="s">
        <v>167</v>
      </c>
      <c r="CX12" s="37" t="s">
        <v>70</v>
      </c>
      <c r="CY12" s="37" t="s">
        <v>70</v>
      </c>
      <c r="CZ12" s="37" t="s">
        <v>71</v>
      </c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58" t="str">
        <f>IF($P$1="","",$P$1)</f>
        <v>佐藤成浩</v>
      </c>
      <c r="F13" s="5" t="s">
        <v>165</v>
      </c>
      <c r="G13" s="6">
        <v>-1600</v>
      </c>
      <c r="H13" s="6"/>
      <c r="I13" s="6">
        <v>0</v>
      </c>
      <c r="J13" s="18">
        <f t="shared" si="2"/>
        <v>26700</v>
      </c>
      <c r="K13" s="5" t="s">
        <v>166</v>
      </c>
      <c r="L13" s="6">
        <v>6400</v>
      </c>
      <c r="M13" s="6"/>
      <c r="N13" s="6">
        <v>0</v>
      </c>
      <c r="O13" s="18">
        <f t="shared" si="8"/>
        <v>10500</v>
      </c>
      <c r="P13" s="5" t="s">
        <v>165</v>
      </c>
      <c r="Q13" s="6">
        <v>-3200</v>
      </c>
      <c r="R13" s="6">
        <v>0</v>
      </c>
      <c r="S13" s="6">
        <v>0</v>
      </c>
      <c r="T13" s="18">
        <f t="shared" si="3"/>
        <v>41200</v>
      </c>
      <c r="U13" s="5" t="s">
        <v>165</v>
      </c>
      <c r="V13" s="6">
        <v>-1600</v>
      </c>
      <c r="W13" s="6"/>
      <c r="X13" s="6">
        <v>0</v>
      </c>
      <c r="Y13" s="18">
        <f t="shared" si="4"/>
        <v>21600</v>
      </c>
      <c r="Z13" s="45">
        <f>IF($J13="","",ROUND(($J13-30000)/1000,1)+(2.5-_xlfn.RANK.AVG($J13,($J13,$O13,$T13,$Y13)))*20+IF(_xlfn.RANK.EQ($J13,($J13,$O13,$T13,$Y13))=1,20/((_xlfn.RANK.AVG($J13,($J13,$O13,$T13,$Y13))-1)*2+1),0))</f>
        <v>6.7</v>
      </c>
      <c r="AA13" s="46">
        <f>IF($O13="","",ROUND(($O13-30000)/1000,1)+(2.5-_xlfn.RANK.AVG($O13,($J13,$O13,$T13,$Y13)))*20+IF(_xlfn.RANK.EQ($O13,($J13,$O13,$T13,$Y13))=1,20/((_xlfn.RANK.AVG($O13,($J13,$O13,$T13,$Y13))-1)*2+1),0))</f>
        <v>-49.5</v>
      </c>
      <c r="AB13" s="46">
        <f>IF($T13="","",ROUND(($T13-30000)/1000,1)+(2.5-_xlfn.RANK.AVG($T13,($J13,$O13,$T13,$Y13)))*20+IF(_xlfn.RANK.EQ($T13,($J13,$O13,$T13,$Y13))=1,20/((_xlfn.RANK.AVG($T13,($J13,$O13,$T13,$Y13))-1)*2+1),0))</f>
        <v>61.2</v>
      </c>
      <c r="AC13" s="47">
        <f>IF($Y13="","",ROUND(($Y13-30000)/1000,1)+(2.5-_xlfn.RANK.AVG($Y13,($J13,$O13,$T13,$Y13)))*20+IF(_xlfn.RANK.EQ($Y13,($J13,$O13,$T13,$Y13))=1,20/((_xlfn.RANK.AVG($Y13,($J13,$O13,$T13,$Y13))-1)*2+1),0))</f>
        <v>-18.399999999999999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>
        <v>1</v>
      </c>
      <c r="BC13" s="23"/>
      <c r="BD13" s="23">
        <v>4</v>
      </c>
      <c r="BE13" s="27">
        <v>25</v>
      </c>
      <c r="BF13" s="36" t="s">
        <v>170</v>
      </c>
      <c r="BG13" s="37" t="s">
        <v>73</v>
      </c>
      <c r="BH13" s="37" t="s">
        <v>92</v>
      </c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>
        <v>1</v>
      </c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19A1DC5-00D9-4263-8711-697FD89420F2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颯吾 柳澤</cp:lastModifiedBy>
  <cp:lastPrinted>2018-10-03T09:15:05Z</cp:lastPrinted>
  <dcterms:created xsi:type="dcterms:W3CDTF">2018-10-02T11:54:05Z</dcterms:created>
  <dcterms:modified xsi:type="dcterms:W3CDTF">2023-10-05T09:44:53Z</dcterms:modified>
</cp:coreProperties>
</file>