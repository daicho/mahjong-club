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D4A77931-EEBD-4AA6-9542-C2CE2628BE20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3" i="28"/>
  <c r="C13" i="28"/>
  <c r="D12" i="28"/>
  <c r="C12" i="28"/>
  <c r="D11" i="28"/>
  <c r="C11" i="28"/>
  <c r="D10" i="28"/>
  <c r="C10" i="28"/>
  <c r="D9" i="28"/>
  <c r="C9" i="28"/>
  <c r="D8" i="28"/>
  <c r="D7" i="28"/>
  <c r="C7" i="28"/>
  <c r="C8" i="28" s="1"/>
  <c r="D6" i="28"/>
  <c r="C6" i="28"/>
  <c r="D5" i="28"/>
  <c r="C5" i="28"/>
  <c r="B5" i="28"/>
  <c r="B6" i="28" s="1"/>
  <c r="Y4" i="28"/>
  <c r="Y5" i="28" s="1"/>
  <c r="T4" i="28"/>
  <c r="T5" i="28" s="1"/>
  <c r="O4" i="28"/>
  <c r="O5" i="28" s="1"/>
  <c r="J4" i="28"/>
  <c r="J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C5" i="28" l="1"/>
  <c r="Y6" i="28"/>
  <c r="B7" i="28"/>
  <c r="J6" i="28"/>
  <c r="Z5" i="28"/>
  <c r="AA5" i="28"/>
  <c r="O6" i="28"/>
  <c r="T6" i="28"/>
  <c r="AB5" i="28"/>
  <c r="AA4" i="28"/>
  <c r="AC4" i="28"/>
  <c r="A5" i="28"/>
  <c r="Z4" i="28"/>
  <c r="A6" i="28"/>
  <c r="AB4" i="28"/>
  <c r="B8" i="28" l="1"/>
  <c r="Y7" i="28"/>
  <c r="AC6" i="28"/>
  <c r="T7" i="28"/>
  <c r="AB6" i="28"/>
  <c r="O7" i="28"/>
  <c r="AA6" i="28"/>
  <c r="J7" i="28"/>
  <c r="Z6" i="28"/>
  <c r="A7" i="28"/>
  <c r="O5" i="27"/>
  <c r="AC3" i="27"/>
  <c r="AA3" i="27"/>
  <c r="AB3" i="27"/>
  <c r="Z3" i="27"/>
  <c r="A8" i="28" l="1"/>
  <c r="Y8" i="28"/>
  <c r="AC7" i="28"/>
  <c r="B9" i="28"/>
  <c r="AA7" i="28"/>
  <c r="O8" i="28"/>
  <c r="T8" i="28"/>
  <c r="AB7" i="28"/>
  <c r="J8" i="28"/>
  <c r="Z7" i="28"/>
  <c r="CP1" i="27"/>
  <c r="AC2" i="27"/>
  <c r="BU1" i="27"/>
  <c r="AB2" i="27"/>
  <c r="AZ1" i="27"/>
  <c r="AA2" i="27"/>
  <c r="AE1" i="27"/>
  <c r="Z2" i="27"/>
  <c r="B10" i="28" l="1"/>
  <c r="T9" i="28"/>
  <c r="AB8" i="28"/>
  <c r="O9" i="28"/>
  <c r="AA8" i="28"/>
  <c r="A9" i="28"/>
  <c r="J9" i="28"/>
  <c r="Z8" i="28"/>
  <c r="Y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AA13" i="27" s="1"/>
  <c r="J13" i="27"/>
  <c r="D13" i="27"/>
  <c r="C13" i="27"/>
  <c r="Y12" i="27"/>
  <c r="T12" i="27"/>
  <c r="O12" i="27"/>
  <c r="J12" i="27"/>
  <c r="D12" i="27"/>
  <c r="C12" i="27"/>
  <c r="Y11" i="27"/>
  <c r="T11" i="27"/>
  <c r="O11" i="27"/>
  <c r="J11" i="27"/>
  <c r="D11" i="27"/>
  <c r="C11" i="27"/>
  <c r="Y10" i="27"/>
  <c r="T10" i="27"/>
  <c r="O10" i="27"/>
  <c r="J10" i="27"/>
  <c r="D10" i="27"/>
  <c r="C10" i="27"/>
  <c r="Y9" i="27"/>
  <c r="T9" i="27"/>
  <c r="O9" i="27"/>
  <c r="AA9" i="27" s="1"/>
  <c r="J9" i="27"/>
  <c r="D9" i="27"/>
  <c r="C9" i="27"/>
  <c r="J8" i="27"/>
  <c r="D8" i="27"/>
  <c r="J7" i="27"/>
  <c r="D7" i="27"/>
  <c r="C7" i="27"/>
  <c r="C8" i="27" s="1"/>
  <c r="J6" i="27"/>
  <c r="D6" i="27"/>
  <c r="C6" i="27"/>
  <c r="J5" i="27"/>
  <c r="D5" i="27"/>
  <c r="C5" i="27"/>
  <c r="B5" i="27"/>
  <c r="A5" i="27" s="1"/>
  <c r="Y4" i="27"/>
  <c r="T4" i="27"/>
  <c r="O4" i="27"/>
  <c r="J4" i="27"/>
  <c r="B6" i="27" l="1"/>
  <c r="B11" i="28"/>
  <c r="J10" i="28"/>
  <c r="Z9" i="28"/>
  <c r="AA9" i="28"/>
  <c r="O10" i="28"/>
  <c r="AB9" i="28"/>
  <c r="T10" i="28"/>
  <c r="Y10" i="28"/>
  <c r="AC9" i="28"/>
  <c r="A10" i="28"/>
  <c r="Z13" i="27"/>
  <c r="AB13" i="27"/>
  <c r="AC13" i="27"/>
  <c r="AA12" i="27"/>
  <c r="Z12" i="27"/>
  <c r="AC12" i="27"/>
  <c r="AB12" i="27"/>
  <c r="AA11" i="27"/>
  <c r="Z11" i="27"/>
  <c r="AB11" i="27"/>
  <c r="AC11" i="27"/>
  <c r="AA10" i="27"/>
  <c r="Z10" i="27"/>
  <c r="AB10" i="27"/>
  <c r="AC10" i="27"/>
  <c r="Z9" i="27"/>
  <c r="AB9" i="27"/>
  <c r="AC9" i="27"/>
  <c r="AB4" i="27"/>
  <c r="Y5" i="27"/>
  <c r="AC4" i="27"/>
  <c r="O6" i="27"/>
  <c r="AA4" i="27"/>
  <c r="Z4" i="27"/>
  <c r="Y6" i="27"/>
  <c r="O7" i="27"/>
  <c r="T5" i="27"/>
  <c r="A11" i="28" l="1"/>
  <c r="A6" i="27"/>
  <c r="B7" i="27"/>
  <c r="Y11" i="28"/>
  <c r="AC10" i="28"/>
  <c r="B12" i="28"/>
  <c r="T11" i="28"/>
  <c r="AB10" i="28"/>
  <c r="J11" i="28"/>
  <c r="Z10" i="28"/>
  <c r="AA10" i="28"/>
  <c r="O11" i="28"/>
  <c r="Z5" i="27"/>
  <c r="AB5" i="27"/>
  <c r="AA5" i="27"/>
  <c r="AC5" i="27"/>
  <c r="Y7" i="27"/>
  <c r="O8" i="27"/>
  <c r="T6" i="27"/>
  <c r="A7" i="27" l="1"/>
  <c r="B8" i="27"/>
  <c r="B13" i="28"/>
  <c r="Y12" i="28"/>
  <c r="AC11" i="28"/>
  <c r="AA11" i="28"/>
  <c r="O12" i="28"/>
  <c r="J12" i="28"/>
  <c r="Z11" i="28"/>
  <c r="T12" i="28"/>
  <c r="AB11" i="28"/>
  <c r="A12" i="28"/>
  <c r="AC6" i="27"/>
  <c r="AB6" i="27"/>
  <c r="Z6" i="27"/>
  <c r="AA6" i="27"/>
  <c r="Y8" i="27"/>
  <c r="T7" i="27"/>
  <c r="A13" i="28" l="1"/>
  <c r="A8" i="27"/>
  <c r="B9" i="27"/>
  <c r="AC12" i="28"/>
  <c r="Y13" i="28"/>
  <c r="AC13" i="28" s="1"/>
  <c r="AB12" i="28"/>
  <c r="T13" i="28"/>
  <c r="J13" i="28"/>
  <c r="Z12" i="28"/>
  <c r="AA12" i="28"/>
  <c r="O13" i="28"/>
  <c r="AB7" i="27"/>
  <c r="Z7" i="27"/>
  <c r="AA7" i="27"/>
  <c r="AC7" i="27"/>
  <c r="T8" i="27"/>
  <c r="A9" i="27" l="1"/>
  <c r="B10" i="27"/>
  <c r="AA13" i="28"/>
  <c r="Z13" i="28"/>
  <c r="AB13" i="28"/>
  <c r="AC8" i="27"/>
  <c r="AB8" i="27"/>
  <c r="Z8" i="27"/>
  <c r="AA8" i="27"/>
  <c r="A10" i="27" l="1"/>
  <c r="B11" i="27"/>
  <c r="A11" i="27" l="1"/>
  <c r="B12" i="27"/>
  <c r="A12" i="27" l="1"/>
  <c r="B13" i="27"/>
  <c r="A13" i="27" s="1"/>
</calcChain>
</file>

<file path=xl/sharedStrings.xml><?xml version="1.0" encoding="utf-8"?>
<sst xmlns="http://schemas.openxmlformats.org/spreadsheetml/2006/main" count="728" uniqueCount="208">
  <si>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</si>
  <si>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</si>
  <si>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</si>
  <si>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</si>
  <si>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</si>
  <si>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</si>
  <si>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</si>
  <si>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</si>
  <si>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</si>
  <si>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</si>
  <si>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</si>
  <si>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</si>
  <si>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</si>
  <si>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</si>
  <si>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</si>
  <si>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</si>
  <si>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</si>
  <si>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</si>
  <si>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</si>
  <si>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</si>
  <si>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</si>
  <si>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</si>
  <si>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</si>
  <si>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</si>
  <si>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</si>
  <si>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</si>
  <si>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</si>
  <si>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</si>
  <si>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</si>
  <si>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</si>
  <si>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</si>
  <si>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</si>
  <si>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</si>
  <si>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</si>
  <si>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</si>
  <si>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</si>
  <si>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</si>
  <si>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</si>
  <si>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</si>
  <si>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</si>
  <si>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</si>
  <si>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</si>
  <si>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</si>
  <si>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</si>
  <si>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</si>
  <si>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</si>
  <si>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</si>
  <si>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</si>
  <si>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</si>
  <si>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</si>
  <si>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</si>
  <si>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</si>
  <si>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</si>
  <si>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</si>
  <si>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</si>
  <si>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</si>
  <si>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</si>
  <si>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</si>
  <si>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</si>
  <si>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</si>
  <si>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</si>
  <si>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</si>
  <si>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</si>
  <si>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</si>
  <si>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</si>
  <si>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</si>
  <si>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</si>
  <si>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</si>
  <si>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</si>
  <si>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</si>
  <si>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</si>
  <si>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</si>
  <si>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</si>
  <si>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</si>
  <si>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</si>
  <si>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</si>
  <si>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</si>
  <si>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</si>
  <si>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</si>
  <si>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</si>
  <si>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</si>
  <si>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</si>
  <si>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</si>
  <si>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</si>
  <si>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</si>
  <si>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</si>
  <si>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</si>
  <si>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</si>
  <si>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</si>
  <si>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</si>
  <si>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</si>
  <si>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</si>
  <si>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</si>
  <si>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</si>
  <si>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</si>
  <si>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</si>
  <si>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</si>
  <si>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</si>
  <si>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</si>
  <si>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</si>
  <si>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</si>
  <si>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</si>
  <si>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</si>
  <si>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</si>
  <si>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</si>
  <si>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</si>
  <si>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</si>
  <si>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</si>
  <si>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</si>
  <si>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</si>
  <si>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</si>
  <si>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</si>
  <si>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</si>
  <si>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</si>
  <si>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</si>
  <si>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</si>
  <si>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</si>
  <si>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</si>
  <si>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</si>
  <si>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</si>
  <si>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</si>
  <si>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</si>
  <si>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</si>
  <si>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</si>
  <si>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</si>
  <si>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</si>
  <si>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</si>
  <si>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</si>
  <si>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</si>
  <si>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</si>
  <si>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</si>
  <si>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</si>
  <si>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</si>
  <si>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</si>
  <si>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</si>
  <si>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</si>
  <si>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</si>
  <si>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</si>
  <si>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</si>
  <si>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</si>
  <si>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</si>
  <si>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</si>
  <si>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</si>
  <si>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</si>
  <si>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</si>
  <si>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</si>
  <si>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</si>
  <si>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</si>
  <si>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</si>
  <si>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</si>
  <si>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</si>
  <si>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</si>
  <si>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</si>
  <si>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</si>
  <si>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</si>
  <si>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</si>
  <si>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</si>
  <si>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</si>
  <si>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</si>
  <si>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</si>
  <si>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</si>
  <si>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</si>
  <si>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</si>
  <si>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</si>
  <si>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</si>
  <si>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</si>
  <si>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</si>
  <si>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</si>
  <si>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</si>
  <si>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</si>
  <si>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</si>
  <si>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</si>
  <si>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</si>
  <si>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</si>
  <si>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</si>
  <si>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</si>
  <si>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</si>
  <si>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</si>
  <si>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</si>
  <si>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</si>
  <si>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</si>
  <si>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</si>
  <si>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</si>
  <si>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</si>
  <si>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佐藤成浩</t>
  </si>
  <si>
    <t>依田幸憲</t>
  </si>
  <si>
    <t>小林郁斗</t>
  </si>
  <si>
    <t>小林郁斗</t>
    <rPh sb="0" eb="2">
      <t>コバヤシ</t>
    </rPh>
    <rPh sb="2" eb="3">
      <t>カオル</t>
    </rPh>
    <rPh sb="3" eb="4">
      <t>ト</t>
    </rPh>
    <phoneticPr fontId="1"/>
  </si>
  <si>
    <t>大池陸斗</t>
  </si>
  <si>
    <t>T</t>
  </si>
  <si>
    <t>N</t>
  </si>
  <si>
    <t>流局</t>
    <phoneticPr fontId="1"/>
  </si>
  <si>
    <t>ツモ支払</t>
  </si>
  <si>
    <t>ツモ</t>
  </si>
  <si>
    <t>01</t>
  </si>
  <si>
    <t>*</t>
  </si>
  <si>
    <t>02</t>
  </si>
  <si>
    <t>52</t>
  </si>
  <si>
    <t>放銃</t>
  </si>
  <si>
    <t>ロン</t>
  </si>
  <si>
    <t>木角有希</t>
  </si>
  <si>
    <t>木角有希</t>
    <rPh sb="0" eb="2">
      <t>キスミ</t>
    </rPh>
    <rPh sb="2" eb="3">
      <t>ア</t>
    </rPh>
    <phoneticPr fontId="1"/>
  </si>
  <si>
    <t>矢ヶ崎健</t>
  </si>
  <si>
    <t>矢ヶ崎健</t>
    <rPh sb="0" eb="3">
      <t>ヤガサキ</t>
    </rPh>
    <rPh sb="3" eb="4">
      <t>タケル</t>
    </rPh>
    <phoneticPr fontId="1"/>
  </si>
  <si>
    <t>福澤大地</t>
  </si>
  <si>
    <t>福澤大地</t>
    <rPh sb="0" eb="4">
      <t>フク</t>
    </rPh>
    <phoneticPr fontId="1"/>
  </si>
  <si>
    <t>高野源太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</si>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</sst>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184</v>
      </c>
      <c r="G1" s="74"/>
      <c r="H1" s="74"/>
      <c r="I1" s="77"/>
      <c r="J1" s="75"/>
      <c r="K1" s="72" t="s">
        <v>187</v>
      </c>
      <c r="L1" s="74"/>
      <c r="M1" s="74"/>
      <c r="N1" s="77"/>
      <c r="O1" s="75"/>
      <c r="P1" s="72" t="s">
        <v>188</v>
      </c>
      <c r="Q1" s="74"/>
      <c r="R1" s="74"/>
      <c r="S1" s="77"/>
      <c r="T1" s="75"/>
      <c r="U1" s="72" t="s">
        <v>185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佐藤成浩</v>
      </c>
      <c r="AF1" s="73" t="str">
        <f t="shared" ref="AF1:AY1" si="0">$F$1</f>
        <v>佐藤成浩</v>
      </c>
      <c r="AG1" s="74" t="str">
        <f t="shared" si="0"/>
        <v>佐藤成浩</v>
      </c>
      <c r="AH1" s="74" t="str">
        <f t="shared" si="0"/>
        <v>佐藤成浩</v>
      </c>
      <c r="AI1" s="74" t="str">
        <f t="shared" si="0"/>
        <v>佐藤成浩</v>
      </c>
      <c r="AJ1" s="74" t="str">
        <f t="shared" si="0"/>
        <v>佐藤成浩</v>
      </c>
      <c r="AK1" s="74" t="str">
        <f t="shared" si="0"/>
        <v>佐藤成浩</v>
      </c>
      <c r="AL1" s="74" t="str">
        <f t="shared" si="0"/>
        <v>佐藤成浩</v>
      </c>
      <c r="AM1" s="74" t="str">
        <f t="shared" si="0"/>
        <v>佐藤成浩</v>
      </c>
      <c r="AN1" s="74" t="str">
        <f t="shared" si="0"/>
        <v>佐藤成浩</v>
      </c>
      <c r="AO1" s="74" t="str">
        <f t="shared" si="0"/>
        <v>佐藤成浩</v>
      </c>
      <c r="AP1" s="74" t="str">
        <f t="shared" si="0"/>
        <v>佐藤成浩</v>
      </c>
      <c r="AQ1" s="74" t="str">
        <f t="shared" si="0"/>
        <v>佐藤成浩</v>
      </c>
      <c r="AR1" s="74" t="str">
        <f t="shared" si="0"/>
        <v>佐藤成浩</v>
      </c>
      <c r="AS1" s="74" t="str">
        <f t="shared" si="0"/>
        <v>佐藤成浩</v>
      </c>
      <c r="AT1" s="74" t="str">
        <f t="shared" si="0"/>
        <v>佐藤成浩</v>
      </c>
      <c r="AU1" s="74" t="str">
        <f t="shared" si="0"/>
        <v>佐藤成浩</v>
      </c>
      <c r="AV1" s="74" t="str">
        <f t="shared" si="0"/>
        <v>佐藤成浩</v>
      </c>
      <c r="AW1" s="74" t="str">
        <f t="shared" si="0"/>
        <v>佐藤成浩</v>
      </c>
      <c r="AX1" s="74" t="str">
        <f t="shared" si="0"/>
        <v>佐藤成浩</v>
      </c>
      <c r="AY1" s="75" t="str">
        <f t="shared" si="0"/>
        <v>佐藤成浩</v>
      </c>
      <c r="AZ1" s="72" t="str">
        <f>IF($K$1="","",$K$1)</f>
        <v>小林郁斗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大池陸斗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依田幸憲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小林郁斗</v>
      </c>
      <c r="AB2" s="61" t="str">
        <f>IF($P$1="","",$P$1)</f>
        <v>大池陸斗</v>
      </c>
      <c r="AC2" s="13" t="str">
        <f>IF($U$1="","",$U$1)</f>
        <v>依田幸憲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191</v>
      </c>
      <c r="G4" s="6">
        <v>3000</v>
      </c>
      <c r="H4" s="6">
        <v>-1000</v>
      </c>
      <c r="I4" s="45"/>
      <c r="J4" s="18">
        <f>IF(COUNTA($F4,$K4,$P4,$U4)&gt;0,J3+SUM(G4:I4),"")</f>
        <v>27000</v>
      </c>
      <c r="K4" s="5" t="s">
        <v>191</v>
      </c>
      <c r="L4" s="6">
        <v>-1000</v>
      </c>
      <c r="M4" s="6"/>
      <c r="N4" s="45"/>
      <c r="O4" s="18">
        <f>IF(COUNTA($F4,$K4,$P4,$U4)&gt;0,O3+SUM(L4:N4),"")</f>
        <v>24000</v>
      </c>
      <c r="P4" s="5" t="s">
        <v>191</v>
      </c>
      <c r="Q4" s="6">
        <v>-1000</v>
      </c>
      <c r="R4" s="6"/>
      <c r="S4" s="45"/>
      <c r="T4" s="18">
        <f>IF(COUNTA($F4,$K4,$P4,$U4)&gt;0,T3+SUM(Q4:S4),"")</f>
        <v>24000</v>
      </c>
      <c r="U4" s="5" t="s">
        <v>191</v>
      </c>
      <c r="V4" s="6">
        <v>-1000</v>
      </c>
      <c r="W4" s="6"/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47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-16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 t="s">
        <v>189</v>
      </c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190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190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190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184</v>
      </c>
      <c r="F5" s="5" t="s">
        <v>192</v>
      </c>
      <c r="G5" s="6">
        <v>-2000</v>
      </c>
      <c r="H5" s="6"/>
      <c r="I5" s="45">
        <v>-100</v>
      </c>
      <c r="J5" s="18">
        <f t="shared" ref="J5:J30" si="2">IF(COUNTA($F5,$K5,$P5,$U5)&gt;0,J4+SUM(G5:I5),"")</f>
        <v>24900</v>
      </c>
      <c r="K5" s="5" t="s">
        <v>192</v>
      </c>
      <c r="L5" s="6">
        <v>-1000</v>
      </c>
      <c r="M5" s="6">
        <v>-1000</v>
      </c>
      <c r="N5" s="45">
        <v>-100</v>
      </c>
      <c r="O5" s="18">
        <f>IF(COUNTA($F5,$K5,$P5,$U5)&gt;0,O4+SUM(L5:N5),"")</f>
        <v>21900</v>
      </c>
      <c r="P5" s="5" t="s">
        <v>193</v>
      </c>
      <c r="Q5" s="6">
        <v>4000</v>
      </c>
      <c r="R5" s="6">
        <v>2000</v>
      </c>
      <c r="S5" s="45">
        <v>300</v>
      </c>
      <c r="T5" s="18">
        <f t="shared" ref="T5:T30" si="3">IF(COUNTA($F5,$K5,$P5,$U5)&gt;0,T4+SUM(Q5:S5),"")</f>
        <v>30300</v>
      </c>
      <c r="U5" s="5" t="s">
        <v>192</v>
      </c>
      <c r="V5" s="6">
        <v>-1000</v>
      </c>
      <c r="W5" s="6"/>
      <c r="X5" s="45">
        <v>-100</v>
      </c>
      <c r="Y5" s="18">
        <f t="shared" ref="Y5:Y30" si="4">IF(COUNTA($F5,$K5,$P5,$U5)&gt;0,Y4+SUM(V5:X5),"")</f>
        <v>22900</v>
      </c>
      <c r="Z5" s="50">
        <f>IF($J5="","",ROUND(($J5-30000)/1000,1)+(2.5-_xlfn.RANK.AVG($J5,($J5,$O5,$T5,$Y5)))*20+IF(_xlfn.RANK.EQ($J5,($J5,$O5,$T5,$Y5))=1,20/((_xlfn.RANK.AVG($J5,($J5,$O5,$T5,$Y5))-1)*2+1),0))</f>
        <v>4.9000000000000004</v>
      </c>
      <c r="AA5" s="51">
        <f>IF($O5="","",ROUND(($O5-30000)/1000,1)+(2.5-_xlfn.RANK.AVG($O5,($J5,$O5,$T5,$Y5)))*20+IF(_xlfn.RANK.EQ($O5,($J5,$O5,$T5,$Y5))=1,20/((_xlfn.RANK.AVG($O5,($J5,$O5,$T5,$Y5))-1)*2+1),0))</f>
        <v>-38.1</v>
      </c>
      <c r="AB5" s="51">
        <f>IF($T5="","",ROUND(($T5-30000)/1000,1)+(2.5-_xlfn.RANK.AVG($T5,($J5,$O5,$T5,$Y5)))*20+IF(_xlfn.RANK.EQ($T5,($J5,$O5,$T5,$Y5))=1,20/((_xlfn.RANK.AVG($T5,($J5,$O5,$T5,$Y5))-1)*2+1),0))</f>
        <v>50.3</v>
      </c>
      <c r="AC5" s="52">
        <f>IF($Y5="","",ROUND(($Y5-30000)/1000,1)+(2.5-_xlfn.RANK.AVG($Y5,($J5,$O5,$T5,$Y5)))*20+IF(_xlfn.RANK.EQ($Y5,($J5,$O5,$T5,$Y5))=1,20/((_xlfn.RANK.AVG($Y5,($J5,$O5,$T5,$Y5))-1)*2+1),0))</f>
        <v>-17.100000000000001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>
        <v>3</v>
      </c>
      <c r="BZ5" s="27">
        <v>30</v>
      </c>
      <c r="CA5" s="37" t="s">
        <v>194</v>
      </c>
      <c r="CB5" s="38" t="s">
        <v>81</v>
      </c>
      <c r="CC5" s="38" t="s">
        <v>78</v>
      </c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186</v>
      </c>
      <c r="F6" s="5" t="s">
        <v>192</v>
      </c>
      <c r="G6" s="6">
        <v>-2000</v>
      </c>
      <c r="H6" s="6">
        <v>-1000</v>
      </c>
      <c r="I6" s="45">
        <v>0</v>
      </c>
      <c r="J6" s="18">
        <f t="shared" si="2"/>
        <v>21900</v>
      </c>
      <c r="K6" s="5" t="s">
        <v>192</v>
      </c>
      <c r="L6" s="6">
        <v>-4000</v>
      </c>
      <c r="M6" s="6"/>
      <c r="N6" s="45">
        <v>0</v>
      </c>
      <c r="O6" s="18">
        <f t="shared" ref="O6:O30" si="8">IF(COUNTA($F6,$K6,$P6,$U6)&gt;0,O5+SUM(L6:N6),"")</f>
        <v>17900</v>
      </c>
      <c r="P6" s="5" t="s">
        <v>193</v>
      </c>
      <c r="Q6" s="6">
        <v>8000</v>
      </c>
      <c r="R6" s="6">
        <v>1000</v>
      </c>
      <c r="S6" s="45">
        <v>0</v>
      </c>
      <c r="T6" s="18">
        <f t="shared" si="3"/>
        <v>39300</v>
      </c>
      <c r="U6" s="5" t="s">
        <v>192</v>
      </c>
      <c r="V6" s="6">
        <v>-2000</v>
      </c>
      <c r="W6" s="6"/>
      <c r="X6" s="45">
        <v>0</v>
      </c>
      <c r="Y6" s="18">
        <f t="shared" si="4"/>
        <v>20900</v>
      </c>
      <c r="Z6" s="50">
        <f>IF($J6="","",ROUND(($J6-30000)/1000,1)+(2.5-_xlfn.RANK.AVG($J6,($J6,$O6,$T6,$Y6)))*20+IF(_xlfn.RANK.EQ($J6,($J6,$O6,$T6,$Y6))=1,20/((_xlfn.RANK.AVG($J6,($J6,$O6,$T6,$Y6))-1)*2+1),0))</f>
        <v>1.9000000000000004</v>
      </c>
      <c r="AA6" s="51">
        <f>IF($O6="","",ROUND(($O6-30000)/1000,1)+(2.5-_xlfn.RANK.AVG($O6,($J6,$O6,$T6,$Y6)))*20+IF(_xlfn.RANK.EQ($O6,($J6,$O6,$T6,$Y6))=1,20/((_xlfn.RANK.AVG($O6,($J6,$O6,$T6,$Y6))-1)*2+1),0))</f>
        <v>-42.1</v>
      </c>
      <c r="AB6" s="51">
        <f>IF($T6="","",ROUND(($T6-30000)/1000,1)+(2.5-_xlfn.RANK.AVG($T6,($J6,$O6,$T6,$Y6)))*20+IF(_xlfn.RANK.EQ($T6,($J6,$O6,$T6,$Y6))=1,20/((_xlfn.RANK.AVG($T6,($J6,$O6,$T6,$Y6))-1)*2+1),0))</f>
        <v>59.3</v>
      </c>
      <c r="AC6" s="52">
        <f>IF($Y6="","",ROUND(($Y6-30000)/1000,1)+(2.5-_xlfn.RANK.AVG($Y6,($J6,$O6,$T6,$Y6)))*20+IF(_xlfn.RANK.EQ($Y6,($J6,$O6,$T6,$Y6))=1,20/((_xlfn.RANK.AVG($Y6,($J6,$O6,$T6,$Y6))-1)*2+1),0))</f>
        <v>-19.100000000000001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5</v>
      </c>
      <c r="BZ6" s="27" t="s">
        <v>195</v>
      </c>
      <c r="CA6" s="37" t="s">
        <v>194</v>
      </c>
      <c r="CB6" s="38" t="s">
        <v>81</v>
      </c>
      <c r="CC6" s="38" t="s">
        <v>196</v>
      </c>
      <c r="CD6" s="38" t="s">
        <v>82</v>
      </c>
      <c r="CE6" s="38" t="s">
        <v>197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188</v>
      </c>
      <c r="F7" s="5" t="s">
        <v>192</v>
      </c>
      <c r="G7" s="6">
        <v>-1000</v>
      </c>
      <c r="H7" s="6"/>
      <c r="I7" s="45">
        <v>0</v>
      </c>
      <c r="J7" s="18">
        <f t="shared" si="2"/>
        <v>20900</v>
      </c>
      <c r="K7" s="5" t="s">
        <v>192</v>
      </c>
      <c r="L7" s="6">
        <v>-1000</v>
      </c>
      <c r="M7" s="6"/>
      <c r="N7" s="45">
        <v>0</v>
      </c>
      <c r="O7" s="18">
        <f t="shared" si="8"/>
        <v>16900</v>
      </c>
      <c r="P7" s="5" t="s">
        <v>193</v>
      </c>
      <c r="Q7" s="6">
        <v>3000</v>
      </c>
      <c r="R7" s="6"/>
      <c r="S7" s="45">
        <v>0</v>
      </c>
      <c r="T7" s="18">
        <f t="shared" si="3"/>
        <v>42300</v>
      </c>
      <c r="U7" s="5" t="s">
        <v>192</v>
      </c>
      <c r="V7" s="6">
        <v>-1000</v>
      </c>
      <c r="W7" s="6"/>
      <c r="X7" s="45">
        <v>0</v>
      </c>
      <c r="Y7" s="18">
        <f t="shared" si="4"/>
        <v>19900</v>
      </c>
      <c r="Z7" s="50">
        <f>IF($J7="","",ROUND(($J7-30000)/1000,1)+(2.5-_xlfn.RANK.AVG($J7,($J7,$O7,$T7,$Y7)))*20+IF(_xlfn.RANK.EQ($J7,($J7,$O7,$T7,$Y7))=1,20/((_xlfn.RANK.AVG($J7,($J7,$O7,$T7,$Y7))-1)*2+1),0))</f>
        <v>0.90000000000000036</v>
      </c>
      <c r="AA7" s="51">
        <f>IF($O7="","",ROUND(($O7-30000)/1000,1)+(2.5-_xlfn.RANK.AVG($O7,($J7,$O7,$T7,$Y7)))*20+IF(_xlfn.RANK.EQ($O7,($J7,$O7,$T7,$Y7))=1,20/((_xlfn.RANK.AVG($O7,($J7,$O7,$T7,$Y7))-1)*2+1),0))</f>
        <v>-43.1</v>
      </c>
      <c r="AB7" s="51">
        <f>IF($T7="","",ROUND(($T7-30000)/1000,1)+(2.5-_xlfn.RANK.AVG($T7,($J7,$O7,$T7,$Y7)))*20+IF(_xlfn.RANK.EQ($T7,($J7,$O7,$T7,$Y7))=1,20/((_xlfn.RANK.AVG($T7,($J7,$O7,$T7,$Y7))-1)*2+1),0))</f>
        <v>62.3</v>
      </c>
      <c r="AC7" s="52">
        <f>IF($Y7="","",ROUND(($Y7-30000)/1000,1)+(2.5-_xlfn.RANK.AVG($Y7,($J7,$O7,$T7,$Y7)))*20+IF(_xlfn.RANK.EQ($Y7,($J7,$O7,$T7,$Y7))=1,20/((_xlfn.RANK.AVG($Y7,($J7,$O7,$T7,$Y7))-1)*2+1),0))</f>
        <v>-20.100000000000001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1</v>
      </c>
      <c r="BZ7" s="27">
        <v>60</v>
      </c>
      <c r="CA7" s="37" t="s">
        <v>85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">
        <v>188</v>
      </c>
      <c r="F8" s="5" t="s">
        <v>198</v>
      </c>
      <c r="G8" s="6">
        <v>-1000</v>
      </c>
      <c r="H8" s="6"/>
      <c r="I8" s="45">
        <v>-300</v>
      </c>
      <c r="J8" s="18">
        <f t="shared" si="2"/>
        <v>19600</v>
      </c>
      <c r="K8" s="5"/>
      <c r="L8" s="6"/>
      <c r="M8" s="6"/>
      <c r="N8" s="45"/>
      <c r="O8" s="18">
        <f t="shared" si="8"/>
        <v>16900</v>
      </c>
      <c r="P8" s="5"/>
      <c r="Q8" s="6"/>
      <c r="R8" s="6"/>
      <c r="S8" s="45"/>
      <c r="T8" s="18">
        <f t="shared" si="3"/>
        <v>42300</v>
      </c>
      <c r="U8" s="5" t="s">
        <v>199</v>
      </c>
      <c r="V8" s="6">
        <v>1000</v>
      </c>
      <c r="W8" s="6"/>
      <c r="X8" s="45">
        <v>300</v>
      </c>
      <c r="Y8" s="18">
        <f t="shared" si="4"/>
        <v>21200</v>
      </c>
      <c r="Z8" s="50">
        <f>IF($J8="","",ROUND(($J8-30000)/1000,1)+(2.5-_xlfn.RANK.AVG($J8,($J8,$O8,$T8,$Y8)))*20+IF(_xlfn.RANK.EQ($J8,($J8,$O8,$T8,$Y8))=1,20/((_xlfn.RANK.AVG($J8,($J8,$O8,$T8,$Y8))-1)*2+1),0))</f>
        <v>-20.399999999999999</v>
      </c>
      <c r="AA8" s="51">
        <f>IF($O8="","",ROUND(($O8-30000)/1000,1)+(2.5-_xlfn.RANK.AVG($O8,($J8,$O8,$T8,$Y8)))*20+IF(_xlfn.RANK.EQ($O8,($J8,$O8,$T8,$Y8))=1,20/((_xlfn.RANK.AVG($O8,($J8,$O8,$T8,$Y8))-1)*2+1),0))</f>
        <v>-43.1</v>
      </c>
      <c r="AB8" s="51">
        <f>IF($T8="","",ROUND(($T8-30000)/1000,1)+(2.5-_xlfn.RANK.AVG($T8,($J8,$O8,$T8,$Y8)))*20+IF(_xlfn.RANK.EQ($T8,($J8,$O8,$T8,$Y8))=1,20/((_xlfn.RANK.AVG($T8,($J8,$O8,$T8,$Y8))-1)*2+1),0))</f>
        <v>62.3</v>
      </c>
      <c r="AC8" s="52">
        <f>IF($Y8="","",ROUND(($Y8-30000)/1000,1)+(2.5-_xlfn.RANK.AVG($Y8,($J8,$O8,$T8,$Y8)))*20+IF(_xlfn.RANK.EQ($Y8,($J8,$O8,$T8,$Y8))=1,20/((_xlfn.RANK.AVG($Y8,($J8,$O8,$T8,$Y8))-1)*2+1),0))</f>
        <v>1.1999999999999993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1</v>
      </c>
      <c r="CU8" s="27">
        <v>30</v>
      </c>
      <c r="CV8" s="37" t="s">
        <v>85</v>
      </c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">
        <v>185</v>
      </c>
      <c r="F9" s="5"/>
      <c r="G9" s="6"/>
      <c r="H9" s="6"/>
      <c r="I9" s="45"/>
      <c r="J9" s="18">
        <f t="shared" si="2"/>
        <v>19600</v>
      </c>
      <c r="K9" s="5" t="s">
        <v>198</v>
      </c>
      <c r="L9" s="6">
        <v>-8000</v>
      </c>
      <c r="M9" s="6"/>
      <c r="N9" s="45">
        <v>0</v>
      </c>
      <c r="O9" s="18">
        <f t="shared" si="8"/>
        <v>8900</v>
      </c>
      <c r="P9" s="5" t="s">
        <v>199</v>
      </c>
      <c r="Q9" s="6">
        <v>8000</v>
      </c>
      <c r="R9" s="6"/>
      <c r="S9" s="45">
        <v>0</v>
      </c>
      <c r="T9" s="18">
        <f t="shared" si="3"/>
        <v>50300</v>
      </c>
      <c r="U9" s="5"/>
      <c r="V9" s="6"/>
      <c r="W9" s="6"/>
      <c r="X9" s="45"/>
      <c r="Y9" s="18">
        <f t="shared" si="4"/>
        <v>21200</v>
      </c>
      <c r="Z9" s="50">
        <f>IF($J9="","",ROUND(($J9-30000)/1000,1)+(2.5-_xlfn.RANK.AVG($J9,($J9,$O9,$T9,$Y9)))*20+IF(_xlfn.RANK.EQ($J9,($J9,$O9,$T9,$Y9))=1,20/((_xlfn.RANK.AVG($J9,($J9,$O9,$T9,$Y9))-1)*2+1),0))</f>
        <v>-20.399999999999999</v>
      </c>
      <c r="AA9" s="51">
        <f>IF($O9="","",ROUND(($O9-30000)/1000,1)+(2.5-_xlfn.RANK.AVG($O9,($J9,$O9,$T9,$Y9)))*20+IF(_xlfn.RANK.EQ($O9,($J9,$O9,$T9,$Y9))=1,20/((_xlfn.RANK.AVG($O9,($J9,$O9,$T9,$Y9))-1)*2+1),0))</f>
        <v>-51.1</v>
      </c>
      <c r="AB9" s="51">
        <f>IF($T9="","",ROUND(($T9-30000)/1000,1)+(2.5-_xlfn.RANK.AVG($T9,($J9,$O9,$T9,$Y9)))*20+IF(_xlfn.RANK.EQ($T9,($J9,$O9,$T9,$Y9))=1,20/((_xlfn.RANK.AVG($T9,($J9,$O9,$T9,$Y9))-1)*2+1),0))</f>
        <v>70.3</v>
      </c>
      <c r="AC9" s="52">
        <f>IF($Y9="","",ROUND(($Y9-30000)/1000,1)+(2.5-_xlfn.RANK.AVG($Y9,($J9,$O9,$T9,$Y9)))*20+IF(_xlfn.RANK.EQ($Y9,($J9,$O9,$T9,$Y9))=1,20/((_xlfn.RANK.AVG($Y9,($J9,$O9,$T9,$Y9))-1)*2+1),0))</f>
        <v>1.1999999999999993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4</v>
      </c>
      <c r="BZ9" s="27">
        <v>40</v>
      </c>
      <c r="CA9" s="37" t="s">
        <v>194</v>
      </c>
      <c r="CB9" s="38" t="s">
        <v>196</v>
      </c>
      <c r="CC9" s="38" t="s">
        <v>78</v>
      </c>
      <c r="CD9" s="38" t="s">
        <v>78</v>
      </c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">
        <v>184</v>
      </c>
      <c r="F10" s="5" t="s">
        <v>198</v>
      </c>
      <c r="G10" s="6">
        <v>-8000</v>
      </c>
      <c r="H10" s="6"/>
      <c r="I10" s="45">
        <v>0</v>
      </c>
      <c r="J10" s="18">
        <f t="shared" si="2"/>
        <v>11600</v>
      </c>
      <c r="K10" s="5"/>
      <c r="L10" s="6"/>
      <c r="M10" s="6"/>
      <c r="N10" s="45"/>
      <c r="O10" s="18">
        <f t="shared" si="8"/>
        <v>8900</v>
      </c>
      <c r="P10" s="5" t="s">
        <v>199</v>
      </c>
      <c r="Q10" s="6">
        <v>8000</v>
      </c>
      <c r="R10" s="6"/>
      <c r="S10" s="45">
        <v>0</v>
      </c>
      <c r="T10" s="18">
        <f t="shared" si="3"/>
        <v>58300</v>
      </c>
      <c r="U10" s="5"/>
      <c r="V10" s="6"/>
      <c r="W10" s="6"/>
      <c r="X10" s="45"/>
      <c r="Y10" s="18">
        <f t="shared" si="4"/>
        <v>21200</v>
      </c>
      <c r="Z10" s="50">
        <f>IF($J10="","",ROUND(($J10-30000)/1000,1)+(2.5-_xlfn.RANK.AVG($J10,($J10,$O10,$T10,$Y10)))*20+IF(_xlfn.RANK.EQ($J10,($J10,$O10,$T10,$Y10))=1,20/((_xlfn.RANK.AVG($J10,($J10,$O10,$T10,$Y10))-1)*2+1),0))</f>
        <v>-28.4</v>
      </c>
      <c r="AA10" s="51">
        <f>IF($O10="","",ROUND(($O10-30000)/1000,1)+(2.5-_xlfn.RANK.AVG($O10,($J10,$O10,$T10,$Y10)))*20+IF(_xlfn.RANK.EQ($O10,($J10,$O10,$T10,$Y10))=1,20/((_xlfn.RANK.AVG($O10,($J10,$O10,$T10,$Y10))-1)*2+1),0))</f>
        <v>-51.1</v>
      </c>
      <c r="AB10" s="51">
        <f>IF($T10="","",ROUND(($T10-30000)/1000,1)+(2.5-_xlfn.RANK.AVG($T10,($J10,$O10,$T10,$Y10)))*20+IF(_xlfn.RANK.EQ($T10,($J10,$O10,$T10,$Y10))=1,20/((_xlfn.RANK.AVG($T10,($J10,$O10,$T10,$Y10))-1)*2+1),0))</f>
        <v>78.3</v>
      </c>
      <c r="AC10" s="52">
        <f>IF($Y10="","",ROUND(($Y10-30000)/1000,1)+(2.5-_xlfn.RANK.AVG($Y10,($J10,$O10,$T10,$Y10)))*20+IF(_xlfn.RANK.EQ($Y10,($J10,$O10,$T10,$Y10))=1,20/((_xlfn.RANK.AVG($Y10,($J10,$O10,$T10,$Y10))-1)*2+1),0))</f>
        <v>1.1999999999999993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4</v>
      </c>
      <c r="BZ10" s="27">
        <v>30</v>
      </c>
      <c r="CA10" s="37" t="s">
        <v>194</v>
      </c>
      <c r="CB10" s="38" t="s">
        <v>196</v>
      </c>
      <c r="CC10" s="38" t="s">
        <v>78</v>
      </c>
      <c r="CD10" s="38" t="s">
        <v>82</v>
      </c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186</v>
      </c>
      <c r="F11" s="5" t="s">
        <v>192</v>
      </c>
      <c r="G11" s="6">
        <v>-3000</v>
      </c>
      <c r="H11" s="6"/>
      <c r="I11" s="45">
        <v>0</v>
      </c>
      <c r="J11" s="18">
        <f t="shared" si="2"/>
        <v>8600</v>
      </c>
      <c r="K11" s="5" t="s">
        <v>192</v>
      </c>
      <c r="L11" s="6">
        <v>-6000</v>
      </c>
      <c r="M11" s="6"/>
      <c r="N11" s="45">
        <v>0</v>
      </c>
      <c r="O11" s="18">
        <f t="shared" si="8"/>
        <v>2900</v>
      </c>
      <c r="P11" s="5" t="s">
        <v>193</v>
      </c>
      <c r="Q11" s="6">
        <v>12000</v>
      </c>
      <c r="R11" s="6"/>
      <c r="S11" s="45">
        <v>0</v>
      </c>
      <c r="T11" s="18">
        <f t="shared" si="3"/>
        <v>70300</v>
      </c>
      <c r="U11" s="5" t="s">
        <v>192</v>
      </c>
      <c r="V11" s="6">
        <v>-3000</v>
      </c>
      <c r="W11" s="6"/>
      <c r="X11" s="45">
        <v>0</v>
      </c>
      <c r="Y11" s="18">
        <f t="shared" si="4"/>
        <v>18200</v>
      </c>
      <c r="Z11" s="50">
        <f>IF($J11="","",ROUND(($J11-30000)/1000,1)+(2.5-_xlfn.RANK.AVG($J11,($J11,$O11,$T11,$Y11)))*20+IF(_xlfn.RANK.EQ($J11,($J11,$O11,$T11,$Y11))=1,20/((_xlfn.RANK.AVG($J11,($J11,$O11,$T11,$Y11))-1)*2+1),0))</f>
        <v>-31.4</v>
      </c>
      <c r="AA11" s="51">
        <f>IF($O11="","",ROUND(($O11-30000)/1000,1)+(2.5-_xlfn.RANK.AVG($O11,($J11,$O11,$T11,$Y11)))*20+IF(_xlfn.RANK.EQ($O11,($J11,$O11,$T11,$Y11))=1,20/((_xlfn.RANK.AVG($O11,($J11,$O11,$T11,$Y11))-1)*2+1),0))</f>
        <v>-57.1</v>
      </c>
      <c r="AB11" s="51">
        <f>IF($T11="","",ROUND(($T11-30000)/1000,1)+(2.5-_xlfn.RANK.AVG($T11,($J11,$O11,$T11,$Y11)))*20+IF(_xlfn.RANK.EQ($T11,($J11,$O11,$T11,$Y11))=1,20/((_xlfn.RANK.AVG($T11,($J11,$O11,$T11,$Y11))-1)*2+1),0))</f>
        <v>90.3</v>
      </c>
      <c r="AC11" s="52">
        <f>IF($Y11="","",ROUND(($Y11-30000)/1000,1)+(2.5-_xlfn.RANK.AVG($Y11,($J11,$O11,$T11,$Y11)))*20+IF(_xlfn.RANK.EQ($Y11,($J11,$O11,$T11,$Y11))=1,20/((_xlfn.RANK.AVG($Y11,($J11,$O11,$T11,$Y11))-1)*2+1),0))</f>
        <v>-1.8000000000000007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195</v>
      </c>
      <c r="CA11" s="37" t="s">
        <v>194</v>
      </c>
      <c r="CB11" s="38" t="s">
        <v>81</v>
      </c>
      <c r="CC11" s="38" t="s">
        <v>82</v>
      </c>
      <c r="CD11" s="38" t="s">
        <v>78</v>
      </c>
      <c r="CE11" s="38" t="s">
        <v>78</v>
      </c>
      <c r="CF11" s="38" t="s">
        <v>197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188</v>
      </c>
      <c r="F12" s="5" t="s">
        <v>192</v>
      </c>
      <c r="G12" s="6">
        <v>-1000</v>
      </c>
      <c r="H12" s="6"/>
      <c r="I12" s="45">
        <v>0</v>
      </c>
      <c r="J12" s="18">
        <f t="shared" si="2"/>
        <v>7600</v>
      </c>
      <c r="K12" s="5" t="s">
        <v>192</v>
      </c>
      <c r="L12" s="6">
        <v>-1000</v>
      </c>
      <c r="M12" s="6"/>
      <c r="N12" s="45">
        <v>0</v>
      </c>
      <c r="O12" s="18">
        <f t="shared" si="8"/>
        <v>1900</v>
      </c>
      <c r="P12" s="5" t="s">
        <v>192</v>
      </c>
      <c r="Q12" s="6">
        <v>-2000</v>
      </c>
      <c r="R12" s="6"/>
      <c r="S12" s="45">
        <v>0</v>
      </c>
      <c r="T12" s="18">
        <f t="shared" si="3"/>
        <v>68300</v>
      </c>
      <c r="U12" s="5" t="s">
        <v>193</v>
      </c>
      <c r="V12" s="6">
        <v>4000</v>
      </c>
      <c r="W12" s="6"/>
      <c r="X12" s="45">
        <v>0</v>
      </c>
      <c r="Y12" s="18">
        <f t="shared" si="4"/>
        <v>22200</v>
      </c>
      <c r="Z12" s="50">
        <f>IF($J12="","",ROUND(($J12-30000)/1000,1)+(2.5-_xlfn.RANK.AVG($J12,($J12,$O12,$T12,$Y12)))*20+IF(_xlfn.RANK.EQ($J12,($J12,$O12,$T12,$Y12))=1,20/((_xlfn.RANK.AVG($J12,($J12,$O12,$T12,$Y12))-1)*2+1),0))</f>
        <v>-32.4</v>
      </c>
      <c r="AA12" s="51">
        <f>IF($O12="","",ROUND(($O12-30000)/1000,1)+(2.5-_xlfn.RANK.AVG($O12,($J12,$O12,$T12,$Y12)))*20+IF(_xlfn.RANK.EQ($O12,($J12,$O12,$T12,$Y12))=1,20/((_xlfn.RANK.AVG($O12,($J12,$O12,$T12,$Y12))-1)*2+1),0))</f>
        <v>-58.1</v>
      </c>
      <c r="AB12" s="51">
        <f>IF($T12="","",ROUND(($T12-30000)/1000,1)+(2.5-_xlfn.RANK.AVG($T12,($J12,$O12,$T12,$Y12)))*20+IF(_xlfn.RANK.EQ($T12,($J12,$O12,$T12,$Y12))=1,20/((_xlfn.RANK.AVG($T12,($J12,$O12,$T12,$Y12))-1)*2+1),0))</f>
        <v>88.3</v>
      </c>
      <c r="AC12" s="52">
        <f>IF($Y12="","",ROUND(($Y12-30000)/1000,1)+(2.5-_xlfn.RANK.AVG($Y12,($J12,$O12,$T12,$Y12)))*20+IF(_xlfn.RANK.EQ($Y12,($J12,$O12,$T12,$Y12))=1,20/((_xlfn.RANK.AVG($Y12,($J12,$O12,$T12,$Y12))-1)*2+1),0))</f>
        <v>2.2000000000000002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>
        <v>1</v>
      </c>
      <c r="CS12" s="23"/>
      <c r="CT12" s="23">
        <v>3</v>
      </c>
      <c r="CU12" s="27">
        <v>30</v>
      </c>
      <c r="CV12" s="37" t="s">
        <v>194</v>
      </c>
      <c r="CW12" s="38" t="s">
        <v>81</v>
      </c>
      <c r="CX12" s="38" t="s">
        <v>78</v>
      </c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">
        <v>185</v>
      </c>
      <c r="F13" s="5" t="s">
        <v>192</v>
      </c>
      <c r="G13" s="6">
        <v>-500</v>
      </c>
      <c r="H13" s="6"/>
      <c r="I13" s="45">
        <v>0</v>
      </c>
      <c r="J13" s="18">
        <f t="shared" si="2"/>
        <v>7100</v>
      </c>
      <c r="K13" s="5" t="s">
        <v>192</v>
      </c>
      <c r="L13" s="6">
        <v>-500</v>
      </c>
      <c r="M13" s="6"/>
      <c r="N13" s="45">
        <v>0</v>
      </c>
      <c r="O13" s="18">
        <f t="shared" si="8"/>
        <v>1400</v>
      </c>
      <c r="P13" s="5" t="s">
        <v>192</v>
      </c>
      <c r="Q13" s="6">
        <v>-500</v>
      </c>
      <c r="R13" s="6">
        <v>0</v>
      </c>
      <c r="S13" s="45">
        <v>0</v>
      </c>
      <c r="T13" s="18">
        <f t="shared" si="3"/>
        <v>67800</v>
      </c>
      <c r="U13" s="5" t="s">
        <v>193</v>
      </c>
      <c r="V13" s="6">
        <v>1500</v>
      </c>
      <c r="W13" s="6"/>
      <c r="X13" s="45">
        <v>0</v>
      </c>
      <c r="Y13" s="18">
        <f t="shared" si="4"/>
        <v>23700</v>
      </c>
      <c r="Z13" s="50">
        <f>IF($J13="","",ROUND(($J13-30000)/1000,1)+(2.5-_xlfn.RANK.AVG($J13,($J13,$O13,$T13,$Y13)))*20+IF(_xlfn.RANK.EQ($J13,($J13,$O13,$T13,$Y13))=1,20/((_xlfn.RANK.AVG($J13,($J13,$O13,$T13,$Y13))-1)*2+1),0))</f>
        <v>-32.9</v>
      </c>
      <c r="AA13" s="51">
        <f>IF($O13="","",ROUND(($O13-30000)/1000,1)+(2.5-_xlfn.RANK.AVG($O13,($J13,$O13,$T13,$Y13)))*20+IF(_xlfn.RANK.EQ($O13,($J13,$O13,$T13,$Y13))=1,20/((_xlfn.RANK.AVG($O13,($J13,$O13,$T13,$Y13))-1)*2+1),0))</f>
        <v>-58.6</v>
      </c>
      <c r="AB13" s="51">
        <f>IF($T13="","",ROUND(($T13-30000)/1000,1)+(2.5-_xlfn.RANK.AVG($T13,($J13,$O13,$T13,$Y13)))*20+IF(_xlfn.RANK.EQ($T13,($J13,$O13,$T13,$Y13))=1,20/((_xlfn.RANK.AVG($T13,($J13,$O13,$T13,$Y13))-1)*2+1),0))</f>
        <v>87.8</v>
      </c>
      <c r="AC13" s="52">
        <f>IF($Y13="","",ROUND(($Y13-30000)/1000,1)+(2.5-_xlfn.RANK.AVG($Y13,($J13,$O13,$T13,$Y13)))*20+IF(_xlfn.RANK.EQ($Y13,($J13,$O13,$T13,$Y13))=1,20/((_xlfn.RANK.AVG($Y13,($J13,$O13,$T13,$Y13))-1)*2+1),0))</f>
        <v>3.7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>
        <v>1</v>
      </c>
      <c r="CT13" s="23">
        <v>1</v>
      </c>
      <c r="CU13" s="27">
        <v>30</v>
      </c>
      <c r="CV13" s="37" t="s">
        <v>85</v>
      </c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3FC2AE0-355F-417E-98B2-07142739B4E4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AFDC-8E89-4C28-83B6-3A56F638EABA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201</v>
      </c>
      <c r="G1" s="74"/>
      <c r="H1" s="74"/>
      <c r="I1" s="77"/>
      <c r="J1" s="75"/>
      <c r="K1" s="72" t="s">
        <v>203</v>
      </c>
      <c r="L1" s="74"/>
      <c r="M1" s="74"/>
      <c r="N1" s="77"/>
      <c r="O1" s="75"/>
      <c r="P1" s="72" t="s">
        <v>205</v>
      </c>
      <c r="Q1" s="74"/>
      <c r="R1" s="74"/>
      <c r="S1" s="77"/>
      <c r="T1" s="75"/>
      <c r="U1" s="72" t="s">
        <v>206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木角有希</v>
      </c>
      <c r="AF1" s="73" t="str">
        <f t="shared" ref="AF1:AY1" si="0">$F$1</f>
        <v>木角有希</v>
      </c>
      <c r="AG1" s="74" t="str">
        <f t="shared" si="0"/>
        <v>木角有希</v>
      </c>
      <c r="AH1" s="74" t="str">
        <f t="shared" si="0"/>
        <v>木角有希</v>
      </c>
      <c r="AI1" s="74" t="str">
        <f t="shared" si="0"/>
        <v>木角有希</v>
      </c>
      <c r="AJ1" s="74" t="str">
        <f t="shared" si="0"/>
        <v>木角有希</v>
      </c>
      <c r="AK1" s="74" t="str">
        <f t="shared" si="0"/>
        <v>木角有希</v>
      </c>
      <c r="AL1" s="74" t="str">
        <f t="shared" si="0"/>
        <v>木角有希</v>
      </c>
      <c r="AM1" s="74" t="str">
        <f t="shared" si="0"/>
        <v>木角有希</v>
      </c>
      <c r="AN1" s="74" t="str">
        <f t="shared" si="0"/>
        <v>木角有希</v>
      </c>
      <c r="AO1" s="74" t="str">
        <f t="shared" si="0"/>
        <v>木角有希</v>
      </c>
      <c r="AP1" s="74" t="str">
        <f t="shared" si="0"/>
        <v>木角有希</v>
      </c>
      <c r="AQ1" s="74" t="str">
        <f t="shared" si="0"/>
        <v>木角有希</v>
      </c>
      <c r="AR1" s="74" t="str">
        <f t="shared" si="0"/>
        <v>木角有希</v>
      </c>
      <c r="AS1" s="74" t="str">
        <f t="shared" si="0"/>
        <v>木角有希</v>
      </c>
      <c r="AT1" s="74" t="str">
        <f t="shared" si="0"/>
        <v>木角有希</v>
      </c>
      <c r="AU1" s="74" t="str">
        <f t="shared" si="0"/>
        <v>木角有希</v>
      </c>
      <c r="AV1" s="74" t="str">
        <f t="shared" si="0"/>
        <v>木角有希</v>
      </c>
      <c r="AW1" s="74" t="str">
        <f t="shared" si="0"/>
        <v>木角有希</v>
      </c>
      <c r="AX1" s="74" t="str">
        <f t="shared" si="0"/>
        <v>木角有希</v>
      </c>
      <c r="AY1" s="75" t="str">
        <f t="shared" si="0"/>
        <v>木角有希</v>
      </c>
      <c r="AZ1" s="72" t="str">
        <f>IF($K$1="","",$K$1)</f>
        <v>矢ヶ崎健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福澤大地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高野源太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木角有希</v>
      </c>
      <c r="AA2" s="69" t="str">
        <f>IF($K$1="","",$K$1)</f>
        <v>矢ヶ崎健</v>
      </c>
      <c r="AB2" s="69" t="str">
        <f>IF($P$1="","",$P$1)</f>
        <v>福澤大地</v>
      </c>
      <c r="AC2" s="70" t="str">
        <f>IF($U$1="","",$U$1)</f>
        <v>高野源太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">
        <v>200</v>
      </c>
      <c r="F4" s="5" t="s">
        <v>207</v>
      </c>
      <c r="G4" s="6">
        <v>1000</v>
      </c>
      <c r="H4" s="6">
        <v>-1000</v>
      </c>
      <c r="I4" s="45"/>
      <c r="J4" s="18">
        <f>IF(COUNTA($F4,$K4,$P4,$U4)&gt;0,J3+SUM(G4:I4),"")</f>
        <v>25000</v>
      </c>
      <c r="K4" s="5" t="s">
        <v>207</v>
      </c>
      <c r="L4" s="6">
        <v>-3000</v>
      </c>
      <c r="M4" s="6"/>
      <c r="N4" s="45"/>
      <c r="O4" s="18">
        <f>IF(COUNTA($F4,$K4,$P4,$U4)&gt;0,O3+SUM(L4:N4),"")</f>
        <v>22000</v>
      </c>
      <c r="P4" s="5" t="s">
        <v>207</v>
      </c>
      <c r="Q4" s="6">
        <v>1000</v>
      </c>
      <c r="R4" s="6"/>
      <c r="S4" s="45"/>
      <c r="T4" s="18">
        <f>IF(COUNTA($F4,$K4,$P4,$U4)&gt;0,T3+SUM(Q4:S4),"")</f>
        <v>26000</v>
      </c>
      <c r="U4" s="5" t="s">
        <v>207</v>
      </c>
      <c r="V4" s="6">
        <v>1000</v>
      </c>
      <c r="W4" s="6"/>
      <c r="X4" s="45"/>
      <c r="Y4" s="18">
        <f>IF(COUNTA($F4,$K4,$P4,$U4)&gt;0,Y3+SUM(V4:X4),"")</f>
        <v>26000</v>
      </c>
      <c r="Z4" s="50">
        <f>IF($J4="","",ROUND(($J4-30000)/1000,1)+(2.5-_xlfn.RANK.AVG($J4,($J4,$O4,$T4,$Y4)))*20+IF(_xlfn.RANK.EQ($J4,($J4,$O4,$T4,$Y4))=1,20/((_xlfn.RANK.AVG($J4,($J4,$O4,$T4,$Y4))-1)*2+1),0))</f>
        <v>-15</v>
      </c>
      <c r="AA4" s="51">
        <f>IF($O4="","",ROUND(($O4-30000)/1000,1)+(2.5-_xlfn.RANK.AVG($O4,($J4,$O4,$T4,$Y4)))*20+IF(_xlfn.RANK.EQ($O4,($J4,$O4,$T4,$Y4))=1,20/((_xlfn.RANK.AVG($O4,($J4,$O4,$T4,$Y4))-1)*2+1),0))</f>
        <v>-38</v>
      </c>
      <c r="AB4" s="51">
        <f>IF($T4="","",ROUND(($T4-30000)/1000,1)+(2.5-_xlfn.RANK.AVG($T4,($J4,$O4,$T4,$Y4)))*20+IF(_xlfn.RANK.EQ($T4,($J4,$O4,$T4,$Y4))=1,20/((_xlfn.RANK.AVG($T4,($J4,$O4,$T4,$Y4))-1)*2+1),0))</f>
        <v>26</v>
      </c>
      <c r="AC4" s="52">
        <f>IF($Y4="","",ROUND(($Y4-30000)/1000,1)+(2.5-_xlfn.RANK.AVG($Y4,($J4,$O4,$T4,$Y4)))*20+IF(_xlfn.RANK.EQ($Y4,($J4,$O4,$T4,$Y4))=1,20/((_xlfn.RANK.AVG($Y4,($J4,$O4,$T4,$Y4))-1)*2+1),0))</f>
        <v>26</v>
      </c>
      <c r="AE4" s="5" t="s">
        <v>189</v>
      </c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190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189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189</v>
      </c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200</v>
      </c>
      <c r="F5" s="5" t="s">
        <v>207</v>
      </c>
      <c r="G5" s="6">
        <v>-1500</v>
      </c>
      <c r="H5" s="6"/>
      <c r="I5" s="45"/>
      <c r="J5" s="18">
        <f t="shared" ref="J5:J30" si="2">IF(COUNTA($F5,$K5,$P5,$U5)&gt;0,J4+SUM(G5:I5),"")</f>
        <v>23500</v>
      </c>
      <c r="K5" s="5" t="s">
        <v>207</v>
      </c>
      <c r="L5" s="6">
        <v>-1500</v>
      </c>
      <c r="M5" s="6"/>
      <c r="N5" s="45"/>
      <c r="O5" s="18">
        <f>IF(COUNTA($F5,$K5,$P5,$U5)&gt;0,O4+SUM(L5:N5),"")</f>
        <v>20500</v>
      </c>
      <c r="P5" s="5" t="s">
        <v>207</v>
      </c>
      <c r="Q5" s="6">
        <v>1500</v>
      </c>
      <c r="R5" s="6">
        <v>-1000</v>
      </c>
      <c r="S5" s="45"/>
      <c r="T5" s="18">
        <f t="shared" ref="T5:T30" si="3">IF(COUNTA($F5,$K5,$P5,$U5)&gt;0,T4+SUM(Q5:S5),"")</f>
        <v>26500</v>
      </c>
      <c r="U5" s="5" t="s">
        <v>207</v>
      </c>
      <c r="V5" s="6">
        <v>1500</v>
      </c>
      <c r="W5" s="6"/>
      <c r="X5" s="45"/>
      <c r="Y5" s="18">
        <f t="shared" ref="Y5:Y30" si="4">IF(COUNTA($F5,$K5,$P5,$U5)&gt;0,Y4+SUM(V5:X5),"")</f>
        <v>27500</v>
      </c>
      <c r="Z5" s="50">
        <f>IF($J5="","",ROUND(($J5-30000)/1000,1)+(2.5-_xlfn.RANK.AVG($J5,($J5,$O5,$T5,$Y5)))*20+IF(_xlfn.RANK.EQ($J5,($J5,$O5,$T5,$Y5))=1,20/((_xlfn.RANK.AVG($J5,($J5,$O5,$T5,$Y5))-1)*2+1),0))</f>
        <v>-16.5</v>
      </c>
      <c r="AA5" s="51">
        <f>IF($O5="","",ROUND(($O5-30000)/1000,1)+(2.5-_xlfn.RANK.AVG($O5,($J5,$O5,$T5,$Y5)))*20+IF(_xlfn.RANK.EQ($O5,($J5,$O5,$T5,$Y5))=1,20/((_xlfn.RANK.AVG($O5,($J5,$O5,$T5,$Y5))-1)*2+1),0))</f>
        <v>-39.5</v>
      </c>
      <c r="AB5" s="51">
        <f>IF($T5="","",ROUND(($T5-30000)/1000,1)+(2.5-_xlfn.RANK.AVG($T5,($J5,$O5,$T5,$Y5)))*20+IF(_xlfn.RANK.EQ($T5,($J5,$O5,$T5,$Y5))=1,20/((_xlfn.RANK.AVG($T5,($J5,$O5,$T5,$Y5))-1)*2+1),0))</f>
        <v>6.5</v>
      </c>
      <c r="AC5" s="52">
        <f>IF($Y5="","",ROUND(($Y5-30000)/1000,1)+(2.5-_xlfn.RANK.AVG($Y5,($J5,$O5,$T5,$Y5)))*20+IF(_xlfn.RANK.EQ($Y5,($J5,$O5,$T5,$Y5))=1,20/((_xlfn.RANK.AVG($Y5,($J5,$O5,$T5,$Y5))-1)*2+1),0))</f>
        <v>47.5</v>
      </c>
      <c r="AE5" s="5" t="s">
        <v>190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190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189</v>
      </c>
      <c r="BV5" s="31"/>
      <c r="BW5" s="23">
        <v>1</v>
      </c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189</v>
      </c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2</v>
      </c>
      <c r="E6" s="63" t="s">
        <v>202</v>
      </c>
      <c r="F6" s="5" t="s">
        <v>198</v>
      </c>
      <c r="G6" s="6">
        <v>-8000</v>
      </c>
      <c r="H6" s="6"/>
      <c r="I6" s="45">
        <v>-600</v>
      </c>
      <c r="J6" s="18">
        <f t="shared" si="2"/>
        <v>14900</v>
      </c>
      <c r="K6" s="5"/>
      <c r="L6" s="6"/>
      <c r="M6" s="6"/>
      <c r="N6" s="45"/>
      <c r="O6" s="18">
        <f t="shared" ref="O6:O30" si="8">IF(COUNTA($F6,$K6,$P6,$U6)&gt;0,O5+SUM(L6:N6),"")</f>
        <v>20500</v>
      </c>
      <c r="P6" s="5" t="s">
        <v>199</v>
      </c>
      <c r="Q6" s="6">
        <v>8000</v>
      </c>
      <c r="R6" s="6">
        <v>2000</v>
      </c>
      <c r="S6" s="45">
        <v>600</v>
      </c>
      <c r="T6" s="18">
        <f t="shared" si="3"/>
        <v>37100</v>
      </c>
      <c r="U6" s="5"/>
      <c r="V6" s="6"/>
      <c r="W6" s="6"/>
      <c r="X6" s="45"/>
      <c r="Y6" s="18">
        <f t="shared" si="4"/>
        <v>27500</v>
      </c>
      <c r="Z6" s="50">
        <f>IF($J6="","",ROUND(($J6-30000)/1000,1)+(2.5-_xlfn.RANK.AVG($J6,($J6,$O6,$T6,$Y6)))*20+IF(_xlfn.RANK.EQ($J6,($J6,$O6,$T6,$Y6))=1,20/((_xlfn.RANK.AVG($J6,($J6,$O6,$T6,$Y6))-1)*2+1),0))</f>
        <v>-45.1</v>
      </c>
      <c r="AA6" s="51">
        <f>IF($O6="","",ROUND(($O6-30000)/1000,1)+(2.5-_xlfn.RANK.AVG($O6,($J6,$O6,$T6,$Y6)))*20+IF(_xlfn.RANK.EQ($O6,($J6,$O6,$T6,$Y6))=1,20/((_xlfn.RANK.AVG($O6,($J6,$O6,$T6,$Y6))-1)*2+1),0))</f>
        <v>-19.5</v>
      </c>
      <c r="AB6" s="51">
        <f>IF($T6="","",ROUND(($T6-30000)/1000,1)+(2.5-_xlfn.RANK.AVG($T6,($J6,$O6,$T6,$Y6)))*20+IF(_xlfn.RANK.EQ($T6,($J6,$O6,$T6,$Y6))=1,20/((_xlfn.RANK.AVG($T6,($J6,$O6,$T6,$Y6))-1)*2+1),0))</f>
        <v>57.1</v>
      </c>
      <c r="AC6" s="52">
        <f>IF($Y6="","",ROUND(($Y6-30000)/1000,1)+(2.5-_xlfn.RANK.AVG($Y6,($J6,$O6,$T6,$Y6)))*20+IF(_xlfn.RANK.EQ($Y6,($J6,$O6,$T6,$Y6))=1,20/((_xlfn.RANK.AVG($Y6,($J6,$O6,$T6,$Y6))-1)*2+1),0))</f>
        <v>7.5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5</v>
      </c>
      <c r="BZ6" s="27" t="s">
        <v>195</v>
      </c>
      <c r="CA6" s="37" t="s">
        <v>194</v>
      </c>
      <c r="CB6" s="38" t="s">
        <v>196</v>
      </c>
      <c r="CC6" s="38" t="s">
        <v>85</v>
      </c>
      <c r="CD6" s="38" t="s">
        <v>197</v>
      </c>
      <c r="CE6" s="38" t="s">
        <v>79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204</v>
      </c>
      <c r="F7" s="5"/>
      <c r="G7" s="6"/>
      <c r="H7" s="6"/>
      <c r="I7" s="45"/>
      <c r="J7" s="18">
        <f t="shared" si="2"/>
        <v>14900</v>
      </c>
      <c r="K7" s="5"/>
      <c r="L7" s="6"/>
      <c r="M7" s="6"/>
      <c r="N7" s="45"/>
      <c r="O7" s="18">
        <f t="shared" si="8"/>
        <v>20500</v>
      </c>
      <c r="P7" s="5" t="s">
        <v>198</v>
      </c>
      <c r="Q7" s="6">
        <v>-2000</v>
      </c>
      <c r="R7" s="6"/>
      <c r="S7" s="45">
        <v>0</v>
      </c>
      <c r="T7" s="18">
        <f t="shared" si="3"/>
        <v>35100</v>
      </c>
      <c r="U7" s="5" t="s">
        <v>199</v>
      </c>
      <c r="V7" s="6">
        <v>2000</v>
      </c>
      <c r="W7" s="6"/>
      <c r="X7" s="45">
        <v>0</v>
      </c>
      <c r="Y7" s="18">
        <f t="shared" si="4"/>
        <v>29500</v>
      </c>
      <c r="Z7" s="50">
        <f>IF($J7="","",ROUND(($J7-30000)/1000,1)+(2.5-_xlfn.RANK.AVG($J7,($J7,$O7,$T7,$Y7)))*20+IF(_xlfn.RANK.EQ($J7,($J7,$O7,$T7,$Y7))=1,20/((_xlfn.RANK.AVG($J7,($J7,$O7,$T7,$Y7))-1)*2+1),0))</f>
        <v>-45.1</v>
      </c>
      <c r="AA7" s="51">
        <f>IF($O7="","",ROUND(($O7-30000)/1000,1)+(2.5-_xlfn.RANK.AVG($O7,($J7,$O7,$T7,$Y7)))*20+IF(_xlfn.RANK.EQ($O7,($J7,$O7,$T7,$Y7))=1,20/((_xlfn.RANK.AVG($O7,($J7,$O7,$T7,$Y7))-1)*2+1),0))</f>
        <v>-19.5</v>
      </c>
      <c r="AB7" s="51">
        <f>IF($T7="","",ROUND(($T7-30000)/1000,1)+(2.5-_xlfn.RANK.AVG($T7,($J7,$O7,$T7,$Y7)))*20+IF(_xlfn.RANK.EQ($T7,($J7,$O7,$T7,$Y7))=1,20/((_xlfn.RANK.AVG($T7,($J7,$O7,$T7,$Y7))-1)*2+1),0))</f>
        <v>55.1</v>
      </c>
      <c r="AC7" s="52">
        <f>IF($Y7="","",ROUND(($Y7-30000)/1000,1)+(2.5-_xlfn.RANK.AVG($Y7,($J7,$O7,$T7,$Y7)))*20+IF(_xlfn.RANK.EQ($Y7,($J7,$O7,$T7,$Y7))=1,20/((_xlfn.RANK.AVG($Y7,($J7,$O7,$T7,$Y7))-1)*2+1),0))</f>
        <v>9.5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>
        <v>2</v>
      </c>
      <c r="CU7" s="27">
        <v>30</v>
      </c>
      <c r="CV7" s="37" t="s">
        <v>82</v>
      </c>
      <c r="CW7" s="38" t="s">
        <v>78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206</v>
      </c>
      <c r="F8" s="5" t="s">
        <v>198</v>
      </c>
      <c r="G8" s="6">
        <v>-5200</v>
      </c>
      <c r="H8" s="6"/>
      <c r="I8" s="45">
        <v>0</v>
      </c>
      <c r="J8" s="18">
        <f t="shared" si="2"/>
        <v>9700</v>
      </c>
      <c r="K8" s="5" t="s">
        <v>199</v>
      </c>
      <c r="L8" s="6">
        <v>5200</v>
      </c>
      <c r="M8" s="6">
        <v>1000</v>
      </c>
      <c r="N8" s="45">
        <v>0</v>
      </c>
      <c r="O8" s="18">
        <f t="shared" si="8"/>
        <v>26700</v>
      </c>
      <c r="P8" s="5"/>
      <c r="Q8" s="6"/>
      <c r="R8" s="6">
        <v>-1000</v>
      </c>
      <c r="S8" s="45"/>
      <c r="T8" s="18">
        <f t="shared" si="3"/>
        <v>34100</v>
      </c>
      <c r="U8" s="5"/>
      <c r="V8" s="6"/>
      <c r="W8" s="6"/>
      <c r="X8" s="45"/>
      <c r="Y8" s="18">
        <f t="shared" si="4"/>
        <v>29500</v>
      </c>
      <c r="Z8" s="50">
        <f>IF($J8="","",ROUND(($J8-30000)/1000,1)+(2.5-_xlfn.RANK.AVG($J8,($J8,$O8,$T8,$Y8)))*20+IF(_xlfn.RANK.EQ($J8,($J8,$O8,$T8,$Y8))=1,20/((_xlfn.RANK.AVG($J8,($J8,$O8,$T8,$Y8))-1)*2+1),0))</f>
        <v>-50.3</v>
      </c>
      <c r="AA8" s="51">
        <f>IF($O8="","",ROUND(($O8-30000)/1000,1)+(2.5-_xlfn.RANK.AVG($O8,($J8,$O8,$T8,$Y8)))*20+IF(_xlfn.RANK.EQ($O8,($J8,$O8,$T8,$Y8))=1,20/((_xlfn.RANK.AVG($O8,($J8,$O8,$T8,$Y8))-1)*2+1),0))</f>
        <v>-13.3</v>
      </c>
      <c r="AB8" s="51">
        <f>IF($T8="","",ROUND(($T8-30000)/1000,1)+(2.5-_xlfn.RANK.AVG($T8,($J8,$O8,$T8,$Y8)))*20+IF(_xlfn.RANK.EQ($T8,($J8,$O8,$T8,$Y8))=1,20/((_xlfn.RANK.AVG($T8,($J8,$O8,$T8,$Y8))-1)*2+1),0))</f>
        <v>54.1</v>
      </c>
      <c r="AC8" s="52">
        <f>IF($Y8="","",ROUND(($Y8-30000)/1000,1)+(2.5-_xlfn.RANK.AVG($Y8,($J8,$O8,$T8,$Y8)))*20+IF(_xlfn.RANK.EQ($Y8,($J8,$O8,$T8,$Y8))=1,20/((_xlfn.RANK.AVG($Y8,($J8,$O8,$T8,$Y8))-1)*2+1),0))</f>
        <v>9.5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3</v>
      </c>
      <c r="BE8" s="27">
        <v>40</v>
      </c>
      <c r="BF8" s="37" t="s">
        <v>194</v>
      </c>
      <c r="BG8" s="38" t="s">
        <v>197</v>
      </c>
      <c r="BH8" s="38" t="s">
        <v>79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200</v>
      </c>
      <c r="F9" s="5" t="s">
        <v>192</v>
      </c>
      <c r="G9" s="6">
        <v>-2000</v>
      </c>
      <c r="H9" s="6"/>
      <c r="I9" s="45">
        <v>0</v>
      </c>
      <c r="J9" s="18">
        <f t="shared" si="2"/>
        <v>7700</v>
      </c>
      <c r="K9" s="5" t="s">
        <v>192</v>
      </c>
      <c r="L9" s="6">
        <v>-1000</v>
      </c>
      <c r="M9" s="6"/>
      <c r="N9" s="45">
        <v>0</v>
      </c>
      <c r="O9" s="18">
        <f t="shared" si="8"/>
        <v>25700</v>
      </c>
      <c r="P9" s="5" t="s">
        <v>192</v>
      </c>
      <c r="Q9" s="6">
        <v>-1000</v>
      </c>
      <c r="R9" s="6"/>
      <c r="S9" s="45">
        <v>0</v>
      </c>
      <c r="T9" s="18">
        <f t="shared" si="3"/>
        <v>33100</v>
      </c>
      <c r="U9" s="5" t="s">
        <v>193</v>
      </c>
      <c r="V9" s="6">
        <v>4000</v>
      </c>
      <c r="W9" s="6"/>
      <c r="X9" s="45">
        <v>0</v>
      </c>
      <c r="Y9" s="18">
        <f t="shared" si="4"/>
        <v>33500</v>
      </c>
      <c r="Z9" s="50">
        <f>IF($J9="","",ROUND(($J9-30000)/1000,1)+(2.5-_xlfn.RANK.AVG($J9,($J9,$O9,$T9,$Y9)))*20+IF(_xlfn.RANK.EQ($J9,($J9,$O9,$T9,$Y9))=1,20/((_xlfn.RANK.AVG($J9,($J9,$O9,$T9,$Y9))-1)*2+1),0))</f>
        <v>-52.3</v>
      </c>
      <c r="AA9" s="51">
        <f>IF($O9="","",ROUND(($O9-30000)/1000,1)+(2.5-_xlfn.RANK.AVG($O9,($J9,$O9,$T9,$Y9)))*20+IF(_xlfn.RANK.EQ($O9,($J9,$O9,$T9,$Y9))=1,20/((_xlfn.RANK.AVG($O9,($J9,$O9,$T9,$Y9))-1)*2+1),0))</f>
        <v>-14.3</v>
      </c>
      <c r="AB9" s="51">
        <f>IF($T9="","",ROUND(($T9-30000)/1000,1)+(2.5-_xlfn.RANK.AVG($T9,($J9,$O9,$T9,$Y9)))*20+IF(_xlfn.RANK.EQ($T9,($J9,$O9,$T9,$Y9))=1,20/((_xlfn.RANK.AVG($T9,($J9,$O9,$T9,$Y9))-1)*2+1),0))</f>
        <v>13.1</v>
      </c>
      <c r="AC9" s="52">
        <f>IF($Y9="","",ROUND(($Y9-30000)/1000,1)+(2.5-_xlfn.RANK.AVG($Y9,($J9,$O9,$T9,$Y9)))*20+IF(_xlfn.RANK.EQ($Y9,($J9,$O9,$T9,$Y9))=1,20/((_xlfn.RANK.AVG($Y9,($J9,$O9,$T9,$Y9))-1)*2+1),0))</f>
        <v>53.5</v>
      </c>
      <c r="AE9" s="5"/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194</v>
      </c>
      <c r="CW9" s="38" t="s">
        <v>81</v>
      </c>
      <c r="CX9" s="38" t="s">
        <v>197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">
        <v>202</v>
      </c>
      <c r="F10" s="5" t="s">
        <v>192</v>
      </c>
      <c r="G10" s="6">
        <v>-300</v>
      </c>
      <c r="H10" s="6"/>
      <c r="I10" s="45">
        <v>0</v>
      </c>
      <c r="J10" s="18">
        <f t="shared" si="2"/>
        <v>7400</v>
      </c>
      <c r="K10" s="5" t="s">
        <v>192</v>
      </c>
      <c r="L10" s="6">
        <v>-500</v>
      </c>
      <c r="M10" s="6"/>
      <c r="N10" s="45">
        <v>0</v>
      </c>
      <c r="O10" s="18">
        <f t="shared" si="8"/>
        <v>25200</v>
      </c>
      <c r="P10" s="5" t="s">
        <v>193</v>
      </c>
      <c r="Q10" s="6">
        <v>1100</v>
      </c>
      <c r="R10" s="6">
        <v>0</v>
      </c>
      <c r="S10" s="45">
        <v>0</v>
      </c>
      <c r="T10" s="18">
        <f t="shared" si="3"/>
        <v>34200</v>
      </c>
      <c r="U10" s="5" t="s">
        <v>192</v>
      </c>
      <c r="V10" s="6">
        <v>-300</v>
      </c>
      <c r="W10" s="6"/>
      <c r="X10" s="45">
        <v>0</v>
      </c>
      <c r="Y10" s="18">
        <f t="shared" si="4"/>
        <v>33200</v>
      </c>
      <c r="Z10" s="50">
        <f>IF($J10="","",ROUND(($J10-30000)/1000,1)+(2.5-_xlfn.RANK.AVG($J10,($J10,$O10,$T10,$Y10)))*20+IF(_xlfn.RANK.EQ($J10,($J10,$O10,$T10,$Y10))=1,20/((_xlfn.RANK.AVG($J10,($J10,$O10,$T10,$Y10))-1)*2+1),0))</f>
        <v>-52.6</v>
      </c>
      <c r="AA10" s="51">
        <f>IF($O10="","",ROUND(($O10-30000)/1000,1)+(2.5-_xlfn.RANK.AVG($O10,($J10,$O10,$T10,$Y10)))*20+IF(_xlfn.RANK.EQ($O10,($J10,$O10,$T10,$Y10))=1,20/((_xlfn.RANK.AVG($O10,($J10,$O10,$T10,$Y10))-1)*2+1),0))</f>
        <v>-14.8</v>
      </c>
      <c r="AB10" s="51">
        <f>IF($T10="","",ROUND(($T10-30000)/1000,1)+(2.5-_xlfn.RANK.AVG($T10,($J10,$O10,$T10,$Y10)))*20+IF(_xlfn.RANK.EQ($T10,($J10,$O10,$T10,$Y10))=1,20/((_xlfn.RANK.AVG($T10,($J10,$O10,$T10,$Y10))-1)*2+1),0))</f>
        <v>54.2</v>
      </c>
      <c r="AC10" s="52">
        <f>IF($Y10="","",ROUND(($Y10-30000)/1000,1)+(2.5-_xlfn.RANK.AVG($Y10,($J10,$O10,$T10,$Y10)))*20+IF(_xlfn.RANK.EQ($Y10,($J10,$O10,$T10,$Y10))=1,20/((_xlfn.RANK.AVG($Y10,($J10,$O10,$T10,$Y10))-1)*2+1),0))</f>
        <v>13.2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>
        <v>1</v>
      </c>
      <c r="BZ10" s="27">
        <v>30</v>
      </c>
      <c r="CA10" s="37" t="s">
        <v>85</v>
      </c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03C80167-5EEB-41CB-BE7C-CC1A190C0D26}">
      <formula1>"ロン,ツモ,放銃,ツモ支払,流局,チョンボ"</formula1>
    </dataValidation>
    <dataValidation type="list" allowBlank="1" showInputMessage="1" showErrorMessage="1" sqref="E4:E30" xr:uid="{891549F6-F722-49C8-B0F2-8ACAD026404F}">
      <formula1>$Z$2:$AC$2</formula1>
    </dataValidation>
    <dataValidation type="list" allowBlank="1" showInputMessage="1" sqref="F1:Y1" xr:uid="{E6B798D0-CC97-4B36-A863-34CD6A23AD9D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2019-12-08T07:47:04Z</dcterms:modified>
</cp:coreProperties>
</file>