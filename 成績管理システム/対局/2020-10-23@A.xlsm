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対局\"/>
    </mc:Choice>
  </mc:AlternateContent>
  <xr:revisionPtr revIDLastSave="0" documentId="13_ncr:1_{9147C87F-4846-43D4-A3E9-E3DC82F5843F}" xr6:coauthVersionLast="45" xr6:coauthVersionMax="45" xr10:uidLastSave="{00000000-0000-0000-0000-000000000000}"/>
  <bookViews>
    <workbookView xWindow="-108" yWindow="-108" windowWidth="23256" windowHeight="12720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3" i="28" l="1"/>
  <c r="E12" i="28"/>
  <c r="D12" i="28" s="1"/>
  <c r="E11" i="28"/>
  <c r="E10" i="28"/>
  <c r="D10" i="28" s="1"/>
  <c r="D11" i="28" s="1"/>
  <c r="E9" i="28"/>
  <c r="C9" i="28" s="1"/>
  <c r="E8" i="28"/>
  <c r="C8" i="28" s="1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B13" i="28"/>
  <c r="Y12" i="28"/>
  <c r="T12" i="28"/>
  <c r="O12" i="28"/>
  <c r="J12" i="28"/>
  <c r="Z12" i="28" s="1"/>
  <c r="C6" i="28"/>
  <c r="C7" i="28" s="1"/>
  <c r="D6" i="28"/>
  <c r="D7" i="28" s="1"/>
  <c r="Y5" i="28"/>
  <c r="Y6" i="28" s="1"/>
  <c r="D5" i="28"/>
  <c r="Y4" i="28"/>
  <c r="T4" i="28"/>
  <c r="T5" i="28" s="1"/>
  <c r="O4" i="28"/>
  <c r="O5" i="28" s="1"/>
  <c r="J4" i="28"/>
  <c r="J5" i="28" s="1"/>
  <c r="E4" i="28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11" i="27"/>
  <c r="E10" i="27"/>
  <c r="E9" i="27"/>
  <c r="E8" i="27"/>
  <c r="E7" i="27"/>
  <c r="E6" i="27"/>
  <c r="E5" i="27"/>
  <c r="C13" i="28" l="1"/>
  <c r="D13" i="28"/>
  <c r="AB12" i="28"/>
  <c r="AC12" i="28"/>
  <c r="AA12" i="28"/>
  <c r="B12" i="28"/>
  <c r="A12" i="28" s="1"/>
  <c r="C12" i="28"/>
  <c r="D8" i="28"/>
  <c r="AC4" i="28"/>
  <c r="Z5" i="28"/>
  <c r="J6" i="28"/>
  <c r="O6" i="28"/>
  <c r="AA5" i="28"/>
  <c r="T6" i="28"/>
  <c r="AB5" i="28"/>
  <c r="Y7" i="28"/>
  <c r="C10" i="28"/>
  <c r="C11" i="28" s="1"/>
  <c r="Z4" i="28"/>
  <c r="AB4" i="28"/>
  <c r="D9" i="28"/>
  <c r="C5" i="28"/>
  <c r="B5" i="28"/>
  <c r="A5" i="28" s="1"/>
  <c r="AC5" i="28"/>
  <c r="AA4" i="28"/>
  <c r="AC6" i="28" l="1"/>
  <c r="Y8" i="28"/>
  <c r="B6" i="28"/>
  <c r="T7" i="28"/>
  <c r="AB6" i="28"/>
  <c r="O7" i="28"/>
  <c r="AA6" i="28"/>
  <c r="Z6" i="28"/>
  <c r="J7" i="28"/>
  <c r="E4" i="27"/>
  <c r="AA7" i="28" l="1"/>
  <c r="O8" i="28"/>
  <c r="T8" i="28"/>
  <c r="AB7" i="28"/>
  <c r="AC7" i="28"/>
  <c r="B7" i="28"/>
  <c r="A6" i="28"/>
  <c r="J8" i="28"/>
  <c r="Z7" i="28"/>
  <c r="Y9" i="28"/>
  <c r="O5" i="27"/>
  <c r="AC3" i="27"/>
  <c r="AA3" i="27"/>
  <c r="AB3" i="27"/>
  <c r="Z3" i="27"/>
  <c r="A7" i="28" l="1"/>
  <c r="Z8" i="28"/>
  <c r="J9" i="28"/>
  <c r="B8" i="28"/>
  <c r="A8" i="28" s="1"/>
  <c r="O9" i="28"/>
  <c r="AA8" i="28"/>
  <c r="AC8" i="28"/>
  <c r="Y10" i="28"/>
  <c r="T9" i="28"/>
  <c r="AB8" i="28"/>
  <c r="CP1" i="27"/>
  <c r="AC2" i="27"/>
  <c r="BU1" i="27"/>
  <c r="AB2" i="27"/>
  <c r="AZ1" i="27"/>
  <c r="AA2" i="27"/>
  <c r="AE1" i="27"/>
  <c r="Z2" i="27"/>
  <c r="AC9" i="28" l="1"/>
  <c r="T10" i="28"/>
  <c r="AB9" i="28"/>
  <c r="Z9" i="28"/>
  <c r="J10" i="28"/>
  <c r="AA9" i="28"/>
  <c r="O10" i="28"/>
  <c r="Y11" i="28"/>
  <c r="B9" i="28"/>
  <c r="A9" i="28" s="1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Y11" i="27"/>
  <c r="T11" i="27"/>
  <c r="O11" i="27"/>
  <c r="J11" i="27"/>
  <c r="Y10" i="27"/>
  <c r="T10" i="27"/>
  <c r="O10" i="27"/>
  <c r="J10" i="27"/>
  <c r="D10" i="27"/>
  <c r="D11" i="27" s="1"/>
  <c r="Y9" i="27"/>
  <c r="T9" i="27"/>
  <c r="O9" i="27"/>
  <c r="J9" i="27"/>
  <c r="D9" i="27"/>
  <c r="C9" i="27"/>
  <c r="C10" i="27" s="1"/>
  <c r="C11" i="27" s="1"/>
  <c r="J8" i="27"/>
  <c r="D8" i="27"/>
  <c r="C8" i="27"/>
  <c r="J7" i="27"/>
  <c r="J6" i="27"/>
  <c r="D6" i="27"/>
  <c r="D7" i="27" s="1"/>
  <c r="C6" i="27"/>
  <c r="C7" i="27" s="1"/>
  <c r="B6" i="27"/>
  <c r="A6" i="27" s="1"/>
  <c r="J5" i="27"/>
  <c r="D5" i="27"/>
  <c r="C5" i="27"/>
  <c r="B5" i="27"/>
  <c r="A5" i="27" s="1"/>
  <c r="Y4" i="27"/>
  <c r="T4" i="27"/>
  <c r="O4" i="27"/>
  <c r="J4" i="27"/>
  <c r="AC10" i="28" l="1"/>
  <c r="O11" i="28"/>
  <c r="AC11" i="28" s="1"/>
  <c r="AA10" i="28"/>
  <c r="J11" i="28"/>
  <c r="Z10" i="28"/>
  <c r="B10" i="28"/>
  <c r="T11" i="28"/>
  <c r="AB10" i="28"/>
  <c r="B7" i="27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AA11" i="28" l="1"/>
  <c r="AB11" i="28"/>
  <c r="B11" i="28"/>
  <c r="A11" i="28" s="1"/>
  <c r="A10" i="28"/>
  <c r="Z11" i="28"/>
  <c r="A7" i="27"/>
  <c r="B8" i="27"/>
  <c r="Z5" i="27"/>
  <c r="AB5" i="27"/>
  <c r="AA5" i="27"/>
  <c r="AC5" i="27"/>
  <c r="Y7" i="27"/>
  <c r="O8" i="27"/>
  <c r="T6" i="27"/>
  <c r="A8" i="27" l="1"/>
  <c r="B9" i="27"/>
  <c r="AC6" i="27"/>
  <c r="AB6" i="27"/>
  <c r="Z6" i="27"/>
  <c r="AA6" i="27"/>
  <c r="Y8" i="27"/>
  <c r="T7" i="27"/>
  <c r="A9" i="27" l="1"/>
  <c r="B10" i="27"/>
  <c r="AB7" i="27"/>
  <c r="Z7" i="27"/>
  <c r="AA7" i="27"/>
  <c r="AC7" i="27"/>
  <c r="T8" i="27"/>
  <c r="A10" i="27" l="1"/>
  <c r="B11" i="27"/>
  <c r="AC8" i="27"/>
  <c r="AB8" i="27"/>
  <c r="Z8" i="27"/>
  <c r="AA8" i="27"/>
  <c r="A11" i="27" l="1"/>
  <c r="B12" i="27"/>
  <c r="A12" i="27" l="1"/>
</calcChain>
</file>

<file path=xl/sharedStrings.xml><?xml version="1.0" encoding="utf-8"?>
<sst xmlns="http://schemas.openxmlformats.org/spreadsheetml/2006/main" count="681" uniqueCount="178">
  <si>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</si>
  <si>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</si>
  <si>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</si>
  <si>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</si>
  <si>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</si>
  <si>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</si>
  <si>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</si>
  <si>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</si>
  <si>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</si>
  <si>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</si>
  <si>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</si>
  <si>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</si>
  <si>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</si>
  <si>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</si>
  <si>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</si>
  <si>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</si>
  <si>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</si>
  <si>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</si>
  <si>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</si>
  <si>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</si>
  <si>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</si>
  <si>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</si>
  <si>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</si>
  <si>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</si>
  <si>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</si>
  <si>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</si>
  <si>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</si>
  <si>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</si>
  <si>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</si>
  <si>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</si>
  <si>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</si>
  <si>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</si>
  <si>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</si>
  <si>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</si>
  <si>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</si>
  <si>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</si>
  <si>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</si>
  <si>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</si>
  <si>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</si>
  <si>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</si>
  <si>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</si>
  <si>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</si>
  <si>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</si>
  <si>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</si>
  <si>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</si>
  <si>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</si>
  <si>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</si>
  <si>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</si>
  <si>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</si>
  <si>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</si>
  <si>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</si>
  <si>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</si>
  <si>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</si>
  <si>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</si>
  <si>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</si>
  <si>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</si>
  <si>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</si>
  <si>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</si>
  <si>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</si>
  <si>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</si>
  <si>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</si>
  <si>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</si>
  <si>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</si>
  <si>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</si>
  <si>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</si>
  <si>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</si>
  <si>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</si>
  <si>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</si>
  <si>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</si>
  <si>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</si>
  <si>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</si>
  <si>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</si>
  <si>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</si>
  <si>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</si>
  <si>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</si>
  <si>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</si>
  <si>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</si>
  <si>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</si>
  <si>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</si>
  <si>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</si>
  <si>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</si>
  <si>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</si>
  <si>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</si>
  <si>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</si>
  <si>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</si>
  <si>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</si>
  <si>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</si>
  <si>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</si>
  <si>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</si>
  <si>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</si>
  <si>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</si>
  <si>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</si>
  <si>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</si>
  <si>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</si>
  <si>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</si>
  <si>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</si>
  <si>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</si>
  <si>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</si>
  <si>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</si>
  <si>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</si>
  <si>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</si>
  <si>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</si>
  <si>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</si>
  <si>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</si>
  <si>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</si>
  <si>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</si>
  <si>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</si>
  <si>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</si>
  <si>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</si>
  <si>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</si>
  <si>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</si>
  <si>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</si>
  <si>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</si>
  <si>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</si>
  <si>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</si>
  <si>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</si>
  <si>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</si>
  <si>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</si>
  <si>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</si>
  <si>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</si>
  <si>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</si>
  <si>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</si>
  <si>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</si>
  <si>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</si>
  <si>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</si>
  <si>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</si>
  <si>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</si>
  <si>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</si>
  <si>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</si>
  <si>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</si>
  <si>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</si>
  <si>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</si>
  <si>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</si>
  <si>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</si>
  <si>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</si>
  <si>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</si>
  <si>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</si>
  <si>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</si>
  <si>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</si>
  <si>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</si>
  <si>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</si>
  <si>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</si>
  <si>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</si>
  <si>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</si>
  <si>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</si>
  <si>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</si>
  <si>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</si>
  <si>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</si>
  <si>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</si>
  <si>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</si>
  <si>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</si>
  <si>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</si>
  <si>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</si>
  <si>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</si>
  <si>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</si>
  <si>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</si>
  <si>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</si>
  <si>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</si>
  <si>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</si>
  <si>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</si>
  <si>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</si>
  <si>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ロン</t>
  </si>
  <si>
    <t>放銃</t>
  </si>
  <si>
    <t>01</t>
  </si>
  <si>
    <t>佐藤成浩</t>
  </si>
  <si>
    <t>北沢蓮太郎</t>
  </si>
  <si>
    <t>多田洋輔</t>
  </si>
  <si>
    <t>T</t>
  </si>
  <si>
    <t>N</t>
  </si>
  <si>
    <t>流局</t>
    <phoneticPr fontId="1"/>
  </si>
  <si>
    <t>ツモ</t>
  </si>
  <si>
    <t>ツモ支払</t>
  </si>
  <si>
    <t>52</t>
  </si>
  <si>
    <t>*</t>
  </si>
  <si>
    <t>02</t>
  </si>
  <si>
    <t>川上翔大</t>
    <rPh sb="0" eb="2">
      <t>カワカミ</t>
    </rPh>
    <rPh sb="2" eb="4">
      <t>ショウタ</t>
    </rPh>
    <phoneticPr fontId="1"/>
  </si>
  <si>
    <t>川上翔大</t>
    <phoneticPr fontId="1"/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</si>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</sst>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2" t="s">
        <v>175</v>
      </c>
      <c r="G1" s="73"/>
      <c r="H1" s="73"/>
      <c r="I1" s="74"/>
      <c r="J1" s="75"/>
      <c r="K1" s="72" t="s">
        <v>164</v>
      </c>
      <c r="L1" s="73"/>
      <c r="M1" s="73"/>
      <c r="N1" s="74"/>
      <c r="O1" s="75"/>
      <c r="P1" s="72" t="s">
        <v>165</v>
      </c>
      <c r="Q1" s="73"/>
      <c r="R1" s="73"/>
      <c r="S1" s="74"/>
      <c r="T1" s="75"/>
      <c r="U1" s="72" t="s">
        <v>166</v>
      </c>
      <c r="V1" s="73"/>
      <c r="W1" s="73"/>
      <c r="X1" s="74"/>
      <c r="Y1" s="75"/>
      <c r="Z1" s="72" t="s">
        <v>6</v>
      </c>
      <c r="AA1" s="82"/>
      <c r="AB1" s="73"/>
      <c r="AC1" s="75"/>
      <c r="AE1" s="72" t="str">
        <f>IF($F$1="","",$F$1)</f>
        <v>川上翔大</v>
      </c>
      <c r="AF1" s="82" t="str">
        <f t="shared" ref="AF1:AY1" si="0">$F$1</f>
        <v>川上翔大</v>
      </c>
      <c r="AG1" s="73" t="str">
        <f t="shared" si="0"/>
        <v>川上翔大</v>
      </c>
      <c r="AH1" s="73" t="str">
        <f t="shared" si="0"/>
        <v>川上翔大</v>
      </c>
      <c r="AI1" s="73" t="str">
        <f t="shared" si="0"/>
        <v>川上翔大</v>
      </c>
      <c r="AJ1" s="73" t="str">
        <f t="shared" si="0"/>
        <v>川上翔大</v>
      </c>
      <c r="AK1" s="73" t="str">
        <f t="shared" si="0"/>
        <v>川上翔大</v>
      </c>
      <c r="AL1" s="73" t="str">
        <f t="shared" si="0"/>
        <v>川上翔大</v>
      </c>
      <c r="AM1" s="73" t="str">
        <f t="shared" si="0"/>
        <v>川上翔大</v>
      </c>
      <c r="AN1" s="73" t="str">
        <f t="shared" si="0"/>
        <v>川上翔大</v>
      </c>
      <c r="AO1" s="73" t="str">
        <f t="shared" si="0"/>
        <v>川上翔大</v>
      </c>
      <c r="AP1" s="73" t="str">
        <f t="shared" si="0"/>
        <v>川上翔大</v>
      </c>
      <c r="AQ1" s="73" t="str">
        <f t="shared" si="0"/>
        <v>川上翔大</v>
      </c>
      <c r="AR1" s="73" t="str">
        <f t="shared" si="0"/>
        <v>川上翔大</v>
      </c>
      <c r="AS1" s="73" t="str">
        <f t="shared" si="0"/>
        <v>川上翔大</v>
      </c>
      <c r="AT1" s="73" t="str">
        <f t="shared" si="0"/>
        <v>川上翔大</v>
      </c>
      <c r="AU1" s="73" t="str">
        <f t="shared" si="0"/>
        <v>川上翔大</v>
      </c>
      <c r="AV1" s="73" t="str">
        <f t="shared" si="0"/>
        <v>川上翔大</v>
      </c>
      <c r="AW1" s="73" t="str">
        <f t="shared" si="0"/>
        <v>川上翔大</v>
      </c>
      <c r="AX1" s="73" t="str">
        <f t="shared" si="0"/>
        <v>川上翔大</v>
      </c>
      <c r="AY1" s="75" t="str">
        <f t="shared" si="0"/>
        <v>川上翔大</v>
      </c>
      <c r="AZ1" s="72" t="str">
        <f>IF($K$1="","",$K$1)</f>
        <v>佐藤成浩</v>
      </c>
      <c r="BA1" s="82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5"/>
      <c r="BU1" s="72" t="str">
        <f>IF($P$1="","",$P$1)</f>
        <v>北沢蓮太郎</v>
      </c>
      <c r="BV1" s="82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5"/>
      <c r="CP1" s="72" t="str">
        <f>IF($U$1="","",$U$1)</f>
        <v>多田洋輔</v>
      </c>
      <c r="CQ1" s="82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5"/>
    </row>
    <row r="2" spans="1:114" x14ac:dyDescent="0.45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>川上翔大</v>
      </c>
      <c r="AA2" s="61" t="str">
        <f>IF($K$1="","",$K$1)</f>
        <v>佐藤成浩</v>
      </c>
      <c r="AB2" s="61" t="str">
        <f>IF($P$1="","",$P$1)</f>
        <v>北沢蓮太郎</v>
      </c>
      <c r="AC2" s="13" t="str">
        <f>IF($U$1="","",$U$1)</f>
        <v>多田洋輔</v>
      </c>
      <c r="AE2" s="56" t="s">
        <v>22</v>
      </c>
      <c r="AF2" s="59" t="s">
        <v>25</v>
      </c>
      <c r="AG2" s="57" t="s">
        <v>23</v>
      </c>
      <c r="AH2" s="57" t="s">
        <v>110</v>
      </c>
      <c r="AI2" s="57" t="s">
        <v>18</v>
      </c>
      <c r="AJ2" s="58" t="s">
        <v>19</v>
      </c>
      <c r="AK2" s="83" t="s">
        <v>20</v>
      </c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56" t="s">
        <v>22</v>
      </c>
      <c r="BA2" s="59" t="s">
        <v>25</v>
      </c>
      <c r="BB2" s="57" t="s">
        <v>23</v>
      </c>
      <c r="BC2" s="57" t="s">
        <v>111</v>
      </c>
      <c r="BD2" s="57" t="s">
        <v>18</v>
      </c>
      <c r="BE2" s="58" t="s">
        <v>19</v>
      </c>
      <c r="BF2" s="83" t="s">
        <v>20</v>
      </c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56" t="s">
        <v>22</v>
      </c>
      <c r="BV2" s="59" t="s">
        <v>25</v>
      </c>
      <c r="BW2" s="57" t="s">
        <v>23</v>
      </c>
      <c r="BX2" s="57" t="s">
        <v>111</v>
      </c>
      <c r="BY2" s="57" t="s">
        <v>18</v>
      </c>
      <c r="BZ2" s="58" t="s">
        <v>19</v>
      </c>
      <c r="CA2" s="83" t="s">
        <v>20</v>
      </c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56" t="s">
        <v>22</v>
      </c>
      <c r="CQ2" s="59" t="s">
        <v>25</v>
      </c>
      <c r="CR2" s="57" t="s">
        <v>23</v>
      </c>
      <c r="CS2" s="57" t="s">
        <v>111</v>
      </c>
      <c r="CT2" s="57" t="s">
        <v>18</v>
      </c>
      <c r="CU2" s="58" t="s">
        <v>19</v>
      </c>
      <c r="CV2" s="83" t="s">
        <v>20</v>
      </c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川上翔大</v>
      </c>
      <c r="F4" s="5" t="s">
        <v>169</v>
      </c>
      <c r="G4" s="6">
        <v>1500</v>
      </c>
      <c r="H4" s="6">
        <v>-1000</v>
      </c>
      <c r="I4" s="45"/>
      <c r="J4" s="18">
        <f>IF(COUNTA($F4,$K4,$P4,$U4)&gt;0,J3+SUM(G4:I4),"")</f>
        <v>25500</v>
      </c>
      <c r="K4" s="5" t="s">
        <v>169</v>
      </c>
      <c r="L4" s="6">
        <v>-1500</v>
      </c>
      <c r="M4" s="6"/>
      <c r="N4" s="45"/>
      <c r="O4" s="18">
        <f>IF(COUNTA($F4,$K4,$P4,$U4)&gt;0,O3+SUM(L4:N4),"")</f>
        <v>23500</v>
      </c>
      <c r="P4" s="5" t="s">
        <v>169</v>
      </c>
      <c r="Q4" s="6">
        <v>-1500</v>
      </c>
      <c r="R4" s="6">
        <v>-1000</v>
      </c>
      <c r="S4" s="45"/>
      <c r="T4" s="18">
        <f>IF(COUNTA($F4,$K4,$P4,$U4)&gt;0,T3+SUM(Q4:S4),"")</f>
        <v>22500</v>
      </c>
      <c r="U4" s="5" t="s">
        <v>169</v>
      </c>
      <c r="V4" s="6">
        <v>1500</v>
      </c>
      <c r="W4" s="6">
        <v>-1000</v>
      </c>
      <c r="X4" s="45"/>
      <c r="Y4" s="18">
        <f>IF(COUNTA($F4,$K4,$P4,$U4)&gt;0,Y3+SUM(V4:X4),"")</f>
        <v>25500</v>
      </c>
      <c r="Z4" s="50">
        <f>IF($J4="","",ROUND(($J4-30000)/1000,1)+(2.5-_xlfn.RANK.AVG($J4,($J4,$O4,$T4,$Y4)))*20+IF(_xlfn.RANK.EQ($J4,($J4,$O4,$T4,$Y4))=1,20/((_xlfn.RANK.AVG($J4,($J4,$O4,$T4,$Y4))-1)*2+1),0))</f>
        <v>25.5</v>
      </c>
      <c r="AA4" s="51">
        <f>IF($O4="","",ROUND(($O4-30000)/1000,1)+(2.5-_xlfn.RANK.AVG($O4,($J4,$O4,$T4,$Y4)))*20+IF(_xlfn.RANK.EQ($O4,($J4,$O4,$T4,$Y4))=1,20/((_xlfn.RANK.AVG($O4,($J4,$O4,$T4,$Y4))-1)*2+1),0))</f>
        <v>-16.5</v>
      </c>
      <c r="AB4" s="51">
        <f>IF($T4="","",ROUND(($T4-30000)/1000,1)+(2.5-_xlfn.RANK.AVG($T4,($J4,$O4,$T4,$Y4)))*20+IF(_xlfn.RANK.EQ($T4,($J4,$O4,$T4,$Y4))=1,20/((_xlfn.RANK.AVG($T4,($J4,$O4,$T4,$Y4))-1)*2+1),0))</f>
        <v>-37.5</v>
      </c>
      <c r="AC4" s="52">
        <f>IF($Y4="","",ROUND(($Y4-30000)/1000,1)+(2.5-_xlfn.RANK.AVG($Y4,($J4,$O4,$T4,$Y4)))*20+IF(_xlfn.RANK.EQ($Y4,($J4,$O4,$T4,$Y4))=1,20/((_xlfn.RANK.AVG($Y4,($J4,$O4,$T4,$Y4))-1)*2+1),0))</f>
        <v>25.5</v>
      </c>
      <c r="AE4" s="5" t="s">
        <v>167</v>
      </c>
      <c r="AF4" s="31"/>
      <c r="AG4" s="23">
        <v>1</v>
      </c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 t="s">
        <v>168</v>
      </c>
      <c r="BA4" s="31"/>
      <c r="BB4" s="23"/>
      <c r="BC4" s="23">
        <v>1</v>
      </c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 t="s">
        <v>168</v>
      </c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 t="s">
        <v>167</v>
      </c>
      <c r="CQ4" s="31"/>
      <c r="CR4" s="23">
        <v>1</v>
      </c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3</v>
      </c>
      <c r="E5" s="63" t="str">
        <f>IF($F$1="","",$F$1)</f>
        <v>川上翔大</v>
      </c>
      <c r="F5" s="5"/>
      <c r="G5" s="6"/>
      <c r="H5" s="6"/>
      <c r="I5" s="45"/>
      <c r="J5" s="18">
        <f t="shared" ref="J5:J30" si="2">IF(COUNTA($F5,$K5,$P5,$U5)&gt;0,J4+SUM(G5:I5),"")</f>
        <v>25500</v>
      </c>
      <c r="K5" s="5" t="s">
        <v>162</v>
      </c>
      <c r="L5" s="6">
        <v>-1300</v>
      </c>
      <c r="M5" s="6"/>
      <c r="N5" s="45">
        <v>-300</v>
      </c>
      <c r="O5" s="18">
        <f>IF(COUNTA($F5,$K5,$P5,$U5)&gt;0,O4+SUM(L5:N5),"")</f>
        <v>21900</v>
      </c>
      <c r="P5" s="5" t="s">
        <v>161</v>
      </c>
      <c r="Q5" s="6">
        <v>1300</v>
      </c>
      <c r="R5" s="6">
        <v>3000</v>
      </c>
      <c r="S5" s="45">
        <v>300</v>
      </c>
      <c r="T5" s="18">
        <f t="shared" ref="T5:T30" si="3">IF(COUNTA($F5,$K5,$P5,$U5)&gt;0,T4+SUM(Q5:S5),"")</f>
        <v>27100</v>
      </c>
      <c r="U5" s="5"/>
      <c r="V5" s="6"/>
      <c r="W5" s="6"/>
      <c r="X5" s="45"/>
      <c r="Y5" s="18">
        <f t="shared" ref="Y5:Y30" si="4">IF(COUNTA($F5,$K5,$P5,$U5)&gt;0,Y4+SUM(V5:X5),"")</f>
        <v>25500</v>
      </c>
      <c r="Z5" s="50">
        <f>IF($J5="","",ROUND(($J5-30000)/1000,1)+(2.5-_xlfn.RANK.AVG($J5,($J5,$O5,$T5,$Y5)))*20+IF(_xlfn.RANK.EQ($J5,($J5,$O5,$T5,$Y5))=1,20/((_xlfn.RANK.AVG($J5,($J5,$O5,$T5,$Y5))-1)*2+1),0))</f>
        <v>-4.5</v>
      </c>
      <c r="AA5" s="51">
        <f>IF($O5="","",ROUND(($O5-30000)/1000,1)+(2.5-_xlfn.RANK.AVG($O5,($J5,$O5,$T5,$Y5)))*20+IF(_xlfn.RANK.EQ($O5,($J5,$O5,$T5,$Y5))=1,20/((_xlfn.RANK.AVG($O5,($J5,$O5,$T5,$Y5))-1)*2+1),0))</f>
        <v>-38.1</v>
      </c>
      <c r="AB5" s="51">
        <f>IF($T5="","",ROUND(($T5-30000)/1000,1)+(2.5-_xlfn.RANK.AVG($T5,($J5,$O5,$T5,$Y5)))*20+IF(_xlfn.RANK.EQ($T5,($J5,$O5,$T5,$Y5))=1,20/((_xlfn.RANK.AVG($T5,($J5,$O5,$T5,$Y5))-1)*2+1),0))</f>
        <v>47.1</v>
      </c>
      <c r="AC5" s="52">
        <f>IF($Y5="","",ROUND(($Y5-30000)/1000,1)+(2.5-_xlfn.RANK.AVG($Y5,($J5,$O5,$T5,$Y5)))*20+IF(_xlfn.RANK.EQ($Y5,($J5,$O5,$T5,$Y5))=1,20/((_xlfn.RANK.AVG($Y5,($J5,$O5,$T5,$Y5))-1)*2+1),0))</f>
        <v>-4.5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>
        <v>1</v>
      </c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>
        <v>1</v>
      </c>
      <c r="BZ5" s="27">
        <v>40</v>
      </c>
      <c r="CA5" s="37" t="s">
        <v>76</v>
      </c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>
        <v>1</v>
      </c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IF($K$1="","",$K$1)</f>
        <v>佐藤成浩</v>
      </c>
      <c r="F6" s="5" t="s">
        <v>169</v>
      </c>
      <c r="G6" s="6">
        <v>1000</v>
      </c>
      <c r="H6" s="6">
        <v>-1000</v>
      </c>
      <c r="I6" s="45"/>
      <c r="J6" s="18">
        <f t="shared" si="2"/>
        <v>25500</v>
      </c>
      <c r="K6" s="5" t="s">
        <v>169</v>
      </c>
      <c r="L6" s="6">
        <v>1000</v>
      </c>
      <c r="M6" s="6">
        <v>-1000</v>
      </c>
      <c r="N6" s="45"/>
      <c r="O6" s="18">
        <f t="shared" ref="O6:O30" si="8">IF(COUNTA($F6,$K6,$P6,$U6)&gt;0,O5+SUM(L6:N6),"")</f>
        <v>21900</v>
      </c>
      <c r="P6" s="5" t="s">
        <v>169</v>
      </c>
      <c r="Q6" s="6">
        <v>-3000</v>
      </c>
      <c r="R6" s="6"/>
      <c r="S6" s="45"/>
      <c r="T6" s="18">
        <f t="shared" si="3"/>
        <v>24100</v>
      </c>
      <c r="U6" s="5" t="s">
        <v>169</v>
      </c>
      <c r="V6" s="6">
        <v>1000</v>
      </c>
      <c r="W6" s="6"/>
      <c r="X6" s="45"/>
      <c r="Y6" s="18">
        <f t="shared" si="4"/>
        <v>26500</v>
      </c>
      <c r="Z6" s="50">
        <f>IF($J6="","",ROUND(($J6-30000)/1000,1)+(2.5-_xlfn.RANK.AVG($J6,($J6,$O6,$T6,$Y6)))*20+IF(_xlfn.RANK.EQ($J6,($J6,$O6,$T6,$Y6))=1,20/((_xlfn.RANK.AVG($J6,($J6,$O6,$T6,$Y6))-1)*2+1),0))</f>
        <v>5.5</v>
      </c>
      <c r="AA6" s="51">
        <f>IF($O6="","",ROUND(($O6-30000)/1000,1)+(2.5-_xlfn.RANK.AVG($O6,($J6,$O6,$T6,$Y6)))*20+IF(_xlfn.RANK.EQ($O6,($J6,$O6,$T6,$Y6))=1,20/((_xlfn.RANK.AVG($O6,($J6,$O6,$T6,$Y6))-1)*2+1),0))</f>
        <v>-38.1</v>
      </c>
      <c r="AB6" s="51">
        <f>IF($T6="","",ROUND(($T6-30000)/1000,1)+(2.5-_xlfn.RANK.AVG($T6,($J6,$O6,$T6,$Y6)))*20+IF(_xlfn.RANK.EQ($T6,($J6,$O6,$T6,$Y6))=1,20/((_xlfn.RANK.AVG($T6,($J6,$O6,$T6,$Y6))-1)*2+1),0))</f>
        <v>-15.9</v>
      </c>
      <c r="AC6" s="52">
        <f>IF($Y6="","",ROUND(($Y6-30000)/1000,1)+(2.5-_xlfn.RANK.AVG($Y6,($J6,$O6,$T6,$Y6)))*20+IF(_xlfn.RANK.EQ($Y6,($J6,$O6,$T6,$Y6))=1,20/((_xlfn.RANK.AVG($Y6,($J6,$O6,$T6,$Y6))-1)*2+1),0))</f>
        <v>46.5</v>
      </c>
      <c r="AE6" s="5" t="s">
        <v>167</v>
      </c>
      <c r="AF6" s="31"/>
      <c r="AG6" s="23">
        <v>1</v>
      </c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 t="s">
        <v>167</v>
      </c>
      <c r="BA6" s="31"/>
      <c r="BB6" s="23">
        <v>1</v>
      </c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 t="s">
        <v>168</v>
      </c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 t="s">
        <v>167</v>
      </c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>東</v>
      </c>
      <c r="B7" s="15">
        <f t="shared" si="5"/>
        <v>2</v>
      </c>
      <c r="C7" s="15">
        <f t="shared" si="6"/>
        <v>1</v>
      </c>
      <c r="D7" s="15">
        <f t="shared" si="7"/>
        <v>2</v>
      </c>
      <c r="E7" s="63" t="str">
        <f>IF($K$1="","",$K$1)</f>
        <v>佐藤成浩</v>
      </c>
      <c r="F7" s="5" t="s">
        <v>170</v>
      </c>
      <c r="G7" s="6">
        <v>8000</v>
      </c>
      <c r="H7" s="6">
        <v>3000</v>
      </c>
      <c r="I7" s="45">
        <v>300</v>
      </c>
      <c r="J7" s="18">
        <f t="shared" si="2"/>
        <v>36800</v>
      </c>
      <c r="K7" s="5" t="s">
        <v>171</v>
      </c>
      <c r="L7" s="6">
        <v>-4000</v>
      </c>
      <c r="M7" s="6"/>
      <c r="N7" s="45">
        <v>-100</v>
      </c>
      <c r="O7" s="18">
        <f t="shared" si="8"/>
        <v>17800</v>
      </c>
      <c r="P7" s="5" t="s">
        <v>171</v>
      </c>
      <c r="Q7" s="6">
        <v>-2000</v>
      </c>
      <c r="R7" s="6">
        <v>-1000</v>
      </c>
      <c r="S7" s="45">
        <v>-100</v>
      </c>
      <c r="T7" s="18">
        <f t="shared" si="3"/>
        <v>21000</v>
      </c>
      <c r="U7" s="5" t="s">
        <v>171</v>
      </c>
      <c r="V7" s="6">
        <v>-2000</v>
      </c>
      <c r="W7" s="6"/>
      <c r="X7" s="45">
        <v>-100</v>
      </c>
      <c r="Y7" s="18">
        <f t="shared" si="4"/>
        <v>24400</v>
      </c>
      <c r="Z7" s="50">
        <f>IF($J7="","",ROUND(($J7-30000)/1000,1)+(2.5-_xlfn.RANK.AVG($J7,($J7,$O7,$T7,$Y7)))*20+IF(_xlfn.RANK.EQ($J7,($J7,$O7,$T7,$Y7))=1,20/((_xlfn.RANK.AVG($J7,($J7,$O7,$T7,$Y7))-1)*2+1),0))</f>
        <v>56.8</v>
      </c>
      <c r="AA7" s="51">
        <f>IF($O7="","",ROUND(($O7-30000)/1000,1)+(2.5-_xlfn.RANK.AVG($O7,($J7,$O7,$T7,$Y7)))*20+IF(_xlfn.RANK.EQ($O7,($J7,$O7,$T7,$Y7))=1,20/((_xlfn.RANK.AVG($O7,($J7,$O7,$T7,$Y7))-1)*2+1),0))</f>
        <v>-42.2</v>
      </c>
      <c r="AB7" s="51">
        <f>IF($T7="","",ROUND(($T7-30000)/1000,1)+(2.5-_xlfn.RANK.AVG($T7,($J7,$O7,$T7,$Y7)))*20+IF(_xlfn.RANK.EQ($T7,($J7,$O7,$T7,$Y7))=1,20/((_xlfn.RANK.AVG($T7,($J7,$O7,$T7,$Y7))-1)*2+1),0))</f>
        <v>-19</v>
      </c>
      <c r="AC7" s="52">
        <f>IF($Y7="","",ROUND(($Y7-30000)/1000,1)+(2.5-_xlfn.RANK.AVG($Y7,($J7,$O7,$T7,$Y7)))*20+IF(_xlfn.RANK.EQ($Y7,($J7,$O7,$T7,$Y7))=1,20/((_xlfn.RANK.AVG($Y7,($J7,$O7,$T7,$Y7))-1)*2+1),0))</f>
        <v>4.4000000000000004</v>
      </c>
      <c r="AE7" s="5"/>
      <c r="AF7" s="31"/>
      <c r="AG7" s="23">
        <v>1</v>
      </c>
      <c r="AH7" s="23"/>
      <c r="AI7" s="23">
        <v>4</v>
      </c>
      <c r="AJ7" s="27">
        <v>30</v>
      </c>
      <c r="AK7" s="37" t="s">
        <v>163</v>
      </c>
      <c r="AL7" s="38" t="s">
        <v>73</v>
      </c>
      <c r="AM7" s="38" t="s">
        <v>172</v>
      </c>
      <c r="AN7" s="38" t="s">
        <v>71</v>
      </c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>
        <v>1</v>
      </c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>東</v>
      </c>
      <c r="B8" s="15">
        <f t="shared" si="5"/>
        <v>3</v>
      </c>
      <c r="C8" s="15">
        <f t="shared" si="6"/>
        <v>0</v>
      </c>
      <c r="D8" s="15">
        <f>IF($E8="","",IF(OR($F7="流局",$F7="チョンボ"),D7+($H7+$M7+$R7+$W7)/-1000,0))</f>
        <v>0</v>
      </c>
      <c r="E8" s="63" t="str">
        <f>IF($P$1="","",$P$1)</f>
        <v>北沢蓮太郎</v>
      </c>
      <c r="F8" s="5" t="s">
        <v>171</v>
      </c>
      <c r="G8" s="6">
        <v>-3000</v>
      </c>
      <c r="H8" s="6"/>
      <c r="I8" s="45">
        <v>0</v>
      </c>
      <c r="J8" s="18">
        <f t="shared" si="2"/>
        <v>33800</v>
      </c>
      <c r="K8" s="5" t="s">
        <v>170</v>
      </c>
      <c r="L8" s="6">
        <v>12000</v>
      </c>
      <c r="M8" s="6"/>
      <c r="N8" s="45">
        <v>0</v>
      </c>
      <c r="O8" s="18">
        <f t="shared" si="8"/>
        <v>29800</v>
      </c>
      <c r="P8" s="5" t="s">
        <v>171</v>
      </c>
      <c r="Q8" s="6">
        <v>-6000</v>
      </c>
      <c r="R8" s="6"/>
      <c r="S8" s="45">
        <v>0</v>
      </c>
      <c r="T8" s="18">
        <f t="shared" si="3"/>
        <v>15000</v>
      </c>
      <c r="U8" s="5" t="s">
        <v>171</v>
      </c>
      <c r="V8" s="6">
        <v>-3000</v>
      </c>
      <c r="W8" s="6"/>
      <c r="X8" s="45">
        <v>0</v>
      </c>
      <c r="Y8" s="18">
        <f t="shared" si="4"/>
        <v>21400</v>
      </c>
      <c r="Z8" s="50">
        <f>IF($J8="","",ROUND(($J8-30000)/1000,1)+(2.5-_xlfn.RANK.AVG($J8,($J8,$O8,$T8,$Y8)))*20+IF(_xlfn.RANK.EQ($J8,($J8,$O8,$T8,$Y8))=1,20/((_xlfn.RANK.AVG($J8,($J8,$O8,$T8,$Y8))-1)*2+1),0))</f>
        <v>53.8</v>
      </c>
      <c r="AA8" s="51">
        <f>IF($O8="","",ROUND(($O8-30000)/1000,1)+(2.5-_xlfn.RANK.AVG($O8,($J8,$O8,$T8,$Y8)))*20+IF(_xlfn.RANK.EQ($O8,($J8,$O8,$T8,$Y8))=1,20/((_xlfn.RANK.AVG($O8,($J8,$O8,$T8,$Y8))-1)*2+1),0))</f>
        <v>9.8000000000000007</v>
      </c>
      <c r="AB8" s="51">
        <f>IF($T8="","",ROUND(($T8-30000)/1000,1)+(2.5-_xlfn.RANK.AVG($T8,($J8,$O8,$T8,$Y8)))*20+IF(_xlfn.RANK.EQ($T8,($J8,$O8,$T8,$Y8))=1,20/((_xlfn.RANK.AVG($T8,($J8,$O8,$T8,$Y8))-1)*2+1),0))</f>
        <v>-45</v>
      </c>
      <c r="AC8" s="52">
        <f>IF($Y8="","",ROUND(($Y8-30000)/1000,1)+(2.5-_xlfn.RANK.AVG($Y8,($J8,$O8,$T8,$Y8)))*20+IF(_xlfn.RANK.EQ($Y8,($J8,$O8,$T8,$Y8))=1,20/((_xlfn.RANK.AVG($Y8,($J8,$O8,$T8,$Y8))-1)*2+1),0))</f>
        <v>-18.600000000000001</v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>
        <v>1</v>
      </c>
      <c r="BC8" s="23"/>
      <c r="BD8" s="23">
        <v>6</v>
      </c>
      <c r="BE8" s="27" t="s">
        <v>173</v>
      </c>
      <c r="BF8" s="37" t="s">
        <v>163</v>
      </c>
      <c r="BG8" s="38" t="s">
        <v>73</v>
      </c>
      <c r="BH8" s="38" t="s">
        <v>174</v>
      </c>
      <c r="BI8" s="38" t="s">
        <v>77</v>
      </c>
      <c r="BJ8" s="38" t="s">
        <v>71</v>
      </c>
      <c r="BK8" s="38" t="s">
        <v>70</v>
      </c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63" t="str">
        <f>IF($U$1="","",$U$1)</f>
        <v>多田洋輔</v>
      </c>
      <c r="F9" s="5" t="s">
        <v>162</v>
      </c>
      <c r="G9" s="6">
        <v>-7700</v>
      </c>
      <c r="H9" s="6"/>
      <c r="I9" s="45">
        <v>0</v>
      </c>
      <c r="J9" s="18">
        <f t="shared" si="2"/>
        <v>26100</v>
      </c>
      <c r="K9" s="5"/>
      <c r="L9" s="6"/>
      <c r="M9" s="6"/>
      <c r="N9" s="45"/>
      <c r="O9" s="18">
        <f t="shared" si="8"/>
        <v>29800</v>
      </c>
      <c r="P9" s="5"/>
      <c r="Q9" s="6"/>
      <c r="R9" s="6"/>
      <c r="S9" s="45"/>
      <c r="T9" s="18">
        <f t="shared" si="3"/>
        <v>15000</v>
      </c>
      <c r="U9" s="5" t="s">
        <v>161</v>
      </c>
      <c r="V9" s="6">
        <v>7700</v>
      </c>
      <c r="W9" s="6"/>
      <c r="X9" s="45">
        <v>0</v>
      </c>
      <c r="Y9" s="18">
        <f t="shared" si="4"/>
        <v>29100</v>
      </c>
      <c r="Z9" s="50">
        <f>IF($J9="","",ROUND(($J9-30000)/1000,1)+(2.5-_xlfn.RANK.AVG($J9,($J9,$O9,$T9,$Y9)))*20+IF(_xlfn.RANK.EQ($J9,($J9,$O9,$T9,$Y9))=1,20/((_xlfn.RANK.AVG($J9,($J9,$O9,$T9,$Y9))-1)*2+1),0))</f>
        <v>-13.9</v>
      </c>
      <c r="AA9" s="51">
        <f>IF($O9="","",ROUND(($O9-30000)/1000,1)+(2.5-_xlfn.RANK.AVG($O9,($J9,$O9,$T9,$Y9)))*20+IF(_xlfn.RANK.EQ($O9,($J9,$O9,$T9,$Y9))=1,20/((_xlfn.RANK.AVG($O9,($J9,$O9,$T9,$Y9))-1)*2+1),0))</f>
        <v>49.8</v>
      </c>
      <c r="AB9" s="51">
        <f>IF($T9="","",ROUND(($T9-30000)/1000,1)+(2.5-_xlfn.RANK.AVG($T9,($J9,$O9,$T9,$Y9)))*20+IF(_xlfn.RANK.EQ($T9,($J9,$O9,$T9,$Y9))=1,20/((_xlfn.RANK.AVG($T9,($J9,$O9,$T9,$Y9))-1)*2+1),0))</f>
        <v>-45</v>
      </c>
      <c r="AC9" s="52">
        <f>IF($Y9="","",ROUND(($Y9-30000)/1000,1)+(2.5-_xlfn.RANK.AVG($Y9,($J9,$O9,$T9,$Y9)))*20+IF(_xlfn.RANK.EQ($Y9,($J9,$O9,$T9,$Y9))=1,20/((_xlfn.RANK.AVG($Y9,($J9,$O9,$T9,$Y9))-1)*2+1),0))</f>
        <v>9.1</v>
      </c>
      <c r="AE9" s="5"/>
      <c r="AF9" s="31"/>
      <c r="AG9" s="23"/>
      <c r="AH9" s="23">
        <v>1</v>
      </c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>
        <v>1</v>
      </c>
      <c r="CS9" s="23"/>
      <c r="CT9" s="23">
        <v>3</v>
      </c>
      <c r="CU9" s="27">
        <v>40</v>
      </c>
      <c r="CV9" s="37" t="s">
        <v>163</v>
      </c>
      <c r="CW9" s="38" t="s">
        <v>71</v>
      </c>
      <c r="CX9" s="38" t="s">
        <v>71</v>
      </c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1</v>
      </c>
      <c r="D10" s="15">
        <f t="shared" si="7"/>
        <v>0</v>
      </c>
      <c r="E10" s="63" t="str">
        <f>IF($U$1="","",$U$1)</f>
        <v>多田洋輔</v>
      </c>
      <c r="F10" s="5" t="s">
        <v>169</v>
      </c>
      <c r="G10" s="6">
        <v>1500</v>
      </c>
      <c r="H10" s="6"/>
      <c r="I10" s="45"/>
      <c r="J10" s="18">
        <f t="shared" si="2"/>
        <v>27600</v>
      </c>
      <c r="K10" s="5" t="s">
        <v>169</v>
      </c>
      <c r="L10" s="6">
        <v>1500</v>
      </c>
      <c r="M10" s="6">
        <v>-1000</v>
      </c>
      <c r="N10" s="45"/>
      <c r="O10" s="18">
        <f t="shared" si="8"/>
        <v>30300</v>
      </c>
      <c r="P10" s="5" t="s">
        <v>169</v>
      </c>
      <c r="Q10" s="6">
        <v>-1500</v>
      </c>
      <c r="R10" s="6"/>
      <c r="S10" s="45"/>
      <c r="T10" s="18">
        <f t="shared" si="3"/>
        <v>13500</v>
      </c>
      <c r="U10" s="5" t="s">
        <v>169</v>
      </c>
      <c r="V10" s="6">
        <v>-1500</v>
      </c>
      <c r="W10" s="6"/>
      <c r="X10" s="45"/>
      <c r="Y10" s="18">
        <f t="shared" si="4"/>
        <v>27600</v>
      </c>
      <c r="Z10" s="50">
        <f>IF($J10="","",ROUND(($J10-30000)/1000,1)+(2.5-_xlfn.RANK.AVG($J10,($J10,$O10,$T10,$Y10)))*20+IF(_xlfn.RANK.EQ($J10,($J10,$O10,$T10,$Y10))=1,20/((_xlfn.RANK.AVG($J10,($J10,$O10,$T10,$Y10))-1)*2+1),0))</f>
        <v>-2.4</v>
      </c>
      <c r="AA10" s="51">
        <f>IF($O10="","",ROUND(($O10-30000)/1000,1)+(2.5-_xlfn.RANK.AVG($O10,($J10,$O10,$T10,$Y10)))*20+IF(_xlfn.RANK.EQ($O10,($J10,$O10,$T10,$Y10))=1,20/((_xlfn.RANK.AVG($O10,($J10,$O10,$T10,$Y10))-1)*2+1),0))</f>
        <v>50.3</v>
      </c>
      <c r="AB10" s="51">
        <f>IF($T10="","",ROUND(($T10-30000)/1000,1)+(2.5-_xlfn.RANK.AVG($T10,($J10,$O10,$T10,$Y10)))*20+IF(_xlfn.RANK.EQ($T10,($J10,$O10,$T10,$Y10))=1,20/((_xlfn.RANK.AVG($T10,($J10,$O10,$T10,$Y10))-1)*2+1),0))</f>
        <v>-46.5</v>
      </c>
      <c r="AC10" s="52">
        <f>IF($Y10="","",ROUND(($Y10-30000)/1000,1)+(2.5-_xlfn.RANK.AVG($Y10,($J10,$O10,$T10,$Y10)))*20+IF(_xlfn.RANK.EQ($Y10,($J10,$O10,$T10,$Y10))=1,20/((_xlfn.RANK.AVG($Y10,($J10,$O10,$T10,$Y10))-1)*2+1),0))</f>
        <v>-2.4</v>
      </c>
      <c r="AE10" s="5" t="s">
        <v>167</v>
      </c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 t="s">
        <v>167</v>
      </c>
      <c r="BA10" s="31"/>
      <c r="BB10" s="23">
        <v>1</v>
      </c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 t="s">
        <v>168</v>
      </c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 t="s">
        <v>168</v>
      </c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2</v>
      </c>
      <c r="D11" s="15">
        <f t="shared" si="7"/>
        <v>1</v>
      </c>
      <c r="E11" s="63" t="str">
        <f>IF($F$1="","",$F$1)</f>
        <v>川上翔大</v>
      </c>
      <c r="F11" s="5" t="s">
        <v>162</v>
      </c>
      <c r="G11" s="6">
        <v>-2000</v>
      </c>
      <c r="H11" s="6"/>
      <c r="I11" s="45">
        <v>-600</v>
      </c>
      <c r="J11" s="18">
        <f t="shared" si="2"/>
        <v>25000</v>
      </c>
      <c r="K11" s="5" t="s">
        <v>161</v>
      </c>
      <c r="L11" s="6">
        <v>2000</v>
      </c>
      <c r="M11" s="6">
        <v>1000</v>
      </c>
      <c r="N11" s="45">
        <v>600</v>
      </c>
      <c r="O11" s="18">
        <f t="shared" si="8"/>
        <v>33900</v>
      </c>
      <c r="P11" s="5"/>
      <c r="Q11" s="6"/>
      <c r="R11" s="6"/>
      <c r="S11" s="45"/>
      <c r="T11" s="18">
        <f t="shared" si="3"/>
        <v>13500</v>
      </c>
      <c r="U11" s="5"/>
      <c r="V11" s="6"/>
      <c r="W11" s="6"/>
      <c r="X11" s="45"/>
      <c r="Y11" s="18">
        <f t="shared" si="4"/>
        <v>27600</v>
      </c>
      <c r="Z11" s="50">
        <f>IF($J11="","",ROUND(($J11-30000)/1000,1)+(2.5-_xlfn.RANK.AVG($J11,($J11,$O11,$T11,$Y11)))*20+IF(_xlfn.RANK.EQ($J11,($J11,$O11,$T11,$Y11))=1,20/((_xlfn.RANK.AVG($J11,($J11,$O11,$T11,$Y11))-1)*2+1),0))</f>
        <v>-15</v>
      </c>
      <c r="AA11" s="51">
        <f>IF($O11="","",ROUND(($O11-30000)/1000,1)+(2.5-_xlfn.RANK.AVG($O11,($J11,$O11,$T11,$Y11)))*20+IF(_xlfn.RANK.EQ($O11,($J11,$O11,$T11,$Y11))=1,20/((_xlfn.RANK.AVG($O11,($J11,$O11,$T11,$Y11))-1)*2+1),0))</f>
        <v>53.9</v>
      </c>
      <c r="AB11" s="51">
        <f>IF($T11="","",ROUND(($T11-30000)/1000,1)+(2.5-_xlfn.RANK.AVG($T11,($J11,$O11,$T11,$Y11)))*20+IF(_xlfn.RANK.EQ($T11,($J11,$O11,$T11,$Y11))=1,20/((_xlfn.RANK.AVG($T11,($J11,$O11,$T11,$Y11))-1)*2+1),0))</f>
        <v>-46.5</v>
      </c>
      <c r="AC11" s="52">
        <f>IF($Y11="","",ROUND(($Y11-30000)/1000,1)+(2.5-_xlfn.RANK.AVG($Y11,($J11,$O11,$T11,$Y11)))*20+IF(_xlfn.RANK.EQ($Y11,($J11,$O11,$T11,$Y11))=1,20/((_xlfn.RANK.AVG($Y11,($J11,$O11,$T11,$Y11))-1)*2+1),0))</f>
        <v>7.6</v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>
        <v>2</v>
      </c>
      <c r="BE11" s="27">
        <v>30</v>
      </c>
      <c r="BF11" s="37" t="s">
        <v>74</v>
      </c>
      <c r="BG11" s="38" t="s">
        <v>70</v>
      </c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>
        <v>1</v>
      </c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24B43B06-9C37-440E-A221-33E0BDFD55D7}">
      <formula1>"百瀬成空,福澤大地,大池陸斗,滝沢悠人,松澤亮太,高野源太,多田洋輔,佐藤成浩,依田幸憲,柳澤颯吾,小原陸哉,髙橋桜,矢ヶ崎健,木角有希,石澤巧望,小林郁斗,小林嶺,佃佳佑,蒲生麗,山﨑柊,上條友暉,北沢蓮太郎,角田創,近藤隼,鷲野翼,岩崎凌汰,松澤大地,水澤良平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4D6FC-DD39-448D-8235-F7E72788A622}">
  <sheetPr codeName="Sheet10">
    <pageSetUpPr fitToPage="1"/>
  </sheetPr>
  <dimension ref="A1:DJ30"/>
  <sheetViews>
    <sheetView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76" t="s">
        <v>0</v>
      </c>
      <c r="B1" s="78" t="s">
        <v>2</v>
      </c>
      <c r="C1" s="78" t="s">
        <v>1</v>
      </c>
      <c r="D1" s="78" t="s">
        <v>21</v>
      </c>
      <c r="E1" s="80" t="s">
        <v>3</v>
      </c>
      <c r="F1" s="72" t="s">
        <v>165</v>
      </c>
      <c r="G1" s="73"/>
      <c r="H1" s="73"/>
      <c r="I1" s="74"/>
      <c r="J1" s="75"/>
      <c r="K1" s="72" t="s">
        <v>166</v>
      </c>
      <c r="L1" s="73"/>
      <c r="M1" s="73"/>
      <c r="N1" s="74"/>
      <c r="O1" s="75"/>
      <c r="P1" s="72" t="s">
        <v>176</v>
      </c>
      <c r="Q1" s="73"/>
      <c r="R1" s="73"/>
      <c r="S1" s="74"/>
      <c r="T1" s="75"/>
      <c r="U1" s="72" t="s">
        <v>164</v>
      </c>
      <c r="V1" s="73"/>
      <c r="W1" s="73"/>
      <c r="X1" s="74"/>
      <c r="Y1" s="75"/>
      <c r="Z1" s="72" t="s">
        <v>6</v>
      </c>
      <c r="AA1" s="82"/>
      <c r="AB1" s="73"/>
      <c r="AC1" s="75"/>
      <c r="AE1" s="72" t="str">
        <f>IF($F$1="","",$F$1)</f>
        <v>北沢蓮太郎</v>
      </c>
      <c r="AF1" s="82" t="str">
        <f t="shared" ref="AF1:AY1" si="0">$F$1</f>
        <v>北沢蓮太郎</v>
      </c>
      <c r="AG1" s="73" t="str">
        <f t="shared" si="0"/>
        <v>北沢蓮太郎</v>
      </c>
      <c r="AH1" s="73" t="str">
        <f t="shared" si="0"/>
        <v>北沢蓮太郎</v>
      </c>
      <c r="AI1" s="73" t="str">
        <f t="shared" si="0"/>
        <v>北沢蓮太郎</v>
      </c>
      <c r="AJ1" s="73" t="str">
        <f t="shared" si="0"/>
        <v>北沢蓮太郎</v>
      </c>
      <c r="AK1" s="73" t="str">
        <f t="shared" si="0"/>
        <v>北沢蓮太郎</v>
      </c>
      <c r="AL1" s="73" t="str">
        <f t="shared" si="0"/>
        <v>北沢蓮太郎</v>
      </c>
      <c r="AM1" s="73" t="str">
        <f t="shared" si="0"/>
        <v>北沢蓮太郎</v>
      </c>
      <c r="AN1" s="73" t="str">
        <f t="shared" si="0"/>
        <v>北沢蓮太郎</v>
      </c>
      <c r="AO1" s="73" t="str">
        <f t="shared" si="0"/>
        <v>北沢蓮太郎</v>
      </c>
      <c r="AP1" s="73" t="str">
        <f t="shared" si="0"/>
        <v>北沢蓮太郎</v>
      </c>
      <c r="AQ1" s="73" t="str">
        <f t="shared" si="0"/>
        <v>北沢蓮太郎</v>
      </c>
      <c r="AR1" s="73" t="str">
        <f t="shared" si="0"/>
        <v>北沢蓮太郎</v>
      </c>
      <c r="AS1" s="73" t="str">
        <f t="shared" si="0"/>
        <v>北沢蓮太郎</v>
      </c>
      <c r="AT1" s="73" t="str">
        <f t="shared" si="0"/>
        <v>北沢蓮太郎</v>
      </c>
      <c r="AU1" s="73" t="str">
        <f t="shared" si="0"/>
        <v>北沢蓮太郎</v>
      </c>
      <c r="AV1" s="73" t="str">
        <f t="shared" si="0"/>
        <v>北沢蓮太郎</v>
      </c>
      <c r="AW1" s="73" t="str">
        <f t="shared" si="0"/>
        <v>北沢蓮太郎</v>
      </c>
      <c r="AX1" s="73" t="str">
        <f t="shared" si="0"/>
        <v>北沢蓮太郎</v>
      </c>
      <c r="AY1" s="75" t="str">
        <f t="shared" si="0"/>
        <v>北沢蓮太郎</v>
      </c>
      <c r="AZ1" s="72" t="str">
        <f>IF($K$1="","",$K$1)</f>
        <v>多田洋輔</v>
      </c>
      <c r="BA1" s="82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5"/>
      <c r="BU1" s="72" t="str">
        <f>IF($P$1="","",$P$1)</f>
        <v>川上翔大</v>
      </c>
      <c r="BV1" s="82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3"/>
      <c r="CJ1" s="73"/>
      <c r="CK1" s="73"/>
      <c r="CL1" s="73"/>
      <c r="CM1" s="73"/>
      <c r="CN1" s="73"/>
      <c r="CO1" s="75"/>
      <c r="CP1" s="72" t="str">
        <f>IF($U$1="","",$U$1)</f>
        <v>佐藤成浩</v>
      </c>
      <c r="CQ1" s="82"/>
      <c r="CR1" s="73"/>
      <c r="CS1" s="73"/>
      <c r="CT1" s="73"/>
      <c r="CU1" s="73"/>
      <c r="CV1" s="73"/>
      <c r="CW1" s="73"/>
      <c r="CX1" s="73"/>
      <c r="CY1" s="73"/>
      <c r="CZ1" s="73"/>
      <c r="DA1" s="73"/>
      <c r="DB1" s="73"/>
      <c r="DC1" s="73"/>
      <c r="DD1" s="73"/>
      <c r="DE1" s="73"/>
      <c r="DF1" s="73"/>
      <c r="DG1" s="73"/>
      <c r="DH1" s="73"/>
      <c r="DI1" s="73"/>
      <c r="DJ1" s="75"/>
    </row>
    <row r="2" spans="1:114" x14ac:dyDescent="0.45">
      <c r="A2" s="77"/>
      <c r="B2" s="79"/>
      <c r="C2" s="79"/>
      <c r="D2" s="79"/>
      <c r="E2" s="81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9" t="str">
        <f>IF($F$1="","",$F$1)</f>
        <v>北沢蓮太郎</v>
      </c>
      <c r="AA2" s="70" t="str">
        <f>IF($K$1="","",$K$1)</f>
        <v>多田洋輔</v>
      </c>
      <c r="AB2" s="70" t="str">
        <f>IF($P$1="","",$P$1)</f>
        <v>川上翔大</v>
      </c>
      <c r="AC2" s="71" t="str">
        <f>IF($U$1="","",$U$1)</f>
        <v>佐藤成浩</v>
      </c>
      <c r="AE2" s="65" t="s">
        <v>22</v>
      </c>
      <c r="AF2" s="66" t="s">
        <v>25</v>
      </c>
      <c r="AG2" s="67" t="s">
        <v>23</v>
      </c>
      <c r="AH2" s="67" t="s">
        <v>110</v>
      </c>
      <c r="AI2" s="67" t="s">
        <v>18</v>
      </c>
      <c r="AJ2" s="68" t="s">
        <v>19</v>
      </c>
      <c r="AK2" s="83" t="s">
        <v>20</v>
      </c>
      <c r="AL2" s="83"/>
      <c r="AM2" s="83"/>
      <c r="AN2" s="83"/>
      <c r="AO2" s="83"/>
      <c r="AP2" s="83"/>
      <c r="AQ2" s="83"/>
      <c r="AR2" s="83"/>
      <c r="AS2" s="83"/>
      <c r="AT2" s="83"/>
      <c r="AU2" s="83"/>
      <c r="AV2" s="83"/>
      <c r="AW2" s="83"/>
      <c r="AX2" s="83"/>
      <c r="AY2" s="83"/>
      <c r="AZ2" s="65" t="s">
        <v>22</v>
      </c>
      <c r="BA2" s="66" t="s">
        <v>25</v>
      </c>
      <c r="BB2" s="67" t="s">
        <v>23</v>
      </c>
      <c r="BC2" s="67" t="s">
        <v>111</v>
      </c>
      <c r="BD2" s="67" t="s">
        <v>18</v>
      </c>
      <c r="BE2" s="68" t="s">
        <v>19</v>
      </c>
      <c r="BF2" s="83" t="s">
        <v>20</v>
      </c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65" t="s">
        <v>22</v>
      </c>
      <c r="BV2" s="66" t="s">
        <v>25</v>
      </c>
      <c r="BW2" s="67" t="s">
        <v>23</v>
      </c>
      <c r="BX2" s="67" t="s">
        <v>111</v>
      </c>
      <c r="BY2" s="67" t="s">
        <v>18</v>
      </c>
      <c r="BZ2" s="68" t="s">
        <v>19</v>
      </c>
      <c r="CA2" s="83" t="s">
        <v>20</v>
      </c>
      <c r="CB2" s="83"/>
      <c r="CC2" s="83"/>
      <c r="CD2" s="83"/>
      <c r="CE2" s="83"/>
      <c r="CF2" s="83"/>
      <c r="CG2" s="83"/>
      <c r="CH2" s="83"/>
      <c r="CI2" s="83"/>
      <c r="CJ2" s="83"/>
      <c r="CK2" s="83"/>
      <c r="CL2" s="83"/>
      <c r="CM2" s="83"/>
      <c r="CN2" s="83"/>
      <c r="CO2" s="83"/>
      <c r="CP2" s="65" t="s">
        <v>22</v>
      </c>
      <c r="CQ2" s="66" t="s">
        <v>25</v>
      </c>
      <c r="CR2" s="67" t="s">
        <v>23</v>
      </c>
      <c r="CS2" s="67" t="s">
        <v>111</v>
      </c>
      <c r="CT2" s="67" t="s">
        <v>18</v>
      </c>
      <c r="CU2" s="68" t="s">
        <v>19</v>
      </c>
      <c r="CV2" s="83" t="s">
        <v>20</v>
      </c>
      <c r="CW2" s="83"/>
      <c r="CX2" s="83"/>
      <c r="CY2" s="83"/>
      <c r="CZ2" s="83"/>
      <c r="DA2" s="83"/>
      <c r="DB2" s="83"/>
      <c r="DC2" s="83"/>
      <c r="DD2" s="83"/>
      <c r="DE2" s="83"/>
      <c r="DF2" s="83"/>
      <c r="DG2" s="83"/>
      <c r="DH2" s="83"/>
      <c r="DI2" s="83"/>
      <c r="DJ2" s="83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63" t="str">
        <f>IF($F$1="","",$F$1)</f>
        <v>北沢蓮太郎</v>
      </c>
      <c r="F4" s="5"/>
      <c r="G4" s="6"/>
      <c r="H4" s="6"/>
      <c r="I4" s="45"/>
      <c r="J4" s="18">
        <f>IF(COUNTA($F4,$K4,$P4,$U4)&gt;0,J3+SUM(G4:I4),"")</f>
        <v>25000</v>
      </c>
      <c r="K4" s="5" t="s">
        <v>161</v>
      </c>
      <c r="L4" s="6">
        <v>2000</v>
      </c>
      <c r="M4" s="6">
        <v>1000</v>
      </c>
      <c r="N4" s="45">
        <v>0</v>
      </c>
      <c r="O4" s="18">
        <f>IF(COUNTA($F4,$K4,$P4,$U4)&gt;0,O3+SUM(L4:N4),"")</f>
        <v>28000</v>
      </c>
      <c r="P4" s="5"/>
      <c r="Q4" s="6"/>
      <c r="R4" s="6">
        <v>-1000</v>
      </c>
      <c r="S4" s="45"/>
      <c r="T4" s="18">
        <f>IF(COUNTA($F4,$K4,$P4,$U4)&gt;0,T3+SUM(Q4:S4),"")</f>
        <v>24000</v>
      </c>
      <c r="U4" s="5" t="s">
        <v>162</v>
      </c>
      <c r="V4" s="6">
        <v>-2000</v>
      </c>
      <c r="W4" s="6"/>
      <c r="X4" s="45">
        <v>0</v>
      </c>
      <c r="Y4" s="18">
        <f>IF(COUNTA($F4,$K4,$P4,$U4)&gt;0,Y3+SUM(V4:X4),"")</f>
        <v>23000</v>
      </c>
      <c r="Z4" s="50">
        <f>IF($J4="","",ROUND(($J4-30000)/1000,1)+(2.5-_xlfn.RANK.AVG($J4,($J4,$O4,$T4,$Y4)))*20+IF(_xlfn.RANK.EQ($J4,($J4,$O4,$T4,$Y4))=1,20/((_xlfn.RANK.AVG($J4,($J4,$O4,$T4,$Y4))-1)*2+1),0))</f>
        <v>5</v>
      </c>
      <c r="AA4" s="51">
        <f>IF($O4="","",ROUND(($O4-30000)/1000,1)+(2.5-_xlfn.RANK.AVG($O4,($J4,$O4,$T4,$Y4)))*20+IF(_xlfn.RANK.EQ($O4,($J4,$O4,$T4,$Y4))=1,20/((_xlfn.RANK.AVG($O4,($J4,$O4,$T4,$Y4))-1)*2+1),0))</f>
        <v>48</v>
      </c>
      <c r="AB4" s="51">
        <f>IF($T4="","",ROUND(($T4-30000)/1000,1)+(2.5-_xlfn.RANK.AVG($T4,($J4,$O4,$T4,$Y4)))*20+IF(_xlfn.RANK.EQ($T4,($J4,$O4,$T4,$Y4))=1,20/((_xlfn.RANK.AVG($T4,($J4,$O4,$T4,$Y4))-1)*2+1),0))</f>
        <v>-16</v>
      </c>
      <c r="AC4" s="52">
        <f>IF($Y4="","",ROUND(($Y4-30000)/1000,1)+(2.5-_xlfn.RANK.AVG($Y4,($J4,$O4,$T4,$Y4)))*20+IF(_xlfn.RANK.EQ($Y4,($J4,$O4,$T4,$Y4))=1,20/((_xlfn.RANK.AVG($Y4,($J4,$O4,$T4,$Y4))-1)*2+1),0))</f>
        <v>-37</v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>
        <v>1</v>
      </c>
      <c r="BD4" s="23">
        <v>2</v>
      </c>
      <c r="BE4" s="27">
        <v>30</v>
      </c>
      <c r="BF4" s="37" t="s">
        <v>84</v>
      </c>
      <c r="BG4" s="38" t="s">
        <v>70</v>
      </c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>
        <v>1</v>
      </c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63" t="str">
        <f>IF($K$1="","",$K$1)</f>
        <v>多田洋輔</v>
      </c>
      <c r="F5" s="5"/>
      <c r="G5" s="6"/>
      <c r="H5" s="6"/>
      <c r="I5" s="45"/>
      <c r="J5" s="18">
        <f t="shared" ref="J5:J30" si="2">IF(COUNTA($F5,$K5,$P5,$U5)&gt;0,J4+SUM(G5:I5),"")</f>
        <v>25000</v>
      </c>
      <c r="K5" s="5"/>
      <c r="L5" s="6"/>
      <c r="M5" s="6"/>
      <c r="N5" s="45"/>
      <c r="O5" s="18">
        <f>IF(COUNTA($F5,$K5,$P5,$U5)&gt;0,O4+SUM(L5:N5),"")</f>
        <v>28000</v>
      </c>
      <c r="P5" s="5" t="s">
        <v>162</v>
      </c>
      <c r="Q5" s="6">
        <v>-2000</v>
      </c>
      <c r="R5" s="6"/>
      <c r="S5" s="45">
        <v>0</v>
      </c>
      <c r="T5" s="18">
        <f t="shared" ref="T5:T30" si="3">IF(COUNTA($F5,$K5,$P5,$U5)&gt;0,T4+SUM(Q5:S5),"")</f>
        <v>22000</v>
      </c>
      <c r="U5" s="5" t="s">
        <v>161</v>
      </c>
      <c r="V5" s="6">
        <v>2000</v>
      </c>
      <c r="W5" s="6"/>
      <c r="X5" s="45">
        <v>0</v>
      </c>
      <c r="Y5" s="18">
        <f t="shared" ref="Y5:Y30" si="4">IF(COUNTA($F5,$K5,$P5,$U5)&gt;0,Y4+SUM(V5:X5),"")</f>
        <v>25000</v>
      </c>
      <c r="Z5" s="50">
        <f>IF($J5="","",ROUND(($J5-30000)/1000,1)+(2.5-_xlfn.RANK.AVG($J5,($J5,$O5,$T5,$Y5)))*20+IF(_xlfn.RANK.EQ($J5,($J5,$O5,$T5,$Y5))=1,20/((_xlfn.RANK.AVG($J5,($J5,$O5,$T5,$Y5))-1)*2+1),0))</f>
        <v>-5</v>
      </c>
      <c r="AA5" s="51">
        <f>IF($O5="","",ROUND(($O5-30000)/1000,1)+(2.5-_xlfn.RANK.AVG($O5,($J5,$O5,$T5,$Y5)))*20+IF(_xlfn.RANK.EQ($O5,($J5,$O5,$T5,$Y5))=1,20/((_xlfn.RANK.AVG($O5,($J5,$O5,$T5,$Y5))-1)*2+1),0))</f>
        <v>48</v>
      </c>
      <c r="AB5" s="51">
        <f>IF($T5="","",ROUND(($T5-30000)/1000,1)+(2.5-_xlfn.RANK.AVG($T5,($J5,$O5,$T5,$Y5)))*20+IF(_xlfn.RANK.EQ($T5,($J5,$O5,$T5,$Y5))=1,20/((_xlfn.RANK.AVG($T5,($J5,$O5,$T5,$Y5))-1)*2+1),0))</f>
        <v>-38</v>
      </c>
      <c r="AC5" s="52">
        <f>IF($Y5="","",ROUND(($Y5-30000)/1000,1)+(2.5-_xlfn.RANK.AVG($Y5,($J5,$O5,$T5,$Y5)))*20+IF(_xlfn.RANK.EQ($Y5,($J5,$O5,$T5,$Y5))=1,20/((_xlfn.RANK.AVG($Y5,($J5,$O5,$T5,$Y5))-1)*2+1),0))</f>
        <v>-5</v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>
        <v>1</v>
      </c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>
        <v>1</v>
      </c>
      <c r="CT5" s="23">
        <v>2</v>
      </c>
      <c r="CU5" s="27">
        <v>30</v>
      </c>
      <c r="CV5" s="37" t="s">
        <v>77</v>
      </c>
      <c r="CW5" s="38" t="s">
        <v>172</v>
      </c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63" t="str">
        <f>IF($P$1="","",$P$1)</f>
        <v>川上翔大</v>
      </c>
      <c r="F6" s="5"/>
      <c r="G6" s="6"/>
      <c r="H6" s="6"/>
      <c r="I6" s="45"/>
      <c r="J6" s="18">
        <f t="shared" si="2"/>
        <v>25000</v>
      </c>
      <c r="K6" s="5" t="s">
        <v>161</v>
      </c>
      <c r="L6" s="6">
        <v>12000</v>
      </c>
      <c r="M6" s="6">
        <v>1000</v>
      </c>
      <c r="N6" s="45">
        <v>0</v>
      </c>
      <c r="O6" s="18">
        <f t="shared" ref="O6:O30" si="8">IF(COUNTA($F6,$K6,$P6,$U6)&gt;0,O5+SUM(L6:N6),"")</f>
        <v>41000</v>
      </c>
      <c r="P6" s="5" t="s">
        <v>162</v>
      </c>
      <c r="Q6" s="6">
        <v>-12000</v>
      </c>
      <c r="R6" s="6">
        <v>-1000</v>
      </c>
      <c r="S6" s="45">
        <v>0</v>
      </c>
      <c r="T6" s="18">
        <f t="shared" si="3"/>
        <v>9000</v>
      </c>
      <c r="U6" s="5"/>
      <c r="V6" s="6"/>
      <c r="W6" s="6"/>
      <c r="X6" s="45"/>
      <c r="Y6" s="18">
        <f t="shared" si="4"/>
        <v>25000</v>
      </c>
      <c r="Z6" s="50">
        <f>IF($J6="","",ROUND(($J6-30000)/1000,1)+(2.5-_xlfn.RANK.AVG($J6,($J6,$O6,$T6,$Y6)))*20+IF(_xlfn.RANK.EQ($J6,($J6,$O6,$T6,$Y6))=1,20/((_xlfn.RANK.AVG($J6,($J6,$O6,$T6,$Y6))-1)*2+1),0))</f>
        <v>-5</v>
      </c>
      <c r="AA6" s="51">
        <f>IF($O6="","",ROUND(($O6-30000)/1000,1)+(2.5-_xlfn.RANK.AVG($O6,($J6,$O6,$T6,$Y6)))*20+IF(_xlfn.RANK.EQ($O6,($J6,$O6,$T6,$Y6))=1,20/((_xlfn.RANK.AVG($O6,($J6,$O6,$T6,$Y6))-1)*2+1),0))</f>
        <v>61</v>
      </c>
      <c r="AB6" s="51">
        <f>IF($T6="","",ROUND(($T6-30000)/1000,1)+(2.5-_xlfn.RANK.AVG($T6,($J6,$O6,$T6,$Y6)))*20+IF(_xlfn.RANK.EQ($T6,($J6,$O6,$T6,$Y6))=1,20/((_xlfn.RANK.AVG($T6,($J6,$O6,$T6,$Y6))-1)*2+1),0))</f>
        <v>-51</v>
      </c>
      <c r="AC6" s="52">
        <f>IF($Y6="","",ROUND(($Y6-30000)/1000,1)+(2.5-_xlfn.RANK.AVG($Y6,($J6,$O6,$T6,$Y6)))*20+IF(_xlfn.RANK.EQ($Y6,($J6,$O6,$T6,$Y6))=1,20/((_xlfn.RANK.AVG($Y6,($J6,$O6,$T6,$Y6))-1)*2+1),0))</f>
        <v>-5</v>
      </c>
      <c r="AE6" s="5"/>
      <c r="AF6" s="31"/>
      <c r="AG6" s="23"/>
      <c r="AH6" s="23">
        <v>1</v>
      </c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>
        <v>1</v>
      </c>
      <c r="BD6" s="23">
        <v>7</v>
      </c>
      <c r="BE6" s="27" t="s">
        <v>173</v>
      </c>
      <c r="BF6" s="37" t="s">
        <v>77</v>
      </c>
      <c r="BG6" s="38" t="s">
        <v>77</v>
      </c>
      <c r="BH6" s="38" t="s">
        <v>172</v>
      </c>
      <c r="BI6" s="38" t="s">
        <v>172</v>
      </c>
      <c r="BJ6" s="38" t="s">
        <v>70</v>
      </c>
      <c r="BK6" s="38" t="s">
        <v>70</v>
      </c>
      <c r="BL6" s="38" t="s">
        <v>70</v>
      </c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>
        <v>1</v>
      </c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63" t="str">
        <f>IF($U$1="","",$U$1)</f>
        <v>佐藤成浩</v>
      </c>
      <c r="F7" s="5"/>
      <c r="G7" s="6"/>
      <c r="H7" s="6"/>
      <c r="I7" s="45"/>
      <c r="J7" s="18">
        <f t="shared" si="2"/>
        <v>25000</v>
      </c>
      <c r="K7" s="5"/>
      <c r="L7" s="6"/>
      <c r="M7" s="6">
        <v>-1000</v>
      </c>
      <c r="N7" s="45"/>
      <c r="O7" s="18">
        <f t="shared" si="8"/>
        <v>40000</v>
      </c>
      <c r="P7" s="5" t="s">
        <v>162</v>
      </c>
      <c r="Q7" s="6">
        <v>-2900</v>
      </c>
      <c r="R7" s="6"/>
      <c r="S7" s="45">
        <v>0</v>
      </c>
      <c r="T7" s="18">
        <f t="shared" si="3"/>
        <v>6100</v>
      </c>
      <c r="U7" s="5" t="s">
        <v>161</v>
      </c>
      <c r="V7" s="6">
        <v>2900</v>
      </c>
      <c r="W7" s="6">
        <v>1000</v>
      </c>
      <c r="X7" s="45">
        <v>0</v>
      </c>
      <c r="Y7" s="18">
        <f t="shared" si="4"/>
        <v>28900</v>
      </c>
      <c r="Z7" s="50">
        <f>IF($J7="","",ROUND(($J7-30000)/1000,1)+(2.5-_xlfn.RANK.AVG($J7,($J7,$O7,$T7,$Y7)))*20+IF(_xlfn.RANK.EQ($J7,($J7,$O7,$T7,$Y7))=1,20/((_xlfn.RANK.AVG($J7,($J7,$O7,$T7,$Y7))-1)*2+1),0))</f>
        <v>-15</v>
      </c>
      <c r="AA7" s="51">
        <f>IF($O7="","",ROUND(($O7-30000)/1000,1)+(2.5-_xlfn.RANK.AVG($O7,($J7,$O7,$T7,$Y7)))*20+IF(_xlfn.RANK.EQ($O7,($J7,$O7,$T7,$Y7))=1,20/((_xlfn.RANK.AVG($O7,($J7,$O7,$T7,$Y7))-1)*2+1),0))</f>
        <v>60</v>
      </c>
      <c r="AB7" s="51">
        <f>IF($T7="","",ROUND(($T7-30000)/1000,1)+(2.5-_xlfn.RANK.AVG($T7,($J7,$O7,$T7,$Y7)))*20+IF(_xlfn.RANK.EQ($T7,($J7,$O7,$T7,$Y7))=1,20/((_xlfn.RANK.AVG($T7,($J7,$O7,$T7,$Y7))-1)*2+1),0))</f>
        <v>-53.9</v>
      </c>
      <c r="AC7" s="52">
        <f>IF($Y7="","",ROUND(($Y7-30000)/1000,1)+(2.5-_xlfn.RANK.AVG($Y7,($J7,$O7,$T7,$Y7)))*20+IF(_xlfn.RANK.EQ($Y7,($J7,$O7,$T7,$Y7))=1,20/((_xlfn.RANK.AVG($Y7,($J7,$O7,$T7,$Y7))-1)*2+1),0))</f>
        <v>8.9</v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>
        <v>1</v>
      </c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>
        <v>1</v>
      </c>
      <c r="CT7" s="23">
        <v>2</v>
      </c>
      <c r="CU7" s="27">
        <v>30</v>
      </c>
      <c r="CV7" s="37" t="s">
        <v>77</v>
      </c>
      <c r="CW7" s="38" t="s">
        <v>77</v>
      </c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1</v>
      </c>
      <c r="D8" s="15">
        <f>IF($E8="","",IF(OR($F7="流局",$F7="チョンボ"),D7+($H7+$M7+$R7+$W7)/-1000,0))</f>
        <v>0</v>
      </c>
      <c r="E8" s="63" t="str">
        <f>IF($U$1="","",$U$1)</f>
        <v>佐藤成浩</v>
      </c>
      <c r="F8" s="5" t="s">
        <v>171</v>
      </c>
      <c r="G8" s="6">
        <v>-2600</v>
      </c>
      <c r="H8" s="6"/>
      <c r="I8" s="45">
        <v>-100</v>
      </c>
      <c r="J8" s="18">
        <f t="shared" si="2"/>
        <v>22300</v>
      </c>
      <c r="K8" s="5" t="s">
        <v>171</v>
      </c>
      <c r="L8" s="6">
        <v>-2600</v>
      </c>
      <c r="M8" s="6"/>
      <c r="N8" s="45">
        <v>-100</v>
      </c>
      <c r="O8" s="18">
        <f t="shared" si="8"/>
        <v>37300</v>
      </c>
      <c r="P8" s="5" t="s">
        <v>171</v>
      </c>
      <c r="Q8" s="6">
        <v>-2600</v>
      </c>
      <c r="R8" s="6"/>
      <c r="S8" s="45">
        <v>-100</v>
      </c>
      <c r="T8" s="18">
        <f t="shared" si="3"/>
        <v>3400</v>
      </c>
      <c r="U8" s="5" t="s">
        <v>170</v>
      </c>
      <c r="V8" s="6">
        <v>7800</v>
      </c>
      <c r="W8" s="6"/>
      <c r="X8" s="45">
        <v>300</v>
      </c>
      <c r="Y8" s="18">
        <f t="shared" si="4"/>
        <v>37000</v>
      </c>
      <c r="Z8" s="50">
        <f>IF($J8="","",ROUND(($J8-30000)/1000,1)+(2.5-_xlfn.RANK.AVG($J8,($J8,$O8,$T8,$Y8)))*20+IF(_xlfn.RANK.EQ($J8,($J8,$O8,$T8,$Y8))=1,20/((_xlfn.RANK.AVG($J8,($J8,$O8,$T8,$Y8))-1)*2+1),0))</f>
        <v>-17.7</v>
      </c>
      <c r="AA8" s="51">
        <f>IF($O8="","",ROUND(($O8-30000)/1000,1)+(2.5-_xlfn.RANK.AVG($O8,($J8,$O8,$T8,$Y8)))*20+IF(_xlfn.RANK.EQ($O8,($J8,$O8,$T8,$Y8))=1,20/((_xlfn.RANK.AVG($O8,($J8,$O8,$T8,$Y8))-1)*2+1),0))</f>
        <v>57.3</v>
      </c>
      <c r="AB8" s="51">
        <f>IF($T8="","",ROUND(($T8-30000)/1000,1)+(2.5-_xlfn.RANK.AVG($T8,($J8,$O8,$T8,$Y8)))*20+IF(_xlfn.RANK.EQ($T8,($J8,$O8,$T8,$Y8))=1,20/((_xlfn.RANK.AVG($T8,($J8,$O8,$T8,$Y8))-1)*2+1),0))</f>
        <v>-56.6</v>
      </c>
      <c r="AC8" s="52">
        <f>IF($Y8="","",ROUND(($Y8-30000)/1000,1)+(2.5-_xlfn.RANK.AVG($Y8,($J8,$O8,$T8,$Y8)))*20+IF(_xlfn.RANK.EQ($Y8,($J8,$O8,$T8,$Y8))=1,20/((_xlfn.RANK.AVG($Y8,($J8,$O8,$T8,$Y8))-1)*2+1),0))</f>
        <v>17</v>
      </c>
      <c r="AE8" s="5"/>
      <c r="AF8" s="31"/>
      <c r="AG8" s="23"/>
      <c r="AH8" s="23">
        <v>1</v>
      </c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>
        <v>1</v>
      </c>
      <c r="CS8" s="23"/>
      <c r="CT8" s="23">
        <v>3</v>
      </c>
      <c r="CU8" s="27">
        <v>40</v>
      </c>
      <c r="CV8" s="37" t="s">
        <v>163</v>
      </c>
      <c r="CW8" s="38" t="s">
        <v>73</v>
      </c>
      <c r="CX8" s="38" t="s">
        <v>174</v>
      </c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>東</v>
      </c>
      <c r="B9" s="15">
        <f t="shared" si="5"/>
        <v>4</v>
      </c>
      <c r="C9" s="15">
        <f t="shared" si="6"/>
        <v>2</v>
      </c>
      <c r="D9" s="15">
        <f t="shared" si="7"/>
        <v>0</v>
      </c>
      <c r="E9" s="63" t="str">
        <f>IF($U$1="","",$U$1)</f>
        <v>佐藤成浩</v>
      </c>
      <c r="F9" s="5" t="s">
        <v>162</v>
      </c>
      <c r="G9" s="6">
        <v>-7700</v>
      </c>
      <c r="H9" s="6"/>
      <c r="I9" s="45">
        <v>-600</v>
      </c>
      <c r="J9" s="18">
        <f t="shared" si="2"/>
        <v>14000</v>
      </c>
      <c r="K9" s="5"/>
      <c r="L9" s="6"/>
      <c r="M9" s="6"/>
      <c r="N9" s="45"/>
      <c r="O9" s="18">
        <f t="shared" si="8"/>
        <v>37300</v>
      </c>
      <c r="P9" s="5"/>
      <c r="Q9" s="6"/>
      <c r="R9" s="6"/>
      <c r="S9" s="45"/>
      <c r="T9" s="18">
        <f t="shared" si="3"/>
        <v>3400</v>
      </c>
      <c r="U9" s="5" t="s">
        <v>161</v>
      </c>
      <c r="V9" s="6">
        <v>7700</v>
      </c>
      <c r="W9" s="6"/>
      <c r="X9" s="45">
        <v>600</v>
      </c>
      <c r="Y9" s="18">
        <f t="shared" si="4"/>
        <v>45300</v>
      </c>
      <c r="Z9" s="50">
        <f>IF($J9="","",ROUND(($J9-30000)/1000,1)+(2.5-_xlfn.RANK.AVG($J9,($J9,$O9,$T9,$Y9)))*20+IF(_xlfn.RANK.EQ($J9,($J9,$O9,$T9,$Y9))=1,20/((_xlfn.RANK.AVG($J9,($J9,$O9,$T9,$Y9))-1)*2+1),0))</f>
        <v>-26</v>
      </c>
      <c r="AA9" s="51">
        <f>IF($O9="","",ROUND(($O9-30000)/1000,1)+(2.5-_xlfn.RANK.AVG($O9,($J9,$O9,$T9,$Y9)))*20+IF(_xlfn.RANK.EQ($O9,($J9,$O9,$T9,$Y9))=1,20/((_xlfn.RANK.AVG($O9,($J9,$O9,$T9,$Y9))-1)*2+1),0))</f>
        <v>17.3</v>
      </c>
      <c r="AB9" s="51">
        <f>IF($T9="","",ROUND(($T9-30000)/1000,1)+(2.5-_xlfn.RANK.AVG($T9,($J9,$O9,$T9,$Y9)))*20+IF(_xlfn.RANK.EQ($T9,($J9,$O9,$T9,$Y9))=1,20/((_xlfn.RANK.AVG($T9,($J9,$O9,$T9,$Y9))-1)*2+1),0))</f>
        <v>-56.6</v>
      </c>
      <c r="AC9" s="52">
        <f>IF($Y9="","",ROUND(($Y9-30000)/1000,1)+(2.5-_xlfn.RANK.AVG($Y9,($J9,$O9,$T9,$Y9)))*20+IF(_xlfn.RANK.EQ($Y9,($J9,$O9,$T9,$Y9))=1,20/((_xlfn.RANK.AVG($Y9,($J9,$O9,$T9,$Y9))-1)*2+1),0))</f>
        <v>65.3</v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>
        <v>1</v>
      </c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>
        <v>1</v>
      </c>
      <c r="CS9" s="23"/>
      <c r="CT9" s="23">
        <v>3</v>
      </c>
      <c r="CU9" s="27">
        <v>40</v>
      </c>
      <c r="CV9" s="37" t="s">
        <v>163</v>
      </c>
      <c r="CW9" s="38" t="s">
        <v>172</v>
      </c>
      <c r="CX9" s="38" t="s">
        <v>172</v>
      </c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>東</v>
      </c>
      <c r="B10" s="15">
        <f t="shared" si="5"/>
        <v>4</v>
      </c>
      <c r="C10" s="15">
        <f t="shared" si="6"/>
        <v>3</v>
      </c>
      <c r="D10" s="15">
        <f t="shared" si="7"/>
        <v>0</v>
      </c>
      <c r="E10" s="63" t="str">
        <f>IF($U$1="","",$U$1)</f>
        <v>佐藤成浩</v>
      </c>
      <c r="F10" s="5" t="s">
        <v>177</v>
      </c>
      <c r="G10" s="6">
        <v>-3000</v>
      </c>
      <c r="H10" s="6"/>
      <c r="I10" s="45"/>
      <c r="J10" s="18">
        <f t="shared" si="2"/>
        <v>11000</v>
      </c>
      <c r="K10" s="5" t="s">
        <v>177</v>
      </c>
      <c r="L10" s="6">
        <v>1000</v>
      </c>
      <c r="M10" s="6">
        <v>-1000</v>
      </c>
      <c r="N10" s="45"/>
      <c r="O10" s="18">
        <f t="shared" si="8"/>
        <v>37300</v>
      </c>
      <c r="P10" s="5" t="s">
        <v>177</v>
      </c>
      <c r="Q10" s="6">
        <v>1000</v>
      </c>
      <c r="R10" s="6"/>
      <c r="S10" s="45"/>
      <c r="T10" s="18">
        <f t="shared" si="3"/>
        <v>4400</v>
      </c>
      <c r="U10" s="5" t="s">
        <v>177</v>
      </c>
      <c r="V10" s="6">
        <v>1000</v>
      </c>
      <c r="W10" s="6"/>
      <c r="X10" s="45"/>
      <c r="Y10" s="18">
        <f t="shared" si="4"/>
        <v>46300</v>
      </c>
      <c r="Z10" s="50">
        <f>IF($J10="","",ROUND(($J10-30000)/1000,1)+(2.5-_xlfn.RANK.AVG($J10,($J10,$O10,$T10,$Y10)))*20+IF(_xlfn.RANK.EQ($J10,($J10,$O10,$T10,$Y10))=1,20/((_xlfn.RANK.AVG($J10,($J10,$O10,$T10,$Y10))-1)*2+1),0))</f>
        <v>-29</v>
      </c>
      <c r="AA10" s="51">
        <f>IF($O10="","",ROUND(($O10-30000)/1000,1)+(2.5-_xlfn.RANK.AVG($O10,($J10,$O10,$T10,$Y10)))*20+IF(_xlfn.RANK.EQ($O10,($J10,$O10,$T10,$Y10))=1,20/((_xlfn.RANK.AVG($O10,($J10,$O10,$T10,$Y10))-1)*2+1),0))</f>
        <v>17.3</v>
      </c>
      <c r="AB10" s="51">
        <f>IF($T10="","",ROUND(($T10-30000)/1000,1)+(2.5-_xlfn.RANK.AVG($T10,($J10,$O10,$T10,$Y10)))*20+IF(_xlfn.RANK.EQ($T10,($J10,$O10,$T10,$Y10))=1,20/((_xlfn.RANK.AVG($T10,($J10,$O10,$T10,$Y10))-1)*2+1),0))</f>
        <v>-55.6</v>
      </c>
      <c r="AC10" s="52">
        <f>IF($Y10="","",ROUND(($Y10-30000)/1000,1)+(2.5-_xlfn.RANK.AVG($Y10,($J10,$O10,$T10,$Y10)))*20+IF(_xlfn.RANK.EQ($Y10,($J10,$O10,$T10,$Y10))=1,20/((_xlfn.RANK.AVG($Y10,($J10,$O10,$T10,$Y10))-1)*2+1),0))</f>
        <v>66.3</v>
      </c>
      <c r="AE10" s="5" t="s">
        <v>168</v>
      </c>
      <c r="AF10" s="31"/>
      <c r="AG10" s="23"/>
      <c r="AH10" s="23">
        <v>1</v>
      </c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 t="s">
        <v>167</v>
      </c>
      <c r="BA10" s="31"/>
      <c r="BB10" s="23">
        <v>1</v>
      </c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 t="s">
        <v>167</v>
      </c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 t="s">
        <v>167</v>
      </c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>東</v>
      </c>
      <c r="B11" s="15">
        <f t="shared" si="5"/>
        <v>4</v>
      </c>
      <c r="C11" s="15">
        <f t="shared" si="6"/>
        <v>4</v>
      </c>
      <c r="D11" s="15">
        <f t="shared" si="7"/>
        <v>1</v>
      </c>
      <c r="E11" s="63" t="str">
        <f>IF($U$1="","",$U$1)</f>
        <v>佐藤成浩</v>
      </c>
      <c r="F11" s="5" t="s">
        <v>162</v>
      </c>
      <c r="G11" s="6">
        <v>-1500</v>
      </c>
      <c r="H11" s="6">
        <v>-1000</v>
      </c>
      <c r="I11" s="45">
        <v>-1200</v>
      </c>
      <c r="J11" s="18">
        <f t="shared" si="2"/>
        <v>7300</v>
      </c>
      <c r="K11" s="5"/>
      <c r="L11" s="6"/>
      <c r="M11" s="6"/>
      <c r="N11" s="45"/>
      <c r="O11" s="18">
        <f t="shared" si="8"/>
        <v>37300</v>
      </c>
      <c r="P11" s="5"/>
      <c r="Q11" s="6"/>
      <c r="R11" s="6"/>
      <c r="S11" s="45"/>
      <c r="T11" s="18">
        <f t="shared" si="3"/>
        <v>4400</v>
      </c>
      <c r="U11" s="5" t="s">
        <v>161</v>
      </c>
      <c r="V11" s="6">
        <v>1500</v>
      </c>
      <c r="W11" s="6">
        <v>2000</v>
      </c>
      <c r="X11" s="45">
        <v>1200</v>
      </c>
      <c r="Y11" s="18">
        <f t="shared" si="4"/>
        <v>51000</v>
      </c>
      <c r="Z11" s="50">
        <f>IF($J11="","",ROUND(($J11-30000)/1000,1)+(2.5-_xlfn.RANK.AVG($J11,($J11,$O11,$T11,$Y11)))*20+IF(_xlfn.RANK.EQ($J11,($J11,$O11,$T11,$Y11))=1,20/((_xlfn.RANK.AVG($J11,($J11,$O11,$T11,$Y11))-1)*2+1),0))</f>
        <v>-32.700000000000003</v>
      </c>
      <c r="AA11" s="51">
        <f>IF($O11="","",ROUND(($O11-30000)/1000,1)+(2.5-_xlfn.RANK.AVG($O11,($J11,$O11,$T11,$Y11)))*20+IF(_xlfn.RANK.EQ($O11,($J11,$O11,$T11,$Y11))=1,20/((_xlfn.RANK.AVG($O11,($J11,$O11,$T11,$Y11))-1)*2+1),0))</f>
        <v>17.3</v>
      </c>
      <c r="AB11" s="51">
        <f>IF($T11="","",ROUND(($T11-30000)/1000,1)+(2.5-_xlfn.RANK.AVG($T11,($J11,$O11,$T11,$Y11)))*20+IF(_xlfn.RANK.EQ($T11,($J11,$O11,$T11,$Y11))=1,20/((_xlfn.RANK.AVG($T11,($J11,$O11,$T11,$Y11))-1)*2+1),0))</f>
        <v>-55.6</v>
      </c>
      <c r="AC11" s="52">
        <f>IF($Y11="","",ROUND(($Y11-30000)/1000,1)+(2.5-_xlfn.RANK.AVG($Y11,($J11,$O11,$T11,$Y11)))*20+IF(_xlfn.RANK.EQ($Y11,($J11,$O11,$T11,$Y11))=1,20/((_xlfn.RANK.AVG($Y11,($J11,$O11,$T11,$Y11))-1)*2+1),0))</f>
        <v>71</v>
      </c>
      <c r="AE11" s="5"/>
      <c r="AF11" s="31"/>
      <c r="AG11" s="23">
        <v>1</v>
      </c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>
        <v>1</v>
      </c>
      <c r="CT11" s="23">
        <v>1</v>
      </c>
      <c r="CU11" s="27">
        <v>30</v>
      </c>
      <c r="CV11" s="37" t="s">
        <v>77</v>
      </c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>東</v>
      </c>
      <c r="B12" s="15">
        <f t="shared" si="5"/>
        <v>4</v>
      </c>
      <c r="C12" s="15">
        <f t="shared" si="6"/>
        <v>5</v>
      </c>
      <c r="D12" s="15">
        <f t="shared" si="7"/>
        <v>0</v>
      </c>
      <c r="E12" s="63" t="str">
        <f>IF($U$1="","",$U$1)</f>
        <v>佐藤成浩</v>
      </c>
      <c r="F12" s="5" t="s">
        <v>162</v>
      </c>
      <c r="G12" s="6">
        <v>-5200</v>
      </c>
      <c r="H12" s="6"/>
      <c r="I12" s="45">
        <v>-1500</v>
      </c>
      <c r="J12" s="18">
        <f t="shared" si="2"/>
        <v>600</v>
      </c>
      <c r="K12" s="5"/>
      <c r="L12" s="6"/>
      <c r="M12" s="6"/>
      <c r="N12" s="45"/>
      <c r="O12" s="18">
        <f t="shared" si="8"/>
        <v>37300</v>
      </c>
      <c r="P12" s="5" t="s">
        <v>161</v>
      </c>
      <c r="Q12" s="6">
        <v>5200</v>
      </c>
      <c r="R12" s="6"/>
      <c r="S12" s="45">
        <v>1500</v>
      </c>
      <c r="T12" s="18">
        <f t="shared" si="3"/>
        <v>11100</v>
      </c>
      <c r="U12" s="5"/>
      <c r="V12" s="6"/>
      <c r="W12" s="6">
        <v>0</v>
      </c>
      <c r="X12" s="45"/>
      <c r="Y12" s="18">
        <f t="shared" si="4"/>
        <v>51000</v>
      </c>
      <c r="Z12" s="50">
        <f>IF($J12="","",ROUND(($J12-30000)/1000,1)+(2.5-_xlfn.RANK.AVG($J12,($J12,$O12,$T12,$Y12)))*20+IF(_xlfn.RANK.EQ($J12,($J12,$O12,$T12,$Y12))=1,20/((_xlfn.RANK.AVG($J12,($J12,$O12,$T12,$Y12))-1)*2+1),0))</f>
        <v>-59.4</v>
      </c>
      <c r="AA12" s="51">
        <f>IF($O12="","",ROUND(($O12-30000)/1000,1)+(2.5-_xlfn.RANK.AVG($O12,($J12,$O12,$T12,$Y12)))*20+IF(_xlfn.RANK.EQ($O12,($J12,$O12,$T12,$Y12))=1,20/((_xlfn.RANK.AVG($O12,($J12,$O12,$T12,$Y12))-1)*2+1),0))</f>
        <v>17.3</v>
      </c>
      <c r="AB12" s="51">
        <f>IF($T12="","",ROUND(($T12-30000)/1000,1)+(2.5-_xlfn.RANK.AVG($T12,($J12,$O12,$T12,$Y12)))*20+IF(_xlfn.RANK.EQ($T12,($J12,$O12,$T12,$Y12))=1,20/((_xlfn.RANK.AVG($T12,($J12,$O12,$T12,$Y12))-1)*2+1),0))</f>
        <v>-28.9</v>
      </c>
      <c r="AC12" s="52">
        <f>IF($Y12="","",ROUND(($Y12-30000)/1000,1)+(2.5-_xlfn.RANK.AVG($Y12,($J12,$O12,$T12,$Y12)))*20+IF(_xlfn.RANK.EQ($Y12,($J12,$O12,$T12,$Y12))=1,20/((_xlfn.RANK.AVG($Y12,($J12,$O12,$T12,$Y12))-1)*2+1),0))</f>
        <v>71</v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>
        <v>1</v>
      </c>
      <c r="BX12" s="23"/>
      <c r="BY12" s="23">
        <v>3</v>
      </c>
      <c r="BZ12" s="27">
        <v>40</v>
      </c>
      <c r="CA12" s="37" t="s">
        <v>163</v>
      </c>
      <c r="CB12" s="38" t="s">
        <v>174</v>
      </c>
      <c r="CC12" s="38" t="s">
        <v>71</v>
      </c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133ECF69-AFE1-4EF1-B06D-427D085D61D7}">
      <formula1>"百瀬成空,福澤大地,大池陸斗,滝沢悠人,松澤亮太,高野源太,多田洋輔,佐藤成浩,依田幸憲,柳澤颯吾,小原陸哉,髙橋桜,矢ヶ崎健,木角有希,石澤巧望,小林郁斗,小林嶺,佃佳佑,蒲生麗,山﨑柊,上條友暉,北沢蓮太郎,角田創,近藤隼,鷲野翼,岩崎凌汰,松澤大地,水澤良平,"</formula1>
    </dataValidation>
    <dataValidation type="list" showInputMessage="1" showErrorMessage="1" sqref="K4:K30 P4:P30 F4:F30 U4:U30" xr:uid="{C4C3E5EE-53E0-40FD-894C-2043EC2320BD}">
      <formula1>"ロン,ツモ,放銃,ツモ支払,流局,チョンボ"</formula1>
    </dataValidation>
    <dataValidation type="list" allowBlank="1" showInputMessage="1" showErrorMessage="1" sqref="E4:E30" xr:uid="{096B0C98-E3AC-4501-A0CF-1687EB905133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3" customWidth="1"/>
    <col min="2" max="2" width="6.5" style="33" customWidth="1"/>
    <col min="3" max="3" width="19.19921875" style="12" bestFit="1" customWidth="1"/>
    <col min="4" max="5" width="6.5" style="12" customWidth="1"/>
  </cols>
  <sheetData>
    <row r="1" spans="1:5" x14ac:dyDescent="0.45">
      <c r="A1" s="33" t="s">
        <v>26</v>
      </c>
      <c r="B1" s="33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3" t="s">
        <v>68</v>
      </c>
      <c r="B2" s="33" t="s">
        <v>120</v>
      </c>
      <c r="C2" s="12" t="s">
        <v>115</v>
      </c>
      <c r="D2" s="12">
        <v>1</v>
      </c>
    </row>
    <row r="3" spans="1:5" x14ac:dyDescent="0.45">
      <c r="A3" s="33" t="s">
        <v>69</v>
      </c>
      <c r="B3" s="33" t="s">
        <v>129</v>
      </c>
      <c r="C3" s="12" t="s">
        <v>30</v>
      </c>
      <c r="D3" s="12">
        <v>1</v>
      </c>
    </row>
    <row r="4" spans="1:5" x14ac:dyDescent="0.45">
      <c r="A4" s="33" t="s">
        <v>70</v>
      </c>
      <c r="B4" s="33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3" t="s">
        <v>71</v>
      </c>
      <c r="B5" s="33" t="s">
        <v>123</v>
      </c>
      <c r="C5" s="12" t="s">
        <v>32</v>
      </c>
      <c r="D5" s="12">
        <v>1</v>
      </c>
    </row>
    <row r="6" spans="1:5" x14ac:dyDescent="0.45">
      <c r="A6" s="33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3" t="s">
        <v>73</v>
      </c>
      <c r="B7" s="33" t="s">
        <v>121</v>
      </c>
      <c r="C7" s="12" t="s">
        <v>34</v>
      </c>
      <c r="D7" s="12">
        <v>1</v>
      </c>
    </row>
    <row r="8" spans="1:5" x14ac:dyDescent="0.45">
      <c r="A8" s="33" t="s">
        <v>74</v>
      </c>
      <c r="B8" s="33" t="s">
        <v>125</v>
      </c>
      <c r="C8" s="12" t="s">
        <v>35</v>
      </c>
      <c r="D8" s="12">
        <v>1</v>
      </c>
    </row>
    <row r="9" spans="1:5" x14ac:dyDescent="0.45">
      <c r="A9" s="33" t="s">
        <v>75</v>
      </c>
      <c r="B9" s="33" t="s">
        <v>127</v>
      </c>
      <c r="C9" s="12" t="s">
        <v>36</v>
      </c>
      <c r="D9" s="12">
        <v>1</v>
      </c>
    </row>
    <row r="10" spans="1:5" x14ac:dyDescent="0.45">
      <c r="A10" s="33" t="s">
        <v>76</v>
      </c>
      <c r="B10" s="33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3" t="s">
        <v>77</v>
      </c>
      <c r="B11" s="33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3" t="s">
        <v>78</v>
      </c>
      <c r="B12" s="33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3" t="s">
        <v>79</v>
      </c>
      <c r="B13" s="33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3" t="s">
        <v>80</v>
      </c>
      <c r="B14" s="33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3" t="s">
        <v>81</v>
      </c>
      <c r="B15" s="33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3" t="s">
        <v>82</v>
      </c>
      <c r="B16" s="33" t="s">
        <v>143</v>
      </c>
      <c r="C16" s="12" t="s">
        <v>42</v>
      </c>
      <c r="D16" s="12">
        <v>2</v>
      </c>
    </row>
    <row r="17" spans="1:5" x14ac:dyDescent="0.45">
      <c r="A17" s="33" t="s">
        <v>83</v>
      </c>
      <c r="B17" s="33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3" t="s">
        <v>84</v>
      </c>
      <c r="B18" s="33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3" t="s">
        <v>85</v>
      </c>
      <c r="B19" s="33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3" t="s">
        <v>86</v>
      </c>
      <c r="B20" s="33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3" t="s">
        <v>87</v>
      </c>
      <c r="B21" s="33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3" t="s">
        <v>88</v>
      </c>
      <c r="B22" s="33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3" t="s">
        <v>89</v>
      </c>
      <c r="B23" s="33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3" t="s">
        <v>90</v>
      </c>
      <c r="B24" s="33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3" t="s">
        <v>91</v>
      </c>
      <c r="B25" s="33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3" t="s">
        <v>92</v>
      </c>
      <c r="B26" s="33" t="s">
        <v>135</v>
      </c>
      <c r="C26" s="12" t="s">
        <v>51</v>
      </c>
      <c r="D26" s="12">
        <v>2</v>
      </c>
    </row>
    <row r="27" spans="1:5" x14ac:dyDescent="0.45">
      <c r="A27" s="33" t="s">
        <v>93</v>
      </c>
      <c r="B27" s="33" t="s">
        <v>144</v>
      </c>
      <c r="C27" s="12" t="s">
        <v>52</v>
      </c>
      <c r="D27" s="12">
        <v>3</v>
      </c>
    </row>
    <row r="28" spans="1:5" x14ac:dyDescent="0.45">
      <c r="A28" s="33" t="s">
        <v>94</v>
      </c>
      <c r="B28" s="33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3" t="s">
        <v>95</v>
      </c>
      <c r="B29" s="33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3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3" t="s">
        <v>97</v>
      </c>
      <c r="B31" s="33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3" t="s">
        <v>98</v>
      </c>
      <c r="B32" s="33" t="s">
        <v>148</v>
      </c>
      <c r="C32" s="12" t="s">
        <v>56</v>
      </c>
      <c r="D32" s="12">
        <v>13</v>
      </c>
    </row>
    <row r="33" spans="1:5" x14ac:dyDescent="0.45">
      <c r="A33" s="33" t="s">
        <v>99</v>
      </c>
      <c r="B33" s="33" t="s">
        <v>149</v>
      </c>
      <c r="C33" s="12" t="s">
        <v>57</v>
      </c>
      <c r="D33" s="12">
        <v>13</v>
      </c>
    </row>
    <row r="34" spans="1:5" x14ac:dyDescent="0.45">
      <c r="A34" s="33" t="s">
        <v>100</v>
      </c>
      <c r="B34" s="33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3" t="s">
        <v>101</v>
      </c>
      <c r="B35" s="33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3" t="s">
        <v>102</v>
      </c>
      <c r="B36" s="33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3" t="s">
        <v>103</v>
      </c>
      <c r="B37" s="33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3" t="s">
        <v>104</v>
      </c>
      <c r="B38" s="33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3" t="s">
        <v>105</v>
      </c>
      <c r="B39" s="33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3" t="s">
        <v>106</v>
      </c>
      <c r="B40" s="33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3" t="s">
        <v>107</v>
      </c>
      <c r="B41" s="33" t="s">
        <v>157</v>
      </c>
      <c r="C41" s="12" t="s">
        <v>65</v>
      </c>
      <c r="D41" s="12">
        <v>13</v>
      </c>
    </row>
    <row r="42" spans="1:5" x14ac:dyDescent="0.45">
      <c r="A42" s="33" t="s">
        <v>108</v>
      </c>
      <c r="B42" s="33" t="s">
        <v>158</v>
      </c>
      <c r="C42" s="12" t="s">
        <v>66</v>
      </c>
      <c r="D42" s="12">
        <v>13</v>
      </c>
    </row>
    <row r="43" spans="1:5" x14ac:dyDescent="0.45">
      <c r="A43" s="33" t="s">
        <v>109</v>
      </c>
      <c r="B43" s="33" t="s">
        <v>159</v>
      </c>
      <c r="C43" s="12" t="s">
        <v>67</v>
      </c>
      <c r="D43" s="12">
        <v>13</v>
      </c>
    </row>
    <row r="44" spans="1:5" x14ac:dyDescent="0.45">
      <c r="A44" s="33" t="s">
        <v>117</v>
      </c>
      <c r="B44" s="33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2" width="9" style="29"/>
    <col min="13" max="13" width="9" style="29" customWidth="1"/>
    <col min="14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E3" s="29">
        <v>3900</v>
      </c>
      <c r="F3" s="29">
        <v>7700</v>
      </c>
    </row>
    <row r="4" spans="1:13" x14ac:dyDescent="0.45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5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5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5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5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5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5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5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5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5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5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5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5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5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5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5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5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5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5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5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5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5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5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5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5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5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5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5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5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2020-10-23T09:31:25Z</dcterms:modified>
</cp:coreProperties>
</file>