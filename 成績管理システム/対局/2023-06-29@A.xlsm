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682E1E56-8695-4B19-9124-21C2B6705959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<sst xmlns="http://schemas.openxmlformats.org/spreadsheetml/2006/main" count="567" uniqueCount="176">
  <si>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</si>
  <si>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</si>
  <si>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</si>
  <si>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</si>
  <si>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</si>
  <si>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</si>
  <si>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</si>
  <si>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</si>
  <si>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</si>
  <si>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</si>
  <si>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</si>
  <si>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</si>
  <si>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</si>
  <si>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</si>
  <si>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</si>
  <si>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</si>
  <si>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</si>
  <si>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</si>
  <si>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</si>
  <si>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</si>
  <si>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</si>
  <si>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</si>
  <si>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</si>
  <si>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</si>
  <si>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</si>
  <si>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</si>
  <si>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</si>
  <si>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</si>
  <si>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</si>
  <si>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</si>
  <si>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</si>
  <si>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</si>
  <si>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</si>
  <si>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</si>
  <si>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</si>
  <si>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</si>
  <si>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</si>
  <si>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</si>
  <si>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</si>
  <si>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</si>
  <si>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</si>
  <si>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</si>
  <si>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</si>
  <si>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</si>
  <si>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</si>
  <si>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</si>
  <si>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</si>
  <si>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</si>
  <si>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</si>
  <si>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</si>
  <si>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</si>
  <si>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</si>
  <si>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</si>
  <si>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</si>
  <si>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</si>
  <si>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</si>
  <si>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</si>
  <si>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</si>
  <si>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</si>
  <si>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</si>
  <si>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</si>
  <si>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</si>
  <si>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</si>
  <si>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</si>
  <si>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</si>
  <si>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</si>
  <si>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</si>
  <si>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</si>
  <si>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</si>
  <si>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</si>
  <si>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</si>
  <si>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</si>
  <si>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</si>
  <si>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</si>
  <si>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</si>
  <si>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</si>
  <si>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</si>
  <si>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</si>
  <si>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</si>
  <si>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</si>
  <si>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</si>
  <si>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</si>
  <si>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</si>
  <si>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</si>
  <si>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</si>
  <si>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</si>
  <si>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</si>
  <si>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</si>
  <si>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</si>
  <si>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</si>
  <si>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</si>
  <si>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</si>
  <si>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</si>
  <si>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</si>
  <si>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</si>
  <si>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</si>
  <si>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</si>
  <si>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</si>
  <si>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</si>
  <si>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</si>
  <si>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</si>
  <si>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</si>
  <si>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</si>
  <si>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</si>
  <si>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</si>
  <si>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</si>
  <si>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</si>
  <si>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</si>
  <si>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</si>
  <si>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</si>
  <si>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</si>
  <si>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</si>
  <si>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</si>
  <si>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</si>
  <si>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</si>
  <si>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</si>
  <si>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</si>
  <si>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</si>
  <si>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</si>
  <si>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</si>
  <si>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</si>
  <si>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</si>
  <si>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</si>
  <si>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</si>
  <si>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</si>
  <si>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</si>
  <si>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</si>
  <si>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</si>
  <si>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</si>
  <si>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</si>
  <si>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</si>
  <si>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</si>
  <si>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</si>
  <si>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</si>
  <si>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</si>
  <si>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</si>
  <si>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</si>
  <si>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</si>
  <si>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</si>
  <si>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</si>
  <si>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</si>
  <si>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</si>
  <si>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</si>
  <si>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</si>
  <si>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</si>
  <si>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</si>
  <si>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</si>
  <si>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</si>
  <si>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</si>
  <si>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</si>
  <si>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</si>
  <si>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</si>
  <si>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</si>
  <si>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</si>
  <si>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</si>
  <si>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</si>
  <si>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</si>
  <si>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</si>
  <si>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</si>
  <si>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</si>
  <si>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</si>
  <si>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</si>
  <si>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中村花菜</t>
  </si>
  <si>
    <t>所附快和</t>
  </si>
  <si>
    <t>長野柊馬</t>
  </si>
  <si>
    <t>放銃</t>
  </si>
  <si>
    <t>ロン</t>
  </si>
  <si>
    <t>*</t>
  </si>
  <si>
    <t>01</t>
  </si>
  <si>
    <t>ツモ支払</t>
  </si>
  <si>
    <t>ツモ</t>
  </si>
  <si>
    <t>02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</si>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</sst>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C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渡部陵瑛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所附快和</v>
      </c>
      <c r="AB2" s="56" t="str">
        <f>IF($P$1="","",$P$1)</f>
        <v>長野柊馬</v>
      </c>
      <c r="AC2" s="13" t="str">
        <f>IF($U$1="","",$U$1)</f>
        <v>渡部陵瑛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5</v>
      </c>
      <c r="CU4" s="27" t="s">
        <v>167</v>
      </c>
      <c r="CV4" s="36" t="s">
        <v>168</v>
      </c>
      <c r="CW4" s="37" t="s">
        <v>74</v>
      </c>
      <c r="CX4" s="37" t="s">
        <v>70</v>
      </c>
      <c r="CY4" s="37" t="s">
        <v>70</v>
      </c>
      <c r="CZ4" s="37" t="s">
        <v>71</v>
      </c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169</v>
      </c>
      <c r="G5" s="6">
        <v>-1300</v>
      </c>
      <c r="H5" s="6"/>
      <c r="I5" s="6">
        <v>0</v>
      </c>
      <c r="J5" s="18">
        <f t="shared" ref="J5:J30" si="2">IF(COUNTA($F5,$K5,$P5,$U5)&gt;0,J4+SUM(G5:I5),"")</f>
        <v>23700</v>
      </c>
      <c r="K5" s="5" t="s">
        <v>169</v>
      </c>
      <c r="L5" s="6">
        <v>-2600</v>
      </c>
      <c r="M5" s="6"/>
      <c r="N5" s="6">
        <v>0</v>
      </c>
      <c r="O5" s="18">
        <f>IF(COUNTA($F5,$K5,$P5,$U5)&gt;0,O4+SUM(L5:N5),"")</f>
        <v>22400</v>
      </c>
      <c r="P5" s="5" t="s">
        <v>170</v>
      </c>
      <c r="Q5" s="6">
        <v>5200</v>
      </c>
      <c r="R5" s="6"/>
      <c r="S5" s="6">
        <v>0</v>
      </c>
      <c r="T5" s="18">
        <f t="shared" ref="T5:T30" si="3">IF(COUNTA($F5,$K5,$P5,$U5)&gt;0,T4+SUM(Q5:S5),"")</f>
        <v>22200</v>
      </c>
      <c r="U5" s="5" t="s">
        <v>169</v>
      </c>
      <c r="V5" s="6">
        <v>-1300</v>
      </c>
      <c r="W5" s="6"/>
      <c r="X5" s="6">
        <v>0</v>
      </c>
      <c r="Y5" s="18">
        <f t="shared" ref="Y5:Y30" si="4">IF(COUNTA($F5,$K5,$P5,$U5)&gt;0,Y4+SUM(V5:X5),"")</f>
        <v>31700</v>
      </c>
      <c r="Z5" s="45">
        <f>IF($J5="","",ROUND(($J5-30000)/1000,1)+(2.5-_xlfn.RANK.AVG($J5,($J5,$O5,$T5,$Y5)))*20+IF(_xlfn.RANK.EQ($J5,($J5,$O5,$T5,$Y5))=1,20/((_xlfn.RANK.AVG($J5,($J5,$O5,$T5,$Y5))-1)*2+1),0))</f>
        <v>3.7</v>
      </c>
      <c r="AA5" s="46">
        <f>IF($O5="","",ROUND(($O5-30000)/1000,1)+(2.5-_xlfn.RANK.AVG($O5,($J5,$O5,$T5,$Y5)))*20+IF(_xlfn.RANK.EQ($O5,($J5,$O5,$T5,$Y5))=1,20/((_xlfn.RANK.AVG($O5,($J5,$O5,$T5,$Y5))-1)*2+1),0))</f>
        <v>-17.600000000000001</v>
      </c>
      <c r="AB5" s="46">
        <f>IF($T5="","",ROUND(($T5-30000)/1000,1)+(2.5-_xlfn.RANK.AVG($T5,($J5,$O5,$T5,$Y5)))*20+IF(_xlfn.RANK.EQ($T5,($J5,$O5,$T5,$Y5))=1,20/((_xlfn.RANK.AVG($T5,($J5,$O5,$T5,$Y5))-1)*2+1),0))</f>
        <v>-37.799999999999997</v>
      </c>
      <c r="AC5" s="47">
        <f>IF($Y5="","",ROUND(($Y5-30000)/1000,1)+(2.5-_xlfn.RANK.AVG($Y5,($J5,$O5,$T5,$Y5)))*20+IF(_xlfn.RANK.EQ($Y5,($J5,$O5,$T5,$Y5))=1,20/((_xlfn.RANK.AVG($Y5,($J5,$O5,$T5,$Y5))-1)*2+1),0))</f>
        <v>51.7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20</v>
      </c>
      <c r="CA5" s="36" t="s">
        <v>168</v>
      </c>
      <c r="CB5" s="37" t="s">
        <v>73</v>
      </c>
      <c r="CC5" s="37" t="s">
        <v>171</v>
      </c>
      <c r="CD5" s="37" t="s">
        <v>74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169</v>
      </c>
      <c r="G6" s="6">
        <v>-4000</v>
      </c>
      <c r="H6" s="6"/>
      <c r="I6" s="6">
        <v>0</v>
      </c>
      <c r="J6" s="18">
        <f t="shared" si="2"/>
        <v>19700</v>
      </c>
      <c r="K6" s="5" t="s">
        <v>169</v>
      </c>
      <c r="L6" s="6">
        <v>-4000</v>
      </c>
      <c r="M6" s="6"/>
      <c r="N6" s="6">
        <v>0</v>
      </c>
      <c r="O6" s="18">
        <f t="shared" ref="O6:O30" si="8">IF(COUNTA($F6,$K6,$P6,$U6)&gt;0,O5+SUM(L6:N6),"")</f>
        <v>18400</v>
      </c>
      <c r="P6" s="5" t="s">
        <v>170</v>
      </c>
      <c r="Q6" s="6">
        <v>12000</v>
      </c>
      <c r="R6" s="6"/>
      <c r="S6" s="6">
        <v>0</v>
      </c>
      <c r="T6" s="18">
        <f t="shared" si="3"/>
        <v>34200</v>
      </c>
      <c r="U6" s="5" t="s">
        <v>169</v>
      </c>
      <c r="V6" s="6">
        <v>-4000</v>
      </c>
      <c r="W6" s="6"/>
      <c r="X6" s="6">
        <v>0</v>
      </c>
      <c r="Y6" s="18">
        <f t="shared" si="4"/>
        <v>27700</v>
      </c>
      <c r="Z6" s="45">
        <f>IF($J6="","",ROUND(($J6-30000)/1000,1)+(2.5-_xlfn.RANK.AVG($J6,($J6,$O6,$T6,$Y6)))*20+IF(_xlfn.RANK.EQ($J6,($J6,$O6,$T6,$Y6))=1,20/((_xlfn.RANK.AVG($J6,($J6,$O6,$T6,$Y6))-1)*2+1),0))</f>
        <v>-20.3</v>
      </c>
      <c r="AA6" s="46">
        <f>IF($O6="","",ROUND(($O6-30000)/1000,1)+(2.5-_xlfn.RANK.AVG($O6,($J6,$O6,$T6,$Y6)))*20+IF(_xlfn.RANK.EQ($O6,($J6,$O6,$T6,$Y6))=1,20/((_xlfn.RANK.AVG($O6,($J6,$O6,$T6,$Y6))-1)*2+1),0))</f>
        <v>-41.6</v>
      </c>
      <c r="AB6" s="46">
        <f>IF($T6="","",ROUND(($T6-30000)/1000,1)+(2.5-_xlfn.RANK.AVG($T6,($J6,$O6,$T6,$Y6)))*20+IF(_xlfn.RANK.EQ($T6,($J6,$O6,$T6,$Y6))=1,20/((_xlfn.RANK.AVG($T6,($J6,$O6,$T6,$Y6))-1)*2+1),0))</f>
        <v>54.2</v>
      </c>
      <c r="AC6" s="47">
        <f>IF($Y6="","",ROUND(($Y6-30000)/1000,1)+(2.5-_xlfn.RANK.AVG($Y6,($J6,$O6,$T6,$Y6)))*20+IF(_xlfn.RANK.EQ($Y6,($J6,$O6,$T6,$Y6))=1,20/((_xlfn.RANK.AVG($Y6,($J6,$O6,$T6,$Y6))-1)*2+1),0))</f>
        <v>7.7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73</v>
      </c>
      <c r="CB6" s="37" t="s">
        <v>70</v>
      </c>
      <c r="CC6" s="37" t="s">
        <v>71</v>
      </c>
      <c r="CD6" s="37" t="s">
        <v>71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長野柊馬</v>
      </c>
      <c r="F7" s="5" t="s">
        <v>170</v>
      </c>
      <c r="G7" s="6">
        <v>2000</v>
      </c>
      <c r="H7" s="6">
        <v>1000</v>
      </c>
      <c r="I7" s="6">
        <v>300</v>
      </c>
      <c r="J7" s="18">
        <f t="shared" si="2"/>
        <v>23000</v>
      </c>
      <c r="K7" s="5" t="s">
        <v>169</v>
      </c>
      <c r="L7" s="6">
        <v>-500</v>
      </c>
      <c r="M7" s="6"/>
      <c r="N7" s="6">
        <v>-100</v>
      </c>
      <c r="O7" s="18">
        <f t="shared" si="8"/>
        <v>17800</v>
      </c>
      <c r="P7" s="5" t="s">
        <v>169</v>
      </c>
      <c r="Q7" s="6">
        <v>-1000</v>
      </c>
      <c r="R7" s="6"/>
      <c r="S7" s="6">
        <v>-100</v>
      </c>
      <c r="T7" s="18">
        <f t="shared" si="3"/>
        <v>33100</v>
      </c>
      <c r="U7" s="5" t="s">
        <v>169</v>
      </c>
      <c r="V7" s="6">
        <v>-500</v>
      </c>
      <c r="W7" s="6">
        <v>-1000</v>
      </c>
      <c r="X7" s="6">
        <v>-100</v>
      </c>
      <c r="Y7" s="18">
        <f t="shared" si="4"/>
        <v>26100</v>
      </c>
      <c r="Z7" s="45">
        <f>IF($J7="","",ROUND(($J7-30000)/1000,1)+(2.5-_xlfn.RANK.AVG($J7,($J7,$O7,$T7,$Y7)))*20+IF(_xlfn.RANK.EQ($J7,($J7,$O7,$T7,$Y7))=1,20/((_xlfn.RANK.AVG($J7,($J7,$O7,$T7,$Y7))-1)*2+1),0))</f>
        <v>-17</v>
      </c>
      <c r="AA7" s="46">
        <f>IF($O7="","",ROUND(($O7-30000)/1000,1)+(2.5-_xlfn.RANK.AVG($O7,($J7,$O7,$T7,$Y7)))*20+IF(_xlfn.RANK.EQ($O7,($J7,$O7,$T7,$Y7))=1,20/((_xlfn.RANK.AVG($O7,($J7,$O7,$T7,$Y7))-1)*2+1),0))</f>
        <v>-42.2</v>
      </c>
      <c r="AB7" s="46">
        <f>IF($T7="","",ROUND(($T7-30000)/1000,1)+(2.5-_xlfn.RANK.AVG($T7,($J7,$O7,$T7,$Y7)))*20+IF(_xlfn.RANK.EQ($T7,($J7,$O7,$T7,$Y7))=1,20/((_xlfn.RANK.AVG($T7,($J7,$O7,$T7,$Y7))-1)*2+1),0))</f>
        <v>53.1</v>
      </c>
      <c r="AC7" s="47">
        <f>IF($Y7="","",ROUND(($Y7-30000)/1000,1)+(2.5-_xlfn.RANK.AVG($Y7,($J7,$O7,$T7,$Y7)))*20+IF(_xlfn.RANK.EQ($Y7,($J7,$O7,$T7,$Y7))=1,20/((_xlfn.RANK.AVG($Y7,($J7,$O7,$T7,$Y7))-1)*2+1),0))</f>
        <v>6.1</v>
      </c>
      <c r="AE7" s="5"/>
      <c r="AF7" s="30"/>
      <c r="AG7" s="23"/>
      <c r="AH7" s="23"/>
      <c r="AI7" s="23">
        <v>2</v>
      </c>
      <c r="AJ7" s="27">
        <v>30</v>
      </c>
      <c r="AK7" s="36" t="s">
        <v>73</v>
      </c>
      <c r="AL7" s="37" t="s">
        <v>70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渡部陵瑛</v>
      </c>
      <c r="F8" s="5" t="s">
        <v>165</v>
      </c>
      <c r="G8" s="6">
        <v>-3200</v>
      </c>
      <c r="H8" s="6"/>
      <c r="I8" s="6">
        <v>0</v>
      </c>
      <c r="J8" s="18">
        <f t="shared" si="2"/>
        <v>19800</v>
      </c>
      <c r="K8" s="5" t="s">
        <v>166</v>
      </c>
      <c r="L8" s="6">
        <v>3200</v>
      </c>
      <c r="M8" s="6"/>
      <c r="N8" s="6">
        <v>0</v>
      </c>
      <c r="O8" s="18">
        <f t="shared" si="8"/>
        <v>21000</v>
      </c>
      <c r="P8" s="5"/>
      <c r="Q8" s="6"/>
      <c r="R8" s="6"/>
      <c r="S8" s="6"/>
      <c r="T8" s="18">
        <f t="shared" si="3"/>
        <v>33100</v>
      </c>
      <c r="U8" s="5"/>
      <c r="V8" s="6"/>
      <c r="W8" s="6"/>
      <c r="X8" s="6"/>
      <c r="Y8" s="18">
        <f t="shared" si="4"/>
        <v>26100</v>
      </c>
      <c r="Z8" s="45">
        <f>IF($J8="","",ROUND(($J8-30000)/1000,1)+(2.5-_xlfn.RANK.AVG($J8,($J8,$O8,$T8,$Y8)))*20+IF(_xlfn.RANK.EQ($J8,($J8,$O8,$T8,$Y8))=1,20/((_xlfn.RANK.AVG($J8,($J8,$O8,$T8,$Y8))-1)*2+1),0))</f>
        <v>-40.200000000000003</v>
      </c>
      <c r="AA8" s="46">
        <f>IF($O8="","",ROUND(($O8-30000)/1000,1)+(2.5-_xlfn.RANK.AVG($O8,($J8,$O8,$T8,$Y8)))*20+IF(_xlfn.RANK.EQ($O8,($J8,$O8,$T8,$Y8))=1,20/((_xlfn.RANK.AVG($O8,($J8,$O8,$T8,$Y8))-1)*2+1),0))</f>
        <v>-19</v>
      </c>
      <c r="AB8" s="46">
        <f>IF($T8="","",ROUND(($T8-30000)/1000,1)+(2.5-_xlfn.RANK.AVG($T8,($J8,$O8,$T8,$Y8)))*20+IF(_xlfn.RANK.EQ($T8,($J8,$O8,$T8,$Y8))=1,20/((_xlfn.RANK.AVG($T8,($J8,$O8,$T8,$Y8))-1)*2+1),0))</f>
        <v>53.1</v>
      </c>
      <c r="AC8" s="47">
        <f>IF($Y8="","",ROUND(($Y8-30000)/1000,1)+(2.5-_xlfn.RANK.AVG($Y8,($J8,$O8,$T8,$Y8)))*20+IF(_xlfn.RANK.EQ($Y8,($J8,$O8,$T8,$Y8))=1,20/((_xlfn.RANK.AVG($Y8,($J8,$O8,$T8,$Y8))-1)*2+1),0))</f>
        <v>6.1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50</v>
      </c>
      <c r="BF8" s="36" t="s">
        <v>168</v>
      </c>
      <c r="BG8" s="37" t="s">
        <v>172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中村花菜</v>
      </c>
      <c r="F9" s="5" t="s">
        <v>169</v>
      </c>
      <c r="G9" s="6">
        <v>-4000</v>
      </c>
      <c r="H9" s="6"/>
      <c r="I9" s="6">
        <v>0</v>
      </c>
      <c r="J9" s="18">
        <f t="shared" si="2"/>
        <v>15800</v>
      </c>
      <c r="K9" s="5" t="s">
        <v>170</v>
      </c>
      <c r="L9" s="6">
        <v>8000</v>
      </c>
      <c r="M9" s="6">
        <v>1000</v>
      </c>
      <c r="N9" s="6">
        <v>0</v>
      </c>
      <c r="O9" s="18">
        <f t="shared" si="8"/>
        <v>30000</v>
      </c>
      <c r="P9" s="5" t="s">
        <v>169</v>
      </c>
      <c r="Q9" s="6">
        <v>-2000</v>
      </c>
      <c r="R9" s="6">
        <v>-1000</v>
      </c>
      <c r="S9" s="6">
        <v>0</v>
      </c>
      <c r="T9" s="18">
        <f t="shared" si="3"/>
        <v>30100</v>
      </c>
      <c r="U9" s="5" t="s">
        <v>169</v>
      </c>
      <c r="V9" s="6">
        <v>-2000</v>
      </c>
      <c r="W9" s="6"/>
      <c r="X9" s="6">
        <v>0</v>
      </c>
      <c r="Y9" s="18">
        <f t="shared" si="4"/>
        <v>24100</v>
      </c>
      <c r="Z9" s="45">
        <f>IF($J9="","",ROUND(($J9-30000)/1000,1)+(2.5-_xlfn.RANK.AVG($J9,($J9,$O9,$T9,$Y9)))*20+IF(_xlfn.RANK.EQ($J9,($J9,$O9,$T9,$Y9))=1,20/((_xlfn.RANK.AVG($J9,($J9,$O9,$T9,$Y9))-1)*2+1),0))</f>
        <v>-44.2</v>
      </c>
      <c r="AA9" s="46">
        <f>IF($O9="","",ROUND(($O9-30000)/1000,1)+(2.5-_xlfn.RANK.AVG($O9,($J9,$O9,$T9,$Y9)))*20+IF(_xlfn.RANK.EQ($O9,($J9,$O9,$T9,$Y9))=1,20/((_xlfn.RANK.AVG($O9,($J9,$O9,$T9,$Y9))-1)*2+1),0))</f>
        <v>10</v>
      </c>
      <c r="AB9" s="46">
        <f>IF($T9="","",ROUND(($T9-30000)/1000,1)+(2.5-_xlfn.RANK.AVG($T9,($J9,$O9,$T9,$Y9)))*20+IF(_xlfn.RANK.EQ($T9,($J9,$O9,$T9,$Y9))=1,20/((_xlfn.RANK.AVG($T9,($J9,$O9,$T9,$Y9))-1)*2+1),0))</f>
        <v>50.1</v>
      </c>
      <c r="AC9" s="47">
        <f>IF($Y9="","",ROUND(($Y9-30000)/1000,1)+(2.5-_xlfn.RANK.AVG($Y9,($J9,$O9,$T9,$Y9)))*20+IF(_xlfn.RANK.EQ($Y9,($J9,$O9,$T9,$Y9))=1,20/((_xlfn.RANK.AVG($Y9,($J9,$O9,$T9,$Y9))-1)*2+1),0))</f>
        <v>-15.9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30</v>
      </c>
      <c r="BF9" s="36" t="s">
        <v>168</v>
      </c>
      <c r="BG9" s="37" t="s">
        <v>73</v>
      </c>
      <c r="BH9" s="37" t="s">
        <v>70</v>
      </c>
      <c r="BI9" s="37" t="s">
        <v>172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175</v>
      </c>
      <c r="G10" s="6">
        <v>-1000</v>
      </c>
      <c r="H10" s="6"/>
      <c r="I10" s="6"/>
      <c r="J10" s="18">
        <f t="shared" si="2"/>
        <v>14800</v>
      </c>
      <c r="K10" s="5" t="s">
        <v>175</v>
      </c>
      <c r="L10" s="6">
        <v>-1000</v>
      </c>
      <c r="M10" s="6"/>
      <c r="N10" s="6"/>
      <c r="O10" s="18">
        <f t="shared" si="8"/>
        <v>29000</v>
      </c>
      <c r="P10" s="5" t="s">
        <v>175</v>
      </c>
      <c r="Q10" s="6">
        <v>3000</v>
      </c>
      <c r="R10" s="6">
        <v>0</v>
      </c>
      <c r="S10" s="6"/>
      <c r="T10" s="18">
        <f t="shared" si="3"/>
        <v>33100</v>
      </c>
      <c r="U10" s="5" t="s">
        <v>175</v>
      </c>
      <c r="V10" s="6">
        <v>-1000</v>
      </c>
      <c r="W10" s="6"/>
      <c r="X10" s="6"/>
      <c r="Y10" s="18">
        <f t="shared" si="4"/>
        <v>23100</v>
      </c>
      <c r="Z10" s="45">
        <f>IF($J10="","",ROUND(($J10-30000)/1000,1)+(2.5-_xlfn.RANK.AVG($J10,($J10,$O10,$T10,$Y10)))*20+IF(_xlfn.RANK.EQ($J10,($J10,$O10,$T10,$Y10))=1,20/((_xlfn.RANK.AVG($J10,($J10,$O10,$T10,$Y10))-1)*2+1),0))</f>
        <v>-45.2</v>
      </c>
      <c r="AA10" s="46">
        <f>IF($O10="","",ROUND(($O10-30000)/1000,1)+(2.5-_xlfn.RANK.AVG($O10,($J10,$O10,$T10,$Y10)))*20+IF(_xlfn.RANK.EQ($O10,($J10,$O10,$T10,$Y10))=1,20/((_xlfn.RANK.AVG($O10,($J10,$O10,$T10,$Y10))-1)*2+1),0))</f>
        <v>9</v>
      </c>
      <c r="AB10" s="46">
        <f>IF($T10="","",ROUND(($T10-30000)/1000,1)+(2.5-_xlfn.RANK.AVG($T10,($J10,$O10,$T10,$Y10)))*20+IF(_xlfn.RANK.EQ($T10,($J10,$O10,$T10,$Y10))=1,20/((_xlfn.RANK.AVG($T10,($J10,$O10,$T10,$Y10))-1)*2+1),0))</f>
        <v>53.1</v>
      </c>
      <c r="AC10" s="47">
        <f>IF($Y10="","",ROUND(($Y10-30000)/1000,1)+(2.5-_xlfn.RANK.AVG($Y10,($J10,$O10,$T10,$Y10)))*20+IF(_xlfn.RANK.EQ($Y10,($J10,$O10,$T10,$Y10))=1,20/((_xlfn.RANK.AVG($Y10,($J10,$O10,$T10,$Y10))-1)*2+1),0))</f>
        <v>-16.899999999999999</v>
      </c>
      <c r="AE10" s="5" t="s">
        <v>173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174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173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AFA8900-9DAD-4609-AF26-901EC2E0E6B1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2023-06-29T09:11:25Z</dcterms:modified>
</cp:coreProperties>
</file>