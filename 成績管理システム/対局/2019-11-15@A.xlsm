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7E944553-F0AC-44F2-8809-114EBD46592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13" i="27" l="1"/>
  <c r="Z13" i="27"/>
  <c r="AA13" i="27"/>
  <c r="AC13" i="27"/>
  <c r="AC12" i="27"/>
  <c r="Z12" i="27"/>
  <c r="AA12" i="27"/>
  <c r="AB12" i="27"/>
  <c r="AB11" i="27"/>
  <c r="AC11" i="27"/>
  <c r="Z11" i="27"/>
  <c r="AA11" i="27"/>
  <c r="AB10" i="27"/>
  <c r="Z10" i="27"/>
  <c r="AA10" i="27"/>
  <c r="AC10" i="27"/>
  <c r="Z9" i="27"/>
  <c r="AA9" i="27"/>
  <c r="AB9" i="27"/>
  <c r="AC9" i="27"/>
  <c r="AB4" i="27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<sst xmlns="http://schemas.openxmlformats.org/spreadsheetml/2006/main" count="624" uniqueCount="200">
  <si>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</si>
  <si>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</si>
  <si>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</si>
  <si>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</si>
  <si>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</si>
  <si>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</si>
  <si>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</si>
  <si>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</si>
  <si>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</si>
  <si>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</si>
  <si>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</si>
  <si>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</si>
  <si>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</si>
  <si>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</si>
  <si>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</si>
  <si>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</si>
  <si>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</si>
  <si>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</si>
  <si>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</si>
  <si>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</si>
  <si>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</si>
  <si>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</si>
  <si>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</si>
  <si>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</si>
  <si>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</si>
  <si>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</si>
  <si>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</si>
  <si>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</si>
  <si>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</si>
  <si>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</si>
  <si>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</si>
  <si>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</si>
  <si>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</si>
  <si>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</si>
  <si>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</si>
  <si>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</si>
  <si>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</si>
  <si>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</si>
  <si>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</si>
  <si>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</si>
  <si>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</si>
  <si>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</si>
  <si>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</si>
  <si>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</si>
  <si>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</si>
  <si>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</si>
  <si>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</si>
  <si>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</si>
  <si>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</si>
  <si>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</si>
  <si>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</si>
  <si>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</si>
  <si>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</si>
  <si>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</si>
  <si>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</si>
  <si>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</si>
  <si>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</si>
  <si>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</si>
  <si>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</si>
  <si>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</si>
  <si>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</si>
  <si>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</si>
  <si>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</si>
  <si>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</si>
  <si>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</si>
  <si>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</si>
  <si>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</si>
  <si>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</si>
  <si>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</si>
  <si>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</si>
  <si>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</si>
  <si>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</si>
  <si>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</si>
  <si>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</si>
  <si>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</si>
  <si>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</si>
  <si>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</si>
  <si>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</si>
  <si>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</si>
  <si>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</si>
  <si>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</si>
  <si>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</si>
  <si>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</si>
  <si>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</si>
  <si>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</si>
  <si>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</si>
  <si>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</si>
  <si>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</si>
  <si>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</si>
  <si>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</si>
  <si>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</si>
  <si>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</si>
  <si>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</si>
  <si>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</si>
  <si>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</si>
  <si>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</si>
  <si>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</si>
  <si>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</si>
  <si>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</si>
  <si>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</si>
  <si>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</si>
  <si>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</si>
  <si>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</si>
  <si>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</si>
  <si>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</si>
  <si>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</si>
  <si>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</si>
  <si>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</si>
  <si>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</si>
  <si>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</si>
  <si>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</si>
  <si>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</si>
  <si>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</si>
  <si>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</si>
  <si>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</si>
  <si>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</si>
  <si>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</si>
  <si>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</si>
  <si>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</si>
  <si>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</si>
  <si>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</si>
  <si>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</si>
  <si>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</si>
  <si>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</si>
  <si>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</si>
  <si>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</si>
  <si>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</si>
  <si>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</si>
  <si>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</si>
  <si>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</si>
  <si>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</si>
  <si>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</si>
  <si>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</si>
  <si>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</si>
  <si>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</si>
  <si>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</si>
  <si>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</si>
  <si>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</si>
  <si>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</si>
  <si>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</si>
  <si>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</si>
  <si>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</si>
  <si>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</si>
  <si>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</si>
  <si>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</si>
  <si>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</si>
  <si>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</si>
  <si>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</si>
  <si>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</si>
  <si>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</si>
  <si>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</si>
  <si>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</si>
  <si>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</si>
  <si>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</si>
  <si>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</si>
  <si>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</si>
  <si>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</si>
  <si>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</si>
  <si>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</si>
  <si>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</si>
  <si>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</si>
  <si>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</si>
  <si>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</si>
  <si>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</si>
  <si>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</si>
  <si>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</si>
  <si>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</si>
  <si>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</si>
  <si>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</si>
  <si>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</si>
  <si>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</si>
  <si>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</si>
  <si>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</si>
  <si>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</si>
  <si>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</si>
  <si>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</si>
  <si>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</si>
  <si>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</si>
  <si>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</si>
  <si>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</si>
  <si>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</si>
  <si>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</si>
  <si>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</si>
  <si>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</si>
  <si>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</si>
  <si>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松澤亮太</t>
  </si>
  <si>
    <t>滝沢悠人</t>
  </si>
  <si>
    <t>大池陸斗</t>
  </si>
  <si>
    <t>百瀬成空</t>
  </si>
  <si>
    <t>ロン</t>
  </si>
  <si>
    <t>放銃</t>
  </si>
  <si>
    <t>*</t>
  </si>
  <si>
    <t>01</t>
  </si>
  <si>
    <t>52</t>
  </si>
  <si>
    <t>流局</t>
  </si>
  <si>
    <t>T</t>
  </si>
  <si>
    <t>N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</si>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</sst>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185</v>
      </c>
      <c r="G1" s="66"/>
      <c r="H1" s="66"/>
      <c r="I1" s="67"/>
      <c r="J1" s="68"/>
      <c r="K1" s="65" t="s">
        <v>186</v>
      </c>
      <c r="L1" s="66"/>
      <c r="M1" s="66"/>
      <c r="N1" s="67"/>
      <c r="O1" s="68"/>
      <c r="P1" s="65" t="s">
        <v>187</v>
      </c>
      <c r="Q1" s="66"/>
      <c r="R1" s="66"/>
      <c r="S1" s="67"/>
      <c r="T1" s="68"/>
      <c r="U1" s="65" t="s">
        <v>188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松澤亮太</v>
      </c>
      <c r="AF1" s="75" t="str">
        <f t="shared" ref="AF1:AY1" si="0">$F$1</f>
        <v>松澤亮太</v>
      </c>
      <c r="AG1" s="66" t="str">
        <f t="shared" si="0"/>
        <v>松澤亮太</v>
      </c>
      <c r="AH1" s="66" t="str">
        <f t="shared" si="0"/>
        <v>松澤亮太</v>
      </c>
      <c r="AI1" s="66" t="str">
        <f t="shared" si="0"/>
        <v>松澤亮太</v>
      </c>
      <c r="AJ1" s="66" t="str">
        <f t="shared" si="0"/>
        <v>松澤亮太</v>
      </c>
      <c r="AK1" s="66" t="str">
        <f t="shared" si="0"/>
        <v>松澤亮太</v>
      </c>
      <c r="AL1" s="66" t="str">
        <f t="shared" si="0"/>
        <v>松澤亮太</v>
      </c>
      <c r="AM1" s="66" t="str">
        <f t="shared" si="0"/>
        <v>松澤亮太</v>
      </c>
      <c r="AN1" s="66" t="str">
        <f t="shared" si="0"/>
        <v>松澤亮太</v>
      </c>
      <c r="AO1" s="66" t="str">
        <f t="shared" si="0"/>
        <v>松澤亮太</v>
      </c>
      <c r="AP1" s="66" t="str">
        <f t="shared" si="0"/>
        <v>松澤亮太</v>
      </c>
      <c r="AQ1" s="66" t="str">
        <f t="shared" si="0"/>
        <v>松澤亮太</v>
      </c>
      <c r="AR1" s="66" t="str">
        <f t="shared" si="0"/>
        <v>松澤亮太</v>
      </c>
      <c r="AS1" s="66" t="str">
        <f t="shared" si="0"/>
        <v>松澤亮太</v>
      </c>
      <c r="AT1" s="66" t="str">
        <f t="shared" si="0"/>
        <v>松澤亮太</v>
      </c>
      <c r="AU1" s="66" t="str">
        <f t="shared" si="0"/>
        <v>松澤亮太</v>
      </c>
      <c r="AV1" s="66" t="str">
        <f t="shared" si="0"/>
        <v>松澤亮太</v>
      </c>
      <c r="AW1" s="66" t="str">
        <f t="shared" si="0"/>
        <v>松澤亮太</v>
      </c>
      <c r="AX1" s="66" t="str">
        <f t="shared" si="0"/>
        <v>松澤亮太</v>
      </c>
      <c r="AY1" s="68" t="str">
        <f t="shared" si="0"/>
        <v>松澤亮太</v>
      </c>
      <c r="AZ1" s="65" t="str">
        <f>IF($K$1="","",$K$1)</f>
        <v>滝沢悠人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大池陸斗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百瀬成空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>松澤亮太</v>
      </c>
      <c r="AA2" s="61" t="str">
        <f>IF($K$1="","",$K$1)</f>
        <v>滝沢悠人</v>
      </c>
      <c r="AB2" s="61" t="str">
        <f>IF($P$1="","",$P$1)</f>
        <v>大池陸斗</v>
      </c>
      <c r="AC2" s="13" t="str">
        <f>IF($U$1="","",$U$1)</f>
        <v>百瀬成空</v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>松澤亮太</v>
      </c>
      <c r="F4" s="5"/>
      <c r="G4" s="6"/>
      <c r="H4" s="6"/>
      <c r="I4" s="45"/>
      <c r="J4" s="18">
        <f>IF(COUNTA($F4,$K4,$P4,$U4)&gt;0,J3+SUM(G4:I4),"")</f>
        <v>25000</v>
      </c>
      <c r="K4" s="5" t="s">
        <v>189</v>
      </c>
      <c r="L4" s="6">
        <v>12000</v>
      </c>
      <c r="M4" s="6"/>
      <c r="N4" s="45">
        <v>0</v>
      </c>
      <c r="O4" s="18">
        <f>IF(COUNTA($F4,$K4,$P4,$U4)&gt;0,O3+SUM(L4:N4),"")</f>
        <v>37000</v>
      </c>
      <c r="P4" s="5" t="s">
        <v>190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57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6</v>
      </c>
      <c r="BE4" s="27" t="s">
        <v>191</v>
      </c>
      <c r="BF4" s="37" t="s">
        <v>192</v>
      </c>
      <c r="BG4" s="38" t="s">
        <v>83</v>
      </c>
      <c r="BH4" s="38" t="s">
        <v>85</v>
      </c>
      <c r="BI4" s="38" t="s">
        <v>193</v>
      </c>
      <c r="BJ4" s="38" t="s">
        <v>79</v>
      </c>
      <c r="BK4" s="38" t="s">
        <v>80</v>
      </c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186</v>
      </c>
      <c r="F5" s="5" t="s">
        <v>194</v>
      </c>
      <c r="G5" s="6">
        <v>1500</v>
      </c>
      <c r="H5" s="6">
        <v>-1000</v>
      </c>
      <c r="I5" s="45"/>
      <c r="J5" s="18">
        <f t="shared" ref="J5:J30" si="2">IF(COUNTA($F5,$K5,$P5,$U5)&gt;0,J4+SUM(G5:I5),"")</f>
        <v>25500</v>
      </c>
      <c r="K5" s="5" t="s">
        <v>194</v>
      </c>
      <c r="L5" s="6">
        <v>1500</v>
      </c>
      <c r="M5" s="6"/>
      <c r="N5" s="45"/>
      <c r="O5" s="18">
        <f>IF(COUNTA($F5,$K5,$P5,$U5)&gt;0,O4+SUM(L5:N5),"")</f>
        <v>38500</v>
      </c>
      <c r="P5" s="5" t="s">
        <v>194</v>
      </c>
      <c r="Q5" s="6">
        <v>-1500</v>
      </c>
      <c r="R5" s="6"/>
      <c r="S5" s="45"/>
      <c r="T5" s="18">
        <f t="shared" ref="T5:T30" si="3">IF(COUNTA($F5,$K5,$P5,$U5)&gt;0,T4+SUM(Q5:S5),"")</f>
        <v>11500</v>
      </c>
      <c r="U5" s="5" t="s">
        <v>194</v>
      </c>
      <c r="V5" s="6">
        <v>-1500</v>
      </c>
      <c r="W5" s="6"/>
      <c r="X5" s="45"/>
      <c r="Y5" s="18">
        <f t="shared" ref="Y5:Y30" si="4">IF(COUNTA($F5,$K5,$P5,$U5)&gt;0,Y4+SUM(V5:X5),"")</f>
        <v>23500</v>
      </c>
      <c r="Z5" s="50">
        <f>IF($J5="","",ROUND(($J5-30000)/1000,1)+(2.5-_xlfn.RANK.AVG($J5,($J5,$O5,$T5,$Y5)))*20+IF(_xlfn.RANK.EQ($J5,($J5,$O5,$T5,$Y5))=1,20/((_xlfn.RANK.AVG($J5,($J5,$O5,$T5,$Y5))-1)*2+1),0))</f>
        <v>5.5</v>
      </c>
      <c r="AA5" s="51">
        <f>IF($O5="","",ROUND(($O5-30000)/1000,1)+(2.5-_xlfn.RANK.AVG($O5,($J5,$O5,$T5,$Y5)))*20+IF(_xlfn.RANK.EQ($O5,($J5,$O5,$T5,$Y5))=1,20/((_xlfn.RANK.AVG($O5,($J5,$O5,$T5,$Y5))-1)*2+1),0))</f>
        <v>58.5</v>
      </c>
      <c r="AB5" s="51">
        <f>IF($T5="","",ROUND(($T5-30000)/1000,1)+(2.5-_xlfn.RANK.AVG($T5,($J5,$O5,$T5,$Y5)))*20+IF(_xlfn.RANK.EQ($T5,($J5,$O5,$T5,$Y5))=1,20/((_xlfn.RANK.AVG($T5,($J5,$O5,$T5,$Y5))-1)*2+1),0))</f>
        <v>-48.5</v>
      </c>
      <c r="AC5" s="52">
        <f>IF($Y5="","",ROUND(($Y5-30000)/1000,1)+(2.5-_xlfn.RANK.AVG($Y5,($J5,$O5,$T5,$Y5)))*20+IF(_xlfn.RANK.EQ($Y5,($J5,$O5,$T5,$Y5))=1,20/((_xlfn.RANK.AVG($Y5,($J5,$O5,$T5,$Y5))-1)*2+1),0))</f>
        <v>-16.5</v>
      </c>
      <c r="AE5" s="5" t="s">
        <v>195</v>
      </c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195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196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196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63" t="s">
        <v>186</v>
      </c>
      <c r="F6" s="5" t="s">
        <v>197</v>
      </c>
      <c r="G6" s="6">
        <v>-6000</v>
      </c>
      <c r="H6" s="6"/>
      <c r="I6" s="45">
        <v>-100</v>
      </c>
      <c r="J6" s="18">
        <f t="shared" si="2"/>
        <v>19400</v>
      </c>
      <c r="K6" s="5" t="s">
        <v>198</v>
      </c>
      <c r="L6" s="6">
        <v>18000</v>
      </c>
      <c r="M6" s="6">
        <v>2000</v>
      </c>
      <c r="N6" s="45">
        <v>300</v>
      </c>
      <c r="O6" s="18">
        <f t="shared" ref="O6:O30" si="8">IF(COUNTA($F6,$K6,$P6,$U6)&gt;0,O5+SUM(L6:N6),"")</f>
        <v>58800</v>
      </c>
      <c r="P6" s="5" t="s">
        <v>197</v>
      </c>
      <c r="Q6" s="6">
        <v>-6000</v>
      </c>
      <c r="R6" s="6"/>
      <c r="S6" s="45">
        <v>-100</v>
      </c>
      <c r="T6" s="18">
        <f t="shared" si="3"/>
        <v>5400</v>
      </c>
      <c r="U6" s="5" t="s">
        <v>197</v>
      </c>
      <c r="V6" s="6">
        <v>-6000</v>
      </c>
      <c r="W6" s="6">
        <v>-1000</v>
      </c>
      <c r="X6" s="45">
        <v>-100</v>
      </c>
      <c r="Y6" s="18">
        <f t="shared" si="4"/>
        <v>16400</v>
      </c>
      <c r="Z6" s="50">
        <f>IF($J6="","",ROUND(($J6-30000)/1000,1)+(2.5-_xlfn.RANK.AVG($J6,($J6,$O6,$T6,$Y6)))*20+IF(_xlfn.RANK.EQ($J6,($J6,$O6,$T6,$Y6))=1,20/((_xlfn.RANK.AVG($J6,($J6,$O6,$T6,$Y6))-1)*2+1),0))</f>
        <v>-0.59999999999999964</v>
      </c>
      <c r="AA6" s="51">
        <f>IF($O6="","",ROUND(($O6-30000)/1000,1)+(2.5-_xlfn.RANK.AVG($O6,($J6,$O6,$T6,$Y6)))*20+IF(_xlfn.RANK.EQ($O6,($J6,$O6,$T6,$Y6))=1,20/((_xlfn.RANK.AVG($O6,($J6,$O6,$T6,$Y6))-1)*2+1),0))</f>
        <v>78.8</v>
      </c>
      <c r="AB6" s="51">
        <f>IF($T6="","",ROUND(($T6-30000)/1000,1)+(2.5-_xlfn.RANK.AVG($T6,($J6,$O6,$T6,$Y6)))*20+IF(_xlfn.RANK.EQ($T6,($J6,$O6,$T6,$Y6))=1,20/((_xlfn.RANK.AVG($T6,($J6,$O6,$T6,$Y6))-1)*2+1),0))</f>
        <v>-54.6</v>
      </c>
      <c r="AC6" s="52">
        <f>IF($Y6="","",ROUND(($Y6-30000)/1000,1)+(2.5-_xlfn.RANK.AVG($Y6,($J6,$O6,$T6,$Y6)))*20+IF(_xlfn.RANK.EQ($Y6,($J6,$O6,$T6,$Y6))=1,20/((_xlfn.RANK.AVG($Y6,($J6,$O6,$T6,$Y6))-1)*2+1),0))</f>
        <v>-23.6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6</v>
      </c>
      <c r="BE6" s="27" t="s">
        <v>191</v>
      </c>
      <c r="BF6" s="37" t="s">
        <v>192</v>
      </c>
      <c r="BG6" s="38" t="s">
        <v>82</v>
      </c>
      <c r="BH6" s="38" t="s">
        <v>84</v>
      </c>
      <c r="BI6" s="38" t="s">
        <v>193</v>
      </c>
      <c r="BJ6" s="38" t="s">
        <v>80</v>
      </c>
      <c r="BK6" s="38" t="s">
        <v>80</v>
      </c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63" t="s">
        <v>186</v>
      </c>
      <c r="F7" s="5" t="s">
        <v>189</v>
      </c>
      <c r="G7" s="6">
        <v>12000</v>
      </c>
      <c r="H7" s="6">
        <v>1000</v>
      </c>
      <c r="I7" s="45">
        <v>600</v>
      </c>
      <c r="J7" s="18">
        <f t="shared" si="2"/>
        <v>33000</v>
      </c>
      <c r="K7" s="5"/>
      <c r="L7" s="6"/>
      <c r="M7" s="6"/>
      <c r="N7" s="45"/>
      <c r="O7" s="18">
        <f t="shared" si="8"/>
        <v>58800</v>
      </c>
      <c r="P7" s="5"/>
      <c r="Q7" s="6"/>
      <c r="R7" s="6">
        <v>-1000</v>
      </c>
      <c r="S7" s="45"/>
      <c r="T7" s="18">
        <f t="shared" si="3"/>
        <v>4400</v>
      </c>
      <c r="U7" s="5" t="s">
        <v>190</v>
      </c>
      <c r="V7" s="6">
        <v>-12000</v>
      </c>
      <c r="W7" s="6"/>
      <c r="X7" s="45">
        <v>-600</v>
      </c>
      <c r="Y7" s="18">
        <f t="shared" si="4"/>
        <v>3800</v>
      </c>
      <c r="Z7" s="50">
        <f>IF($J7="","",ROUND(($J7-30000)/1000,1)+(2.5-_xlfn.RANK.AVG($J7,($J7,$O7,$T7,$Y7)))*20+IF(_xlfn.RANK.EQ($J7,($J7,$O7,$T7,$Y7))=1,20/((_xlfn.RANK.AVG($J7,($J7,$O7,$T7,$Y7))-1)*2+1),0))</f>
        <v>13</v>
      </c>
      <c r="AA7" s="51">
        <f>IF($O7="","",ROUND(($O7-30000)/1000,1)+(2.5-_xlfn.RANK.AVG($O7,($J7,$O7,$T7,$Y7)))*20+IF(_xlfn.RANK.EQ($O7,($J7,$O7,$T7,$Y7))=1,20/((_xlfn.RANK.AVG($O7,($J7,$O7,$T7,$Y7))-1)*2+1),0))</f>
        <v>78.8</v>
      </c>
      <c r="AB7" s="51">
        <f>IF($T7="","",ROUND(($T7-30000)/1000,1)+(2.5-_xlfn.RANK.AVG($T7,($J7,$O7,$T7,$Y7)))*20+IF(_xlfn.RANK.EQ($T7,($J7,$O7,$T7,$Y7))=1,20/((_xlfn.RANK.AVG($T7,($J7,$O7,$T7,$Y7))-1)*2+1),0))</f>
        <v>-35.6</v>
      </c>
      <c r="AC7" s="52">
        <f>IF($Y7="","",ROUND(($Y7-30000)/1000,1)+(2.5-_xlfn.RANK.AVG($Y7,($J7,$O7,$T7,$Y7)))*20+IF(_xlfn.RANK.EQ($Y7,($J7,$O7,$T7,$Y7))=1,20/((_xlfn.RANK.AVG($Y7,($J7,$O7,$T7,$Y7))-1)*2+1),0))</f>
        <v>-56.2</v>
      </c>
      <c r="AE7" s="5"/>
      <c r="AF7" s="31"/>
      <c r="AG7" s="23"/>
      <c r="AH7" s="23">
        <v>1</v>
      </c>
      <c r="AI7" s="23">
        <v>6</v>
      </c>
      <c r="AJ7" s="27" t="s">
        <v>191</v>
      </c>
      <c r="AK7" s="37" t="s">
        <v>86</v>
      </c>
      <c r="AL7" s="38" t="s">
        <v>98</v>
      </c>
      <c r="AM7" s="38" t="s">
        <v>79</v>
      </c>
      <c r="AN7" s="38" t="s">
        <v>79</v>
      </c>
      <c r="AO7" s="38" t="s">
        <v>79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187</v>
      </c>
      <c r="F8" s="5" t="s">
        <v>194</v>
      </c>
      <c r="G8" s="6">
        <v>1500</v>
      </c>
      <c r="H8" s="6">
        <v>-1000</v>
      </c>
      <c r="I8" s="45"/>
      <c r="J8" s="18">
        <f t="shared" si="2"/>
        <v>33500</v>
      </c>
      <c r="K8" s="5" t="s">
        <v>194</v>
      </c>
      <c r="L8" s="6">
        <v>-1500</v>
      </c>
      <c r="M8" s="6"/>
      <c r="N8" s="45"/>
      <c r="O8" s="18">
        <f t="shared" si="8"/>
        <v>57300</v>
      </c>
      <c r="P8" s="5" t="s">
        <v>194</v>
      </c>
      <c r="Q8" s="6">
        <v>-1500</v>
      </c>
      <c r="R8" s="6"/>
      <c r="S8" s="45"/>
      <c r="T8" s="18">
        <f t="shared" si="3"/>
        <v>2900</v>
      </c>
      <c r="U8" s="5" t="s">
        <v>194</v>
      </c>
      <c r="V8" s="6">
        <v>1500</v>
      </c>
      <c r="W8" s="6">
        <v>-1000</v>
      </c>
      <c r="X8" s="45"/>
      <c r="Y8" s="18">
        <f t="shared" si="4"/>
        <v>4300</v>
      </c>
      <c r="Z8" s="50">
        <f>IF($J8="","",ROUND(($J8-30000)/1000,1)+(2.5-_xlfn.RANK.AVG($J8,($J8,$O8,$T8,$Y8)))*20+IF(_xlfn.RANK.EQ($J8,($J8,$O8,$T8,$Y8))=1,20/((_xlfn.RANK.AVG($J8,($J8,$O8,$T8,$Y8))-1)*2+1),0))</f>
        <v>13.5</v>
      </c>
      <c r="AA8" s="51">
        <f>IF($O8="","",ROUND(($O8-30000)/1000,1)+(2.5-_xlfn.RANK.AVG($O8,($J8,$O8,$T8,$Y8)))*20+IF(_xlfn.RANK.EQ($O8,($J8,$O8,$T8,$Y8))=1,20/((_xlfn.RANK.AVG($O8,($J8,$O8,$T8,$Y8))-1)*2+1),0))</f>
        <v>77.3</v>
      </c>
      <c r="AB8" s="51">
        <f>IF($T8="","",ROUND(($T8-30000)/1000,1)+(2.5-_xlfn.RANK.AVG($T8,($J8,$O8,$T8,$Y8)))*20+IF(_xlfn.RANK.EQ($T8,($J8,$O8,$T8,$Y8))=1,20/((_xlfn.RANK.AVG($T8,($J8,$O8,$T8,$Y8))-1)*2+1),0))</f>
        <v>-57.1</v>
      </c>
      <c r="AC8" s="52">
        <f>IF($Y8="","",ROUND(($Y8-30000)/1000,1)+(2.5-_xlfn.RANK.AVG($Y8,($J8,$O8,$T8,$Y8)))*20+IF(_xlfn.RANK.EQ($Y8,($J8,$O8,$T8,$Y8))=1,20/((_xlfn.RANK.AVG($Y8,($J8,$O8,$T8,$Y8))-1)*2+1),0))</f>
        <v>-35.700000000000003</v>
      </c>
      <c r="AE8" s="5" t="s">
        <v>195</v>
      </c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196</v>
      </c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196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195</v>
      </c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2</v>
      </c>
      <c r="E9" s="63" t="s">
        <v>188</v>
      </c>
      <c r="F9" s="5" t="s">
        <v>197</v>
      </c>
      <c r="G9" s="6">
        <v>-1000</v>
      </c>
      <c r="H9" s="6"/>
      <c r="I9" s="45">
        <v>-100</v>
      </c>
      <c r="J9" s="18">
        <f t="shared" si="2"/>
        <v>32400</v>
      </c>
      <c r="K9" s="5" t="s">
        <v>197</v>
      </c>
      <c r="L9" s="6">
        <v>-1000</v>
      </c>
      <c r="M9" s="6"/>
      <c r="N9" s="45">
        <v>-100</v>
      </c>
      <c r="O9" s="18">
        <f t="shared" si="8"/>
        <v>56200</v>
      </c>
      <c r="P9" s="5" t="s">
        <v>198</v>
      </c>
      <c r="Q9" s="6">
        <v>4000</v>
      </c>
      <c r="R9" s="6">
        <v>2000</v>
      </c>
      <c r="S9" s="45">
        <v>300</v>
      </c>
      <c r="T9" s="18">
        <f t="shared" si="3"/>
        <v>9200</v>
      </c>
      <c r="U9" s="5" t="s">
        <v>197</v>
      </c>
      <c r="V9" s="6">
        <v>-2000</v>
      </c>
      <c r="W9" s="6"/>
      <c r="X9" s="45">
        <v>-100</v>
      </c>
      <c r="Y9" s="18">
        <f t="shared" si="4"/>
        <v>2200</v>
      </c>
      <c r="Z9" s="50">
        <f>IF($J9="","",ROUND(($J9-30000)/1000,1)+(2.5-_xlfn.RANK.AVG($J9,($J9,$O9,$T9,$Y9)))*20+IF(_xlfn.RANK.EQ($J9,($J9,$O9,$T9,$Y9))=1,20/((_xlfn.RANK.AVG($J9,($J9,$O9,$T9,$Y9))-1)*2+1),0))</f>
        <v>12.4</v>
      </c>
      <c r="AA9" s="51">
        <f>IF($O9="","",ROUND(($O9-30000)/1000,1)+(2.5-_xlfn.RANK.AVG($O9,($J9,$O9,$T9,$Y9)))*20+IF(_xlfn.RANK.EQ($O9,($J9,$O9,$T9,$Y9))=1,20/((_xlfn.RANK.AVG($O9,($J9,$O9,$T9,$Y9))-1)*2+1),0))</f>
        <v>76.2</v>
      </c>
      <c r="AB9" s="51">
        <f>IF($T9="","",ROUND(($T9-30000)/1000,1)+(2.5-_xlfn.RANK.AVG($T9,($J9,$O9,$T9,$Y9)))*20+IF(_xlfn.RANK.EQ($T9,($J9,$O9,$T9,$Y9))=1,20/((_xlfn.RANK.AVG($T9,($J9,$O9,$T9,$Y9))-1)*2+1),0))</f>
        <v>-30.8</v>
      </c>
      <c r="AC9" s="52">
        <f>IF($Y9="","",ROUND(($Y9-30000)/1000,1)+(2.5-_xlfn.RANK.AVG($Y9,($J9,$O9,$T9,$Y9)))*20+IF(_xlfn.RANK.EQ($Y9,($J9,$O9,$T9,$Y9))=1,20/((_xlfn.RANK.AVG($Y9,($J9,$O9,$T9,$Y9))-1)*2+1),0))</f>
        <v>-57.8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3</v>
      </c>
      <c r="BZ9" s="27">
        <v>30</v>
      </c>
      <c r="CA9" s="37" t="s">
        <v>192</v>
      </c>
      <c r="CB9" s="38" t="s">
        <v>82</v>
      </c>
      <c r="CC9" s="38" t="s">
        <v>84</v>
      </c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">
        <v>185</v>
      </c>
      <c r="F10" s="5"/>
      <c r="G10" s="6"/>
      <c r="H10" s="6"/>
      <c r="I10" s="45"/>
      <c r="J10" s="18">
        <f t="shared" si="2"/>
        <v>32400</v>
      </c>
      <c r="K10" s="5"/>
      <c r="L10" s="6"/>
      <c r="M10" s="6"/>
      <c r="N10" s="45"/>
      <c r="O10" s="18">
        <f t="shared" si="8"/>
        <v>56200</v>
      </c>
      <c r="P10" s="5" t="s">
        <v>190</v>
      </c>
      <c r="Q10" s="6">
        <v>-2600</v>
      </c>
      <c r="R10" s="6"/>
      <c r="S10" s="45">
        <v>0</v>
      </c>
      <c r="T10" s="18">
        <f t="shared" si="3"/>
        <v>6600</v>
      </c>
      <c r="U10" s="5" t="s">
        <v>189</v>
      </c>
      <c r="V10" s="6">
        <v>2600</v>
      </c>
      <c r="W10" s="6"/>
      <c r="X10" s="45">
        <v>0</v>
      </c>
      <c r="Y10" s="18">
        <f t="shared" si="4"/>
        <v>4800</v>
      </c>
      <c r="Z10" s="50">
        <f>IF($J10="","",ROUND(($J10-30000)/1000,1)+(2.5-_xlfn.RANK.AVG($J10,($J10,$O10,$T10,$Y10)))*20+IF(_xlfn.RANK.EQ($J10,($J10,$O10,$T10,$Y10))=1,20/((_xlfn.RANK.AVG($J10,($J10,$O10,$T10,$Y10))-1)*2+1),0))</f>
        <v>12.4</v>
      </c>
      <c r="AA10" s="51">
        <f>IF($O10="","",ROUND(($O10-30000)/1000,1)+(2.5-_xlfn.RANK.AVG($O10,($J10,$O10,$T10,$Y10)))*20+IF(_xlfn.RANK.EQ($O10,($J10,$O10,$T10,$Y10))=1,20/((_xlfn.RANK.AVG($O10,($J10,$O10,$T10,$Y10))-1)*2+1),0))</f>
        <v>76.2</v>
      </c>
      <c r="AB10" s="51">
        <f>IF($T10="","",ROUND(($T10-30000)/1000,1)+(2.5-_xlfn.RANK.AVG($T10,($J10,$O10,$T10,$Y10)))*20+IF(_xlfn.RANK.EQ($T10,($J10,$O10,$T10,$Y10))=1,20/((_xlfn.RANK.AVG($T10,($J10,$O10,$T10,$Y10))-1)*2+1),0))</f>
        <v>-33.4</v>
      </c>
      <c r="AC10" s="52">
        <f>IF($Y10="","",ROUND(($Y10-30000)/1000,1)+(2.5-_xlfn.RANK.AVG($Y10,($J10,$O10,$T10,$Y10)))*20+IF(_xlfn.RANK.EQ($Y10,($J10,$O10,$T10,$Y10))=1,20/((_xlfn.RANK.AVG($Y10,($J10,$O10,$T10,$Y10))-1)*2+1),0))</f>
        <v>-55.2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2</v>
      </c>
      <c r="CU10" s="27">
        <v>40</v>
      </c>
      <c r="CV10" s="37" t="s">
        <v>192</v>
      </c>
      <c r="CW10" s="38" t="s">
        <v>199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186</v>
      </c>
      <c r="F11" s="5"/>
      <c r="G11" s="6"/>
      <c r="H11" s="6"/>
      <c r="I11" s="45"/>
      <c r="J11" s="18">
        <f t="shared" si="2"/>
        <v>32400</v>
      </c>
      <c r="K11" s="5" t="s">
        <v>189</v>
      </c>
      <c r="L11" s="6">
        <v>5800</v>
      </c>
      <c r="M11" s="6">
        <v>1000</v>
      </c>
      <c r="N11" s="45">
        <v>0</v>
      </c>
      <c r="O11" s="18">
        <f t="shared" si="8"/>
        <v>63000</v>
      </c>
      <c r="P11" s="5" t="s">
        <v>190</v>
      </c>
      <c r="Q11" s="6">
        <v>-5800</v>
      </c>
      <c r="R11" s="6">
        <v>-1000</v>
      </c>
      <c r="S11" s="45">
        <v>0</v>
      </c>
      <c r="T11" s="18">
        <f t="shared" si="3"/>
        <v>-200</v>
      </c>
      <c r="U11" s="5"/>
      <c r="V11" s="6"/>
      <c r="W11" s="6"/>
      <c r="X11" s="45"/>
      <c r="Y11" s="18">
        <f t="shared" si="4"/>
        <v>4800</v>
      </c>
      <c r="Z11" s="50">
        <f>IF($J11="","",ROUND(($J11-30000)/1000,1)+(2.5-_xlfn.RANK.AVG($J11,($J11,$O11,$T11,$Y11)))*20+IF(_xlfn.RANK.EQ($J11,($J11,$O11,$T11,$Y11))=1,20/((_xlfn.RANK.AVG($J11,($J11,$O11,$T11,$Y11))-1)*2+1),0))</f>
        <v>12.4</v>
      </c>
      <c r="AA11" s="51">
        <f>IF($O11="","",ROUND(($O11-30000)/1000,1)+(2.5-_xlfn.RANK.AVG($O11,($J11,$O11,$T11,$Y11)))*20+IF(_xlfn.RANK.EQ($O11,($J11,$O11,$T11,$Y11))=1,20/((_xlfn.RANK.AVG($O11,($J11,$O11,$T11,$Y11))-1)*2+1),0))</f>
        <v>83</v>
      </c>
      <c r="AB11" s="51">
        <f>IF($T11="","",ROUND(($T11-30000)/1000,1)+(2.5-_xlfn.RANK.AVG($T11,($J11,$O11,$T11,$Y11)))*20+IF(_xlfn.RANK.EQ($T11,($J11,$O11,$T11,$Y11))=1,20/((_xlfn.RANK.AVG($T11,($J11,$O11,$T11,$Y11))-1)*2+1),0))</f>
        <v>-60.2</v>
      </c>
      <c r="AC11" s="52">
        <f>IF($Y11="","",ROUND(($Y11-30000)/1000,1)+(2.5-_xlfn.RANK.AVG($Y11,($J11,$O11,$T11,$Y11)))*20+IF(_xlfn.RANK.EQ($Y11,($J11,$O11,$T11,$Y11))=1,20/((_xlfn.RANK.AVG($Y11,($J11,$O11,$T11,$Y11))-1)*2+1),0))</f>
        <v>-35.200000000000003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>
        <v>3</v>
      </c>
      <c r="BE11" s="27">
        <v>30</v>
      </c>
      <c r="BF11" s="37" t="s">
        <v>83</v>
      </c>
      <c r="BG11" s="38" t="s">
        <v>79</v>
      </c>
      <c r="BH11" s="38" t="s">
        <v>193</v>
      </c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63" t="s">
        <v>186</v>
      </c>
      <c r="F12" s="5" t="s">
        <v>194</v>
      </c>
      <c r="G12" s="6">
        <v>1500</v>
      </c>
      <c r="H12" s="6">
        <v>-1000</v>
      </c>
      <c r="I12" s="45"/>
      <c r="J12" s="18">
        <f t="shared" si="2"/>
        <v>32900</v>
      </c>
      <c r="K12" s="5" t="s">
        <v>194</v>
      </c>
      <c r="L12" s="6">
        <v>1500</v>
      </c>
      <c r="M12" s="6">
        <v>-1000</v>
      </c>
      <c r="N12" s="45"/>
      <c r="O12" s="18">
        <f t="shared" si="8"/>
        <v>63500</v>
      </c>
      <c r="P12" s="5" t="s">
        <v>194</v>
      </c>
      <c r="Q12" s="6">
        <v>-1500</v>
      </c>
      <c r="R12" s="6"/>
      <c r="S12" s="45"/>
      <c r="T12" s="18">
        <f t="shared" si="3"/>
        <v>-1700</v>
      </c>
      <c r="U12" s="5" t="s">
        <v>194</v>
      </c>
      <c r="V12" s="6">
        <v>-1500</v>
      </c>
      <c r="W12" s="6"/>
      <c r="X12" s="45"/>
      <c r="Y12" s="18">
        <f t="shared" si="4"/>
        <v>3300</v>
      </c>
      <c r="Z12" s="50">
        <f>IF($J12="","",ROUND(($J12-30000)/1000,1)+(2.5-_xlfn.RANK.AVG($J12,($J12,$O12,$T12,$Y12)))*20+IF(_xlfn.RANK.EQ($J12,($J12,$O12,$T12,$Y12))=1,20/((_xlfn.RANK.AVG($J12,($J12,$O12,$T12,$Y12))-1)*2+1),0))</f>
        <v>12.9</v>
      </c>
      <c r="AA12" s="51">
        <f>IF($O12="","",ROUND(($O12-30000)/1000,1)+(2.5-_xlfn.RANK.AVG($O12,($J12,$O12,$T12,$Y12)))*20+IF(_xlfn.RANK.EQ($O12,($J12,$O12,$T12,$Y12))=1,20/((_xlfn.RANK.AVG($O12,($J12,$O12,$T12,$Y12))-1)*2+1),0))</f>
        <v>83.5</v>
      </c>
      <c r="AB12" s="51">
        <f>IF($T12="","",ROUND(($T12-30000)/1000,1)+(2.5-_xlfn.RANK.AVG($T12,($J12,$O12,$T12,$Y12)))*20+IF(_xlfn.RANK.EQ($T12,($J12,$O12,$T12,$Y12))=1,20/((_xlfn.RANK.AVG($T12,($J12,$O12,$T12,$Y12))-1)*2+1),0))</f>
        <v>-61.7</v>
      </c>
      <c r="AC12" s="52">
        <f>IF($Y12="","",ROUND(($Y12-30000)/1000,1)+(2.5-_xlfn.RANK.AVG($Y12,($J12,$O12,$T12,$Y12)))*20+IF(_xlfn.RANK.EQ($Y12,($J12,$O12,$T12,$Y12))=1,20/((_xlfn.RANK.AVG($Y12,($J12,$O12,$T12,$Y12))-1)*2+1),0))</f>
        <v>-36.700000000000003</v>
      </c>
      <c r="AE12" s="5" t="s">
        <v>195</v>
      </c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 t="s">
        <v>195</v>
      </c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 t="s">
        <v>196</v>
      </c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 t="s">
        <v>196</v>
      </c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2</v>
      </c>
      <c r="E13" s="63" t="s">
        <v>186</v>
      </c>
      <c r="F13" s="5"/>
      <c r="G13" s="6"/>
      <c r="H13" s="6">
        <v>-1000</v>
      </c>
      <c r="I13" s="45"/>
      <c r="J13" s="18">
        <f t="shared" si="2"/>
        <v>31900</v>
      </c>
      <c r="K13" s="5" t="s">
        <v>190</v>
      </c>
      <c r="L13" s="6">
        <v>-8000</v>
      </c>
      <c r="M13" s="6">
        <v>0</v>
      </c>
      <c r="N13" s="45">
        <v>-600</v>
      </c>
      <c r="O13" s="18">
        <f t="shared" si="8"/>
        <v>54900</v>
      </c>
      <c r="P13" s="5"/>
      <c r="Q13" s="6"/>
      <c r="R13" s="6"/>
      <c r="S13" s="45"/>
      <c r="T13" s="18">
        <f t="shared" si="3"/>
        <v>-1700</v>
      </c>
      <c r="U13" s="5" t="s">
        <v>189</v>
      </c>
      <c r="V13" s="6">
        <v>8000</v>
      </c>
      <c r="W13" s="6">
        <v>3000</v>
      </c>
      <c r="X13" s="45">
        <v>600</v>
      </c>
      <c r="Y13" s="18">
        <f t="shared" si="4"/>
        <v>14900</v>
      </c>
      <c r="Z13" s="50">
        <f>IF($J13="","",ROUND(($J13-30000)/1000,1)+(2.5-_xlfn.RANK.AVG($J13,($J13,$O13,$T13,$Y13)))*20+IF(_xlfn.RANK.EQ($J13,($J13,$O13,$T13,$Y13))=1,20/((_xlfn.RANK.AVG($J13,($J13,$O13,$T13,$Y13))-1)*2+1),0))</f>
        <v>11.9</v>
      </c>
      <c r="AA13" s="51">
        <f>IF($O13="","",ROUND(($O13-30000)/1000,1)+(2.5-_xlfn.RANK.AVG($O13,($J13,$O13,$T13,$Y13)))*20+IF(_xlfn.RANK.EQ($O13,($J13,$O13,$T13,$Y13))=1,20/((_xlfn.RANK.AVG($O13,($J13,$O13,$T13,$Y13))-1)*2+1),0))</f>
        <v>74.900000000000006</v>
      </c>
      <c r="AB13" s="51">
        <f>IF($T13="","",ROUND(($T13-30000)/1000,1)+(2.5-_xlfn.RANK.AVG($T13,($J13,$O13,$T13,$Y13)))*20+IF(_xlfn.RANK.EQ($T13,($J13,$O13,$T13,$Y13))=1,20/((_xlfn.RANK.AVG($T13,($J13,$O13,$T13,$Y13))-1)*2+1),0))</f>
        <v>-61.7</v>
      </c>
      <c r="AC13" s="52">
        <f>IF($Y13="","",ROUND(($Y13-30000)/1000,1)+(2.5-_xlfn.RANK.AVG($Y13,($J13,$O13,$T13,$Y13)))*20+IF(_xlfn.RANK.EQ($Y13,($J13,$O13,$T13,$Y13))=1,20/((_xlfn.RANK.AVG($Y13,($J13,$O13,$T13,$Y13))-1)*2+1),0))</f>
        <v>-25.1</v>
      </c>
      <c r="AE13" s="5"/>
      <c r="AF13" s="31"/>
      <c r="AG13" s="23">
        <v>1</v>
      </c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>
        <v>1</v>
      </c>
      <c r="CS13" s="23"/>
      <c r="CT13" s="23">
        <v>5</v>
      </c>
      <c r="CU13" s="27" t="s">
        <v>191</v>
      </c>
      <c r="CV13" s="37" t="s">
        <v>192</v>
      </c>
      <c r="CW13" s="38" t="s">
        <v>101</v>
      </c>
      <c r="CX13" s="38" t="s">
        <v>79</v>
      </c>
      <c r="CY13" s="38" t="s">
        <v>79</v>
      </c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AC25EBA-1C9C-4D41-AB40-1326451179CD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2019-12-01T05:14:07Z</dcterms:modified>
</cp:coreProperties>
</file>