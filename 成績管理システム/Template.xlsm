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"/>
    </mc:Choice>
  </mc:AlternateContent>
  <xr:revisionPtr revIDLastSave="0" documentId="13_ncr:1_{F61D2930-B7F9-4ACF-8F4B-B3026C55528C}" xr6:coauthVersionLast="41" xr6:coauthVersionMax="41" xr10:uidLastSave="{00000000-0000-0000-0000-000000000000}"/>
  <bookViews>
    <workbookView xWindow="-120" yWindow="-120" windowWidth="29040" windowHeight="1599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/>
  <c r="Y14" i="27"/>
  <c r="AC14" i="27" s="1"/>
  <c r="T14" i="27"/>
  <c r="AB14" i="27" s="1"/>
  <c r="O14" i="27"/>
  <c r="AA14" i="27" s="1"/>
  <c r="J14" i="27"/>
  <c r="Z14" i="27" s="1"/>
  <c r="D14" i="27"/>
  <c r="C14" i="27"/>
  <c r="B14" i="27"/>
  <c r="A14" i="27"/>
  <c r="Y13" i="27"/>
  <c r="AC13" i="27" s="1"/>
  <c r="T13" i="27"/>
  <c r="AB13" i="27" s="1"/>
  <c r="O13" i="27"/>
  <c r="AA13" i="27" s="1"/>
  <c r="J13" i="27"/>
  <c r="Z13" i="27" s="1"/>
  <c r="D13" i="27"/>
  <c r="C13" i="27"/>
  <c r="B13" i="27"/>
  <c r="A13" i="27"/>
  <c r="Y12" i="27"/>
  <c r="AC12" i="27" s="1"/>
  <c r="T12" i="27"/>
  <c r="AB12" i="27" s="1"/>
  <c r="O12" i="27"/>
  <c r="AA12" i="27" s="1"/>
  <c r="J12" i="27"/>
  <c r="Z12" i="27" s="1"/>
  <c r="D12" i="27"/>
  <c r="C12" i="27"/>
  <c r="B12" i="27"/>
  <c r="A12" i="27"/>
  <c r="Y11" i="27"/>
  <c r="AC11" i="27" s="1"/>
  <c r="T11" i="27"/>
  <c r="AB11" i="27" s="1"/>
  <c r="O11" i="27"/>
  <c r="AA11" i="27" s="1"/>
  <c r="J11" i="27"/>
  <c r="Z11" i="27" s="1"/>
  <c r="D11" i="27"/>
  <c r="C11" i="27"/>
  <c r="B11" i="27"/>
  <c r="A11" i="27"/>
  <c r="Y10" i="27"/>
  <c r="AC10" i="27" s="1"/>
  <c r="T10" i="27"/>
  <c r="AB10" i="27" s="1"/>
  <c r="O10" i="27"/>
  <c r="AA10" i="27" s="1"/>
  <c r="J10" i="27"/>
  <c r="Z10" i="27" s="1"/>
  <c r="D10" i="27"/>
  <c r="C10" i="27"/>
  <c r="B10" i="27"/>
  <c r="A10" i="27"/>
  <c r="Y9" i="27"/>
  <c r="AC9" i="27" s="1"/>
  <c r="T9" i="27"/>
  <c r="AB9" i="27" s="1"/>
  <c r="O9" i="27"/>
  <c r="AA9" i="27" s="1"/>
  <c r="J9" i="27"/>
  <c r="Z9" i="27" s="1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B4" i="27" l="1"/>
  <c r="Y5" i="27"/>
  <c r="AC4" i="27"/>
  <c r="O6" i="27"/>
  <c r="AA4" i="27"/>
  <c r="Z4" i="27"/>
  <c r="Y6" i="27"/>
  <c r="O7" i="27"/>
  <c r="T5" i="27"/>
  <c r="Z5" i="27" s="1"/>
  <c r="AB5" i="27" l="1"/>
  <c r="AA5" i="27"/>
  <c r="AC5" i="27"/>
  <c r="Y7" i="27"/>
  <c r="AC6" i="27"/>
  <c r="O8" i="27"/>
  <c r="T6" i="27"/>
  <c r="AB6" i="27" l="1"/>
  <c r="Z6" i="27"/>
  <c r="AA6" i="27"/>
  <c r="Y8" i="27"/>
  <c r="T7" i="27"/>
  <c r="AB7" i="27" l="1"/>
  <c r="Z7" i="27"/>
  <c r="AA7" i="27"/>
  <c r="AC7" i="27"/>
  <c r="T8" i="27"/>
  <c r="AC8" i="27" s="1"/>
  <c r="AB8" i="27" l="1"/>
  <c r="Z8" i="27"/>
  <c r="AA8" i="27"/>
</calcChain>
</file>

<file path=xl/sharedStrings.xml><?xml version="1.0" encoding="utf-8"?>
<sst xmlns="http://schemas.openxmlformats.org/spreadsheetml/2006/main" count="536" uniqueCount="184">
  <si>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</si>
  <si>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</si>
  <si>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</si>
  <si>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</si>
  <si>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</si>
  <si>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</si>
  <si>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</si>
  <si>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</si>
  <si>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</si>
  <si>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</si>
  <si>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</si>
  <si>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</si>
  <si>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</si>
  <si>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</si>
  <si>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</si>
  <si>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</si>
  <si>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</si>
  <si>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</si>
  <si>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</si>
  <si>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</si>
  <si>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</si>
  <si>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</si>
  <si>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</si>
  <si>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</si>
  <si>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</si>
  <si>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</si>
  <si>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</si>
  <si>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</si>
  <si>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</si>
  <si>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</si>
  <si>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</si>
  <si>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</si>
  <si>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</si>
  <si>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</si>
  <si>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</si>
  <si>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</si>
  <si>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</si>
  <si>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</si>
  <si>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</si>
  <si>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</si>
  <si>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</si>
  <si>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</si>
  <si>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</si>
  <si>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</si>
  <si>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</si>
  <si>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</si>
  <si>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</si>
  <si>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</si>
  <si>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</si>
  <si>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</si>
  <si>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</si>
  <si>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</si>
  <si>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</si>
  <si>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</si>
  <si>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</si>
  <si>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</si>
  <si>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</si>
  <si>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</si>
  <si>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</si>
  <si>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</si>
  <si>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</si>
  <si>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</si>
  <si>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</si>
  <si>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</si>
  <si>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</si>
  <si>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</si>
  <si>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</si>
  <si>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</si>
  <si>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</si>
  <si>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</si>
  <si>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</si>
  <si>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</si>
  <si>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</si>
  <si>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</si>
  <si>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</si>
  <si>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</si>
  <si>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</si>
  <si>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</si>
  <si>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</si>
  <si>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</si>
  <si>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</si>
  <si>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</si>
  <si>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</si>
  <si>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</si>
  <si>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</si>
  <si>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</si>
  <si>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</si>
  <si>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</si>
  <si>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</si>
  <si>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</si>
  <si>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</si>
  <si>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</si>
  <si>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</si>
  <si>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</si>
  <si>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</si>
  <si>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</si>
  <si>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</si>
  <si>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</si>
  <si>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</si>
  <si>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</si>
  <si>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</si>
  <si>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</si>
  <si>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</si>
  <si>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</si>
  <si>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</si>
  <si>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</si>
  <si>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</si>
  <si>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</si>
  <si>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</si>
  <si>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</si>
  <si>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</si>
  <si>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</si>
  <si>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</si>
  <si>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</si>
  <si>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</si>
  <si>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</si>
  <si>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</si>
  <si>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</si>
  <si>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</si>
  <si>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</si>
  <si>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</si>
  <si>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</si>
  <si>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</si>
  <si>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</si>
  <si>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</si>
  <si>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</si>
  <si>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</si>
  <si>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</si>
  <si>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</si>
  <si>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</si>
  <si>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</si>
  <si>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</si>
  <si>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</si>
  <si>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</si>
  <si>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</si>
  <si>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</si>
  <si>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</si>
  <si>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</si>
  <si>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</si>
  <si>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</si>
  <si>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</si>
  <si>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</si>
  <si>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</si>
  <si>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</si>
  <si>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</si>
  <si>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</si>
  <si>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</si>
  <si>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</si>
  <si>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</si>
  <si>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</si>
  <si>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</si>
  <si>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</si>
  <si>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</si>
  <si>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</si>
  <si>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</si>
  <si>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</si>
  <si>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</si>
  <si>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</si>
  <si>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</si>
  <si>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</si>
  <si>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</si>
  <si>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</si>
  <si>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</si>
  <si>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</si>
  <si>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</si>
  <si>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</si>
  <si>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</si>
  <si>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</si>
  <si>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</si>
  <si>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</si>
  <si>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</si>
  <si>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</si>
  <si>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</si>
  <si>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</si>
  <si>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</si>
  <si>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</si>
  <si>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</si>
  <si>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</si>
  <si>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</si>
  <si>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</si>
  <si>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</si>
  <si>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53</t>
    <phoneticPr fontId="1"/>
  </si>
  <si>
    <t>十三不塔</t>
    <rPh sb="0" eb="4">
      <t>シー</t>
    </rPh>
    <phoneticPr fontId="1"/>
  </si>
  <si>
    <t>o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</si>
</sst>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.75" x14ac:dyDescent="0.4"/>
  <cols>
    <col min="1" max="4" width="5.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5"/>
      <c r="G1" s="67"/>
      <c r="H1" s="67"/>
      <c r="I1" s="70"/>
      <c r="J1" s="68"/>
      <c r="K1" s="65"/>
      <c r="L1" s="67"/>
      <c r="M1" s="67"/>
      <c r="N1" s="70"/>
      <c r="O1" s="68"/>
      <c r="P1" s="65"/>
      <c r="Q1" s="67"/>
      <c r="R1" s="67"/>
      <c r="S1" s="70"/>
      <c r="T1" s="68"/>
      <c r="U1" s="65"/>
      <c r="V1" s="67"/>
      <c r="W1" s="67"/>
      <c r="X1" s="70"/>
      <c r="Y1" s="68"/>
      <c r="Z1" s="65" t="s">
        <v>6</v>
      </c>
      <c r="AA1" s="66"/>
      <c r="AB1" s="67"/>
      <c r="AC1" s="68"/>
      <c r="AE1" s="65" t="str">
        <f>IF($F$1="","",$F$1)</f>
        <v/>
      </c>
      <c r="AF1" s="66">
        <f t="shared" ref="AF1:AY1" si="0">$F$1</f>
        <v>0</v>
      </c>
      <c r="AG1" s="67">
        <f t="shared" si="0"/>
        <v>0</v>
      </c>
      <c r="AH1" s="67">
        <f t="shared" si="0"/>
        <v>0</v>
      </c>
      <c r="AI1" s="67">
        <f t="shared" si="0"/>
        <v>0</v>
      </c>
      <c r="AJ1" s="67">
        <f t="shared" si="0"/>
        <v>0</v>
      </c>
      <c r="AK1" s="67">
        <f t="shared" si="0"/>
        <v>0</v>
      </c>
      <c r="AL1" s="67">
        <f t="shared" si="0"/>
        <v>0</v>
      </c>
      <c r="AM1" s="67">
        <f t="shared" si="0"/>
        <v>0</v>
      </c>
      <c r="AN1" s="67">
        <f t="shared" si="0"/>
        <v>0</v>
      </c>
      <c r="AO1" s="67">
        <f t="shared" si="0"/>
        <v>0</v>
      </c>
      <c r="AP1" s="67">
        <f t="shared" si="0"/>
        <v>0</v>
      </c>
      <c r="AQ1" s="67">
        <f t="shared" si="0"/>
        <v>0</v>
      </c>
      <c r="AR1" s="67">
        <f t="shared" si="0"/>
        <v>0</v>
      </c>
      <c r="AS1" s="67">
        <f t="shared" si="0"/>
        <v>0</v>
      </c>
      <c r="AT1" s="67">
        <f t="shared" si="0"/>
        <v>0</v>
      </c>
      <c r="AU1" s="67">
        <f t="shared" si="0"/>
        <v>0</v>
      </c>
      <c r="AV1" s="67">
        <f t="shared" si="0"/>
        <v>0</v>
      </c>
      <c r="AW1" s="67">
        <f t="shared" si="0"/>
        <v>0</v>
      </c>
      <c r="AX1" s="67">
        <f t="shared" si="0"/>
        <v>0</v>
      </c>
      <c r="AY1" s="68">
        <f t="shared" si="0"/>
        <v>0</v>
      </c>
      <c r="AZ1" s="65" t="str">
        <f>IF($K$1="","",$K$1)</f>
        <v/>
      </c>
      <c r="BA1" s="66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8"/>
      <c r="BU1" s="65" t="str">
        <f>IF($P$1="","",$P$1)</f>
        <v/>
      </c>
      <c r="BV1" s="66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7"/>
      <c r="CJ1" s="67"/>
      <c r="CK1" s="67"/>
      <c r="CL1" s="67"/>
      <c r="CM1" s="67"/>
      <c r="CN1" s="67"/>
      <c r="CO1" s="68"/>
      <c r="CP1" s="65" t="str">
        <f>IF($U$1="","",$U$1)</f>
        <v/>
      </c>
      <c r="CQ1" s="66"/>
      <c r="CR1" s="67"/>
      <c r="CS1" s="67"/>
      <c r="CT1" s="67"/>
      <c r="CU1" s="67"/>
      <c r="CV1" s="67"/>
      <c r="CW1" s="67"/>
      <c r="CX1" s="67"/>
      <c r="CY1" s="67"/>
      <c r="CZ1" s="67"/>
      <c r="DA1" s="67"/>
      <c r="DB1" s="67"/>
      <c r="DC1" s="67"/>
      <c r="DD1" s="67"/>
      <c r="DE1" s="67"/>
      <c r="DF1" s="67"/>
      <c r="DG1" s="67"/>
      <c r="DH1" s="67"/>
      <c r="DI1" s="67"/>
      <c r="DJ1" s="68"/>
    </row>
    <row r="2" spans="1:114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0" t="str">
        <f>IF($F$1="","",$F$1)</f>
        <v/>
      </c>
      <c r="AA2" s="61" t="str">
        <f>IF($K$1="","",$K$1)</f>
        <v/>
      </c>
      <c r="AB2" s="61" t="str">
        <f>IF($P$1="","",$P$1)</f>
        <v/>
      </c>
      <c r="AC2" s="13" t="str">
        <f>IF($U$1="","",$U$1)</f>
        <v/>
      </c>
      <c r="AE2" s="56" t="s">
        <v>22</v>
      </c>
      <c r="AF2" s="59" t="s">
        <v>25</v>
      </c>
      <c r="AG2" s="57" t="s">
        <v>23</v>
      </c>
      <c r="AH2" s="57" t="s">
        <v>126</v>
      </c>
      <c r="AI2" s="57" t="s">
        <v>18</v>
      </c>
      <c r="AJ2" s="58" t="s">
        <v>19</v>
      </c>
      <c r="AK2" s="69" t="s">
        <v>20</v>
      </c>
      <c r="AL2" s="69"/>
      <c r="AM2" s="69"/>
      <c r="AN2" s="69"/>
      <c r="AO2" s="69"/>
      <c r="AP2" s="69"/>
      <c r="AQ2" s="69"/>
      <c r="AR2" s="69"/>
      <c r="AS2" s="69"/>
      <c r="AT2" s="69"/>
      <c r="AU2" s="69"/>
      <c r="AV2" s="69"/>
      <c r="AW2" s="69"/>
      <c r="AX2" s="69"/>
      <c r="AY2" s="69"/>
      <c r="AZ2" s="56" t="s">
        <v>22</v>
      </c>
      <c r="BA2" s="59" t="s">
        <v>25</v>
      </c>
      <c r="BB2" s="57" t="s">
        <v>23</v>
      </c>
      <c r="BC2" s="57" t="s">
        <v>127</v>
      </c>
      <c r="BD2" s="57" t="s">
        <v>18</v>
      </c>
      <c r="BE2" s="58" t="s">
        <v>19</v>
      </c>
      <c r="BF2" s="69" t="s">
        <v>20</v>
      </c>
      <c r="BG2" s="69"/>
      <c r="BH2" s="69"/>
      <c r="BI2" s="69"/>
      <c r="BJ2" s="69"/>
      <c r="BK2" s="69"/>
      <c r="BL2" s="69"/>
      <c r="BM2" s="69"/>
      <c r="BN2" s="69"/>
      <c r="BO2" s="69"/>
      <c r="BP2" s="69"/>
      <c r="BQ2" s="69"/>
      <c r="BR2" s="69"/>
      <c r="BS2" s="69"/>
      <c r="BT2" s="69"/>
      <c r="BU2" s="56" t="s">
        <v>22</v>
      </c>
      <c r="BV2" s="59" t="s">
        <v>25</v>
      </c>
      <c r="BW2" s="57" t="s">
        <v>23</v>
      </c>
      <c r="BX2" s="57" t="s">
        <v>127</v>
      </c>
      <c r="BY2" s="57" t="s">
        <v>18</v>
      </c>
      <c r="BZ2" s="58" t="s">
        <v>19</v>
      </c>
      <c r="CA2" s="69" t="s">
        <v>20</v>
      </c>
      <c r="CB2" s="69"/>
      <c r="CC2" s="69"/>
      <c r="CD2" s="69"/>
      <c r="CE2" s="69"/>
      <c r="CF2" s="69"/>
      <c r="CG2" s="69"/>
      <c r="CH2" s="69"/>
      <c r="CI2" s="69"/>
      <c r="CJ2" s="69"/>
      <c r="CK2" s="69"/>
      <c r="CL2" s="69"/>
      <c r="CM2" s="69"/>
      <c r="CN2" s="69"/>
      <c r="CO2" s="69"/>
      <c r="CP2" s="56" t="s">
        <v>22</v>
      </c>
      <c r="CQ2" s="59" t="s">
        <v>25</v>
      </c>
      <c r="CR2" s="57" t="s">
        <v>23</v>
      </c>
      <c r="CS2" s="57" t="s">
        <v>127</v>
      </c>
      <c r="CT2" s="57" t="s">
        <v>18</v>
      </c>
      <c r="CU2" s="58" t="s">
        <v>19</v>
      </c>
      <c r="CV2" s="69" t="s">
        <v>20</v>
      </c>
      <c r="CW2" s="69"/>
      <c r="CX2" s="69"/>
      <c r="CY2" s="69"/>
      <c r="CZ2" s="69"/>
      <c r="DA2" s="69"/>
      <c r="DB2" s="69"/>
      <c r="DC2" s="69"/>
      <c r="DD2" s="69"/>
      <c r="DE2" s="69"/>
      <c r="DF2" s="69"/>
      <c r="DG2" s="69"/>
      <c r="DH2" s="69"/>
      <c r="DI2" s="69"/>
      <c r="DJ2" s="69"/>
    </row>
    <row r="3" spans="1:114" x14ac:dyDescent="0.4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">
      <c r="A4" s="10" t="s">
        <v>132</v>
      </c>
      <c r="B4" s="15">
        <v>1</v>
      </c>
      <c r="C4" s="15">
        <v>0</v>
      </c>
      <c r="D4" s="15">
        <v>0</v>
      </c>
      <c r="E4" s="63" t="str">
        <f>IF($F$1="","",$F$1)</f>
        <v/>
      </c>
      <c r="F4" s="5"/>
      <c r="G4" s="6"/>
      <c r="H4" s="6"/>
      <c r="I4" s="45"/>
      <c r="J4" s="18" t="str">
        <f>IF(COUNTA($F4,$K4,$P4,$U4)&gt;0,J3+SUM(G4:I4),"")</f>
        <v/>
      </c>
      <c r="K4" s="5"/>
      <c r="L4" s="6"/>
      <c r="M4" s="6"/>
      <c r="N4" s="45"/>
      <c r="O4" s="18" t="str">
        <f>IF(COUNTA($F4,$K4,$P4,$U4)&gt;0,O3+SUM(L4:N4),"")</f>
        <v/>
      </c>
      <c r="P4" s="5"/>
      <c r="Q4" s="6"/>
      <c r="R4" s="6"/>
      <c r="S4" s="45"/>
      <c r="T4" s="18" t="str">
        <f>IF(COUNTA($F4,$K4,$P4,$U4)&gt;0,T3+SUM(Q4:S4),"")</f>
        <v/>
      </c>
      <c r="U4" s="5"/>
      <c r="V4" s="6"/>
      <c r="W4" s="6"/>
      <c r="X4" s="45"/>
      <c r="Y4" s="18" t="str">
        <f>IF(COUNTA($F4,$K4,$P4,$U4)&gt;0,Y3+SUM(V4:X4),"")</f>
        <v/>
      </c>
      <c r="Z4" s="50" t="str">
        <f>IF($J4="","",ROUND(($J4-30000)/1000,1)+(2.5-_xlfn.RANK.AVG($J4,($J4,$O4,$T4,$Y4)))*20+IF(_xlfn.RANK.EQ($J4,($J4,$O4,$T4,$Y4))=1,20/((_xlfn.RANK.AVG($J4,($J4,$O4,$T4,$Y4))-1)*2+1),0))</f>
        <v/>
      </c>
      <c r="AA4" s="51" t="str">
        <f>IF($O4="","",ROUND(($O4-30000)/1000,1)+(2.5-_xlfn.RANK.AVG($O4,($J4,$O4,$T4,$Y4)))*20+IF(_xlfn.RANK.EQ($O4,($J4,$O4,$T4,$Y4))=1,20/((_xlfn.RANK.AVG($O4,($J4,$O4,$T4,$Y4))-1)*2+1),0))</f>
        <v/>
      </c>
      <c r="AB4" s="51" t="str">
        <f>IF($T4="","",ROUND(($T4-30000)/1000,1)+(2.5-_xlfn.RANK.AVG($T4,($J4,$O4,$T4,$Y4)))*20+IF(_xlfn.RANK.EQ($T4,($J4,$O4,$T4,$Y4))=1,20/((_xlfn.RANK.AVG($T4,($J4,$O4,$T4,$Y4))-1)*2+1),0))</f>
        <v/>
      </c>
      <c r="AC4" s="52" t="str">
        <f>IF($Y4="","",ROUND(($Y4-30000)/1000,1)+(2.5-_xlfn.RANK.AVG($Y4,($J4,$O4,$T4,$Y4)))*20+IF(_xlfn.RANK.EQ($Y4,($J4,$O4,$T4,$Y4))=1,20/((_xlfn.RANK.AVG($Y4,($J4,$O4,$T4,$Y4))-1)*2+1),0))</f>
        <v/>
      </c>
      <c r="AE4" s="5"/>
      <c r="AF4" s="31"/>
      <c r="AG4" s="23"/>
      <c r="AH4" s="23"/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/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">
      <c r="A5" s="10" t="str">
        <f t="shared" ref="A5:A9" si="1">IF($E5="","",IF(AND(B4=4,B5=1),_xlfn.SWITCH(A4,"東","南","南","西","西","北","北","東"),A4))</f>
        <v/>
      </c>
      <c r="B5" s="15" t="str">
        <f>IF($E5="","",IF($E4=$E5,B4,IF(B4=4,1,B4+1)))</f>
        <v/>
      </c>
      <c r="C5" s="15" t="str">
        <f>IF($E5="","",IF($F4="チョンボ",C4,IF(OR($E4=$E5,$F4="流局"),C4+1,0)))</f>
        <v/>
      </c>
      <c r="D5" s="15" t="str">
        <f>IF($E5="","",IF(OR($F4="流局",$F4="チョンボ"),D4+($H4+$M4+$R4+$W4)/-1000,0))</f>
        <v/>
      </c>
      <c r="E5" s="63"/>
      <c r="F5" s="5"/>
      <c r="G5" s="6"/>
      <c r="H5" s="6"/>
      <c r="I5" s="45"/>
      <c r="J5" s="18" t="str">
        <f t="shared" ref="J5:J30" si="2">IF(COUNTA($F5,$K5,$P5,$U5)&gt;0,J4+SUM(G5:I5),"")</f>
        <v/>
      </c>
      <c r="K5" s="5"/>
      <c r="L5" s="6"/>
      <c r="M5" s="6"/>
      <c r="N5" s="45"/>
      <c r="O5" s="18" t="str">
        <f>IF(COUNTA($F5,$K5,$P5,$U5)&gt;0,O4+SUM(L5:N5),"")</f>
        <v/>
      </c>
      <c r="P5" s="5"/>
      <c r="Q5" s="6"/>
      <c r="R5" s="6"/>
      <c r="S5" s="45"/>
      <c r="T5" s="18" t="str">
        <f t="shared" ref="T5:T30" si="3">IF(COUNTA($F5,$K5,$P5,$U5)&gt;0,T4+SUM(Q5:S5),"")</f>
        <v/>
      </c>
      <c r="U5" s="5"/>
      <c r="V5" s="6"/>
      <c r="W5" s="6"/>
      <c r="X5" s="45"/>
      <c r="Y5" s="18" t="str">
        <f t="shared" ref="Y5:Y30" si="4">IF(COUNTA($F5,$K5,$P5,$U5)&gt;0,Y4+SUM(V5:X5),"")</f>
        <v/>
      </c>
      <c r="Z5" s="50" t="str">
        <f>IF($J5="","",ROUND(($J5-30000)/1000,1)+(2.5-_xlfn.RANK.AVG($J5,($J5,$O5,$T5,$Y5)))*20+IF(_xlfn.RANK.EQ($J5,($J5,$O5,$T5,$Y5))=1,20/((_xlfn.RANK.AVG($J5,($J5,$O5,$T5,$Y5))-1)*2+1),0))</f>
        <v/>
      </c>
      <c r="AA5" s="51" t="str">
        <f>IF($O5="","",ROUND(($O5-30000)/1000,1)+(2.5-_xlfn.RANK.AVG($O5,($J5,$O5,$T5,$Y5)))*20+IF(_xlfn.RANK.EQ($O5,($J5,$O5,$T5,$Y5))=1,20/((_xlfn.RANK.AVG($O5,($J5,$O5,$T5,$Y5))-1)*2+1),0))</f>
        <v/>
      </c>
      <c r="AB5" s="51" t="str">
        <f>IF($T5="","",ROUND(($T5-30000)/1000,1)+(2.5-_xlfn.RANK.AVG($T5,($J5,$O5,$T5,$Y5)))*20+IF(_xlfn.RANK.EQ($T5,($J5,$O5,$T5,$Y5))=1,20/((_xlfn.RANK.AVG($T5,($J5,$O5,$T5,$Y5))-1)*2+1),0))</f>
        <v/>
      </c>
      <c r="AC5" s="52" t="str">
        <f>IF($Y5="","",ROUND(($Y5-30000)/1000,1)+(2.5-_xlfn.RANK.AVG($Y5,($J5,$O5,$T5,$Y5)))*20+IF(_xlfn.RANK.EQ($Y5,($J5,$O5,$T5,$Y5))=1,20/((_xlfn.RANK.AVG($Y5,($J5,$O5,$T5,$Y5))-1)*2+1),0))</f>
        <v/>
      </c>
      <c r="AE5" s="5"/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/>
      <c r="BC5" s="23"/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/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">
      <c r="A6" s="10" t="str">
        <f t="shared" si="1"/>
        <v/>
      </c>
      <c r="B6" s="15" t="str">
        <f t="shared" ref="B6:B30" si="5">IF($E6="","",IF($E5=$E6,B5,IF(B5=4,1,B5+1)))</f>
        <v/>
      </c>
      <c r="C6" s="15" t="str">
        <f t="shared" ref="C6:C30" si="6">IF($E6="","",IF($F5="チョンボ",C5,IF(OR($E5=$E6,$F5="流局"),C5+1,0)))</f>
        <v/>
      </c>
      <c r="D6" s="15" t="str">
        <f t="shared" ref="D6:D30" si="7">IF($E6="","",IF(OR($F5="流局",$F5="チョンボ"),D5+($H5+$M5+$R5+$W5)/-1000,0))</f>
        <v/>
      </c>
      <c r="E6" s="63"/>
      <c r="F6" s="5"/>
      <c r="G6" s="6"/>
      <c r="H6" s="6"/>
      <c r="I6" s="45"/>
      <c r="J6" s="18" t="str">
        <f t="shared" si="2"/>
        <v/>
      </c>
      <c r="K6" s="5"/>
      <c r="L6" s="6"/>
      <c r="M6" s="6"/>
      <c r="N6" s="45"/>
      <c r="O6" s="18" t="str">
        <f t="shared" ref="O6:O30" si="8">IF(COUNTA($F6,$K6,$P6,$U6)&gt;0,O5+SUM(L6:N6),"")</f>
        <v/>
      </c>
      <c r="P6" s="5"/>
      <c r="Q6" s="6"/>
      <c r="R6" s="6"/>
      <c r="S6" s="45"/>
      <c r="T6" s="18" t="str">
        <f t="shared" si="3"/>
        <v/>
      </c>
      <c r="U6" s="5"/>
      <c r="V6" s="6"/>
      <c r="W6" s="6"/>
      <c r="X6" s="45"/>
      <c r="Y6" s="18" t="str">
        <f t="shared" si="4"/>
        <v/>
      </c>
      <c r="Z6" s="50" t="str">
        <f>IF($J6="","",ROUND(($J6-30000)/1000,1)+(2.5-_xlfn.RANK.AVG($J6,($J6,$O6,$T6,$Y6)))*20+IF(_xlfn.RANK.EQ($J6,($J6,$O6,$T6,$Y6))=1,20/((_xlfn.RANK.AVG($J6,($J6,$O6,$T6,$Y6))-1)*2+1),0))</f>
        <v/>
      </c>
      <c r="AA6" s="51" t="str">
        <f>IF($O6="","",ROUND(($O6-30000)/1000,1)+(2.5-_xlfn.RANK.AVG($O6,($J6,$O6,$T6,$Y6)))*20+IF(_xlfn.RANK.EQ($O6,($J6,$O6,$T6,$Y6))=1,20/((_xlfn.RANK.AVG($O6,($J6,$O6,$T6,$Y6))-1)*2+1),0))</f>
        <v/>
      </c>
      <c r="AB6" s="51" t="str">
        <f>IF($T6="","",ROUND(($T6-30000)/1000,1)+(2.5-_xlfn.RANK.AVG($T6,($J6,$O6,$T6,$Y6)))*20+IF(_xlfn.RANK.EQ($T6,($J6,$O6,$T6,$Y6))=1,20/((_xlfn.RANK.AVG($T6,($J6,$O6,$T6,$Y6))-1)*2+1),0))</f>
        <v/>
      </c>
      <c r="AC6" s="52" t="str">
        <f>IF($Y6="","",ROUND(($Y6-30000)/1000,1)+(2.5-_xlfn.RANK.AVG($Y6,($J6,$O6,$T6,$Y6)))*20+IF(_xlfn.RANK.EQ($Y6,($J6,$O6,$T6,$Y6))=1,20/((_xlfn.RANK.AVG($Y6,($J6,$O6,$T6,$Y6))-1)*2+1),0))</f>
        <v/>
      </c>
      <c r="AE6" s="5"/>
      <c r="AF6" s="31"/>
      <c r="AG6" s="23"/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/>
      <c r="BC6" s="23"/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/>
      <c r="CS6" s="23"/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">
      <c r="A7" s="10" t="str">
        <f t="shared" si="1"/>
        <v/>
      </c>
      <c r="B7" s="15" t="str">
        <f t="shared" si="5"/>
        <v/>
      </c>
      <c r="C7" s="15" t="str">
        <f t="shared" si="6"/>
        <v/>
      </c>
      <c r="D7" s="15" t="str">
        <f t="shared" si="7"/>
        <v/>
      </c>
      <c r="E7" s="63"/>
      <c r="F7" s="5"/>
      <c r="G7" s="6"/>
      <c r="H7" s="6"/>
      <c r="I7" s="45"/>
      <c r="J7" s="18" t="str">
        <f t="shared" si="2"/>
        <v/>
      </c>
      <c r="K7" s="5"/>
      <c r="L7" s="6"/>
      <c r="M7" s="6"/>
      <c r="N7" s="45"/>
      <c r="O7" s="18" t="str">
        <f t="shared" si="8"/>
        <v/>
      </c>
      <c r="P7" s="5"/>
      <c r="Q7" s="6"/>
      <c r="R7" s="6"/>
      <c r="S7" s="45"/>
      <c r="T7" s="18" t="str">
        <f t="shared" si="3"/>
        <v/>
      </c>
      <c r="U7" s="5"/>
      <c r="V7" s="6"/>
      <c r="W7" s="6"/>
      <c r="X7" s="45"/>
      <c r="Y7" s="18" t="str">
        <f t="shared" si="4"/>
        <v/>
      </c>
      <c r="Z7" s="50" t="str">
        <f>IF($J7="","",ROUND(($J7-30000)/1000,1)+(2.5-_xlfn.RANK.AVG($J7,($J7,$O7,$T7,$Y7)))*20+IF(_xlfn.RANK.EQ($J7,($J7,$O7,$T7,$Y7))=1,20/((_xlfn.RANK.AVG($J7,($J7,$O7,$T7,$Y7))-1)*2+1),0))</f>
        <v/>
      </c>
      <c r="AA7" s="51" t="str">
        <f>IF($O7="","",ROUND(($O7-30000)/1000,1)+(2.5-_xlfn.RANK.AVG($O7,($J7,$O7,$T7,$Y7)))*20+IF(_xlfn.RANK.EQ($O7,($J7,$O7,$T7,$Y7))=1,20/((_xlfn.RANK.AVG($O7,($J7,$O7,$T7,$Y7))-1)*2+1),0))</f>
        <v/>
      </c>
      <c r="AB7" s="51" t="str">
        <f>IF($T7="","",ROUND(($T7-30000)/1000,1)+(2.5-_xlfn.RANK.AVG($T7,($J7,$O7,$T7,$Y7)))*20+IF(_xlfn.RANK.EQ($T7,($J7,$O7,$T7,$Y7))=1,20/((_xlfn.RANK.AVG($T7,($J7,$O7,$T7,$Y7))-1)*2+1),0))</f>
        <v/>
      </c>
      <c r="AC7" s="52" t="str">
        <f>IF($Y7="","",ROUND(($Y7-30000)/1000,1)+(2.5-_xlfn.RANK.AVG($Y7,($J7,$O7,$T7,$Y7)))*20+IF(_xlfn.RANK.EQ($Y7,($J7,$O7,$T7,$Y7))=1,20/((_xlfn.RANK.AVG($Y7,($J7,$O7,$T7,$Y7))-1)*2+1),0))</f>
        <v/>
      </c>
      <c r="AE7" s="5"/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/>
      <c r="BX7" s="23"/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">
      <c r="A8" s="10" t="str">
        <f t="shared" si="1"/>
        <v/>
      </c>
      <c r="B8" s="15" t="str">
        <f t="shared" si="5"/>
        <v/>
      </c>
      <c r="C8" s="15" t="str">
        <f t="shared" si="6"/>
        <v/>
      </c>
      <c r="D8" s="15" t="str">
        <f>IF($E8="","",IF(OR($F7="流局",$F7="チョンボ"),D7+($H7+$M7+$R7+$W7)/-1000,0))</f>
        <v/>
      </c>
      <c r="E8" s="63"/>
      <c r="F8" s="5"/>
      <c r="G8" s="6"/>
      <c r="H8" s="6"/>
      <c r="I8" s="45"/>
      <c r="J8" s="18" t="str">
        <f t="shared" si="2"/>
        <v/>
      </c>
      <c r="K8" s="5"/>
      <c r="L8" s="6"/>
      <c r="M8" s="6"/>
      <c r="N8" s="45"/>
      <c r="O8" s="18" t="str">
        <f t="shared" si="8"/>
        <v/>
      </c>
      <c r="P8" s="5"/>
      <c r="Q8" s="6"/>
      <c r="R8" s="6"/>
      <c r="S8" s="45"/>
      <c r="T8" s="18" t="str">
        <f t="shared" si="3"/>
        <v/>
      </c>
      <c r="U8" s="5"/>
      <c r="V8" s="6"/>
      <c r="W8" s="6"/>
      <c r="X8" s="45"/>
      <c r="Y8" s="18" t="str">
        <f t="shared" si="4"/>
        <v/>
      </c>
      <c r="Z8" s="50" t="str">
        <f>IF($J8="","",ROUND(($J8-30000)/1000,1)+(2.5-_xlfn.RANK.AVG($J8,($J8,$O8,$T8,$Y8)))*20+IF(_xlfn.RANK.EQ($J8,($J8,$O8,$T8,$Y8))=1,20/((_xlfn.RANK.AVG($J8,($J8,$O8,$T8,$Y8))-1)*2+1),0))</f>
        <v/>
      </c>
      <c r="AA8" s="51" t="str">
        <f>IF($O8="","",ROUND(($O8-30000)/1000,1)+(2.5-_xlfn.RANK.AVG($O8,($J8,$O8,$T8,$Y8)))*20+IF(_xlfn.RANK.EQ($O8,($J8,$O8,$T8,$Y8))=1,20/((_xlfn.RANK.AVG($O8,($J8,$O8,$T8,$Y8))-1)*2+1),0))</f>
        <v/>
      </c>
      <c r="AB8" s="51" t="str">
        <f>IF($T8="","",ROUND(($T8-30000)/1000,1)+(2.5-_xlfn.RANK.AVG($T8,($J8,$O8,$T8,$Y8)))*20+IF(_xlfn.RANK.EQ($T8,($J8,$O8,$T8,$Y8))=1,20/((_xlfn.RANK.AVG($T8,($J8,$O8,$T8,$Y8))-1)*2+1),0))</f>
        <v/>
      </c>
      <c r="AC8" s="52" t="str">
        <f>IF($Y8="","",ROUND(($Y8-30000)/1000,1)+(2.5-_xlfn.RANK.AVG($Y8,($J8,$O8,$T8,$Y8)))*20+IF(_xlfn.RANK.EQ($Y8,($J8,$O8,$T8,$Y8))=1,20/((_xlfn.RANK.AVG($Y8,($J8,$O8,$T8,$Y8))-1)*2+1),0))</f>
        <v/>
      </c>
      <c r="AE8" s="5"/>
      <c r="AF8" s="31"/>
      <c r="AG8" s="23"/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/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">
      <c r="A9" s="10" t="str">
        <f t="shared" si="1"/>
        <v/>
      </c>
      <c r="B9" s="15" t="str">
        <f t="shared" si="5"/>
        <v/>
      </c>
      <c r="C9" s="15" t="str">
        <f t="shared" si="6"/>
        <v/>
      </c>
      <c r="D9" s="15" t="str">
        <f t="shared" si="7"/>
        <v/>
      </c>
      <c r="E9" s="63"/>
      <c r="F9" s="5"/>
      <c r="G9" s="6"/>
      <c r="H9" s="6"/>
      <c r="I9" s="45"/>
      <c r="J9" s="18" t="str">
        <f t="shared" si="2"/>
        <v/>
      </c>
      <c r="K9" s="5"/>
      <c r="L9" s="6"/>
      <c r="M9" s="6"/>
      <c r="N9" s="45"/>
      <c r="O9" s="18" t="str">
        <f t="shared" si="8"/>
        <v/>
      </c>
      <c r="P9" s="5"/>
      <c r="Q9" s="6"/>
      <c r="R9" s="6"/>
      <c r="S9" s="45"/>
      <c r="T9" s="18" t="str">
        <f t="shared" si="3"/>
        <v/>
      </c>
      <c r="U9" s="5"/>
      <c r="V9" s="6"/>
      <c r="W9" s="6"/>
      <c r="X9" s="45"/>
      <c r="Y9" s="18" t="str">
        <f t="shared" si="4"/>
        <v/>
      </c>
      <c r="Z9" s="50" t="str">
        <f>IF($J9="","",ROUND(($J9-30000)/1000,1)+(2.5-_xlfn.RANK.AVG($J9,($J9,$O9,$T9,$Y9)))*20+IF(_xlfn.RANK.EQ($J9,($J9,$O9,$T9,$Y9))=1,20/((_xlfn.RANK.AVG($J9,($J9,$O9,$T9,$Y9))-1)*2+1),0))</f>
        <v/>
      </c>
      <c r="AA9" s="51" t="str">
        <f>IF($O9="","",ROUND(($O9-30000)/1000,1)+(2.5-_xlfn.RANK.AVG($O9,($J9,$O9,$T9,$Y9)))*20+IF(_xlfn.RANK.EQ($O9,($J9,$O9,$T9,$Y9))=1,20/((_xlfn.RANK.AVG($O9,($J9,$O9,$T9,$Y9))-1)*2+1),0))</f>
        <v/>
      </c>
      <c r="AB9" s="51" t="str">
        <f>IF($T9="","",ROUND(($T9-30000)/1000,1)+(2.5-_xlfn.RANK.AVG($T9,($J9,$O9,$T9,$Y9)))*20+IF(_xlfn.RANK.EQ($T9,($J9,$O9,$T9,$Y9))=1,20/((_xlfn.RANK.AVG($T9,($J9,$O9,$T9,$Y9))-1)*2+1),0))</f>
        <v/>
      </c>
      <c r="AC9" s="52" t="str">
        <f>IF($Y9="","",ROUND(($Y9-30000)/1000,1)+(2.5-_xlfn.RANK.AVG($Y9,($J9,$O9,$T9,$Y9)))*20+IF(_xlfn.RANK.EQ($Y9,($J9,$O9,$T9,$Y9))=1,20/((_xlfn.RANK.AVG($Y9,($J9,$O9,$T9,$Y9))-1)*2+1),0))</f>
        <v/>
      </c>
      <c r="AE9" s="5"/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/>
      <c r="CS9" s="23"/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63"/>
      <c r="F10" s="5"/>
      <c r="G10" s="6"/>
      <c r="H10" s="6"/>
      <c r="I10" s="45"/>
      <c r="J10" s="18" t="str">
        <f t="shared" si="2"/>
        <v/>
      </c>
      <c r="K10" s="5"/>
      <c r="L10" s="6"/>
      <c r="M10" s="6"/>
      <c r="N10" s="45"/>
      <c r="O10" s="18" t="str">
        <f t="shared" si="8"/>
        <v/>
      </c>
      <c r="P10" s="5"/>
      <c r="Q10" s="6"/>
      <c r="R10" s="6"/>
      <c r="S10" s="45"/>
      <c r="T10" s="18" t="str">
        <f t="shared" si="3"/>
        <v/>
      </c>
      <c r="U10" s="5"/>
      <c r="V10" s="6"/>
      <c r="W10" s="6"/>
      <c r="X10" s="45"/>
      <c r="Y10" s="18" t="str">
        <f t="shared" si="4"/>
        <v/>
      </c>
      <c r="Z10" s="50" t="str">
        <f>IF($J10="","",ROUND(($J10-30000)/1000,1)+(2.5-_xlfn.RANK.AVG($J10,($J10,$O10,$T10,$Y10)))*20+IF(_xlfn.RANK.EQ($J10,($J10,$O10,$T10,$Y10))=1,20/((_xlfn.RANK.AVG($J10,($J10,$O10,$T10,$Y10))-1)*2+1),0))</f>
        <v/>
      </c>
      <c r="AA10" s="51" t="str">
        <f>IF($O10="","",ROUND(($O10-30000)/1000,1)+(2.5-_xlfn.RANK.AVG($O10,($J10,$O10,$T10,$Y10)))*20+IF(_xlfn.RANK.EQ($O10,($J10,$O10,$T10,$Y10))=1,20/((_xlfn.RANK.AVG($O10,($J10,$O10,$T10,$Y10))-1)*2+1),0))</f>
        <v/>
      </c>
      <c r="AB10" s="51" t="str">
        <f>IF($T10="","",ROUND(($T10-30000)/1000,1)+(2.5-_xlfn.RANK.AVG($T10,($J10,$O10,$T10,$Y10)))*20+IF(_xlfn.RANK.EQ($T10,($J10,$O10,$T10,$Y10))=1,20/((_xlfn.RANK.AVG($T10,($J10,$O10,$T10,$Y10))-1)*2+1),0))</f>
        <v/>
      </c>
      <c r="AC10" s="52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63"/>
      <c r="F11" s="5"/>
      <c r="G11" s="6"/>
      <c r="H11" s="6"/>
      <c r="I11" s="45"/>
      <c r="J11" s="18" t="str">
        <f t="shared" si="2"/>
        <v/>
      </c>
      <c r="K11" s="5"/>
      <c r="L11" s="6"/>
      <c r="M11" s="6"/>
      <c r="N11" s="45"/>
      <c r="O11" s="18" t="str">
        <f t="shared" si="8"/>
        <v/>
      </c>
      <c r="P11" s="5"/>
      <c r="Q11" s="6"/>
      <c r="R11" s="6"/>
      <c r="S11" s="45"/>
      <c r="T11" s="18" t="str">
        <f t="shared" si="3"/>
        <v/>
      </c>
      <c r="U11" s="5"/>
      <c r="V11" s="6"/>
      <c r="W11" s="6"/>
      <c r="X11" s="45"/>
      <c r="Y11" s="18" t="str">
        <f t="shared" si="4"/>
        <v/>
      </c>
      <c r="Z11" s="50" t="str">
        <f>IF($J11="","",ROUND(($J11-30000)/1000,1)+(2.5-_xlfn.RANK.AVG($J11,($J11,$O11,$T11,$Y11)))*20+IF(_xlfn.RANK.EQ($J11,($J11,$O11,$T11,$Y11))=1,20/((_xlfn.RANK.AVG($J11,($J11,$O11,$T11,$Y11))-1)*2+1),0))</f>
        <v/>
      </c>
      <c r="AA11" s="51" t="str">
        <f>IF($O11="","",ROUND(($O11-30000)/1000,1)+(2.5-_xlfn.RANK.AVG($O11,($J11,$O11,$T11,$Y11)))*20+IF(_xlfn.RANK.EQ($O11,($J11,$O11,$T11,$Y11))=1,20/((_xlfn.RANK.AVG($O11,($J11,$O11,$T11,$Y11))-1)*2+1),0))</f>
        <v/>
      </c>
      <c r="AB11" s="51" t="str">
        <f>IF($T11="","",ROUND(($T11-30000)/1000,1)+(2.5-_xlfn.RANK.AVG($T11,($J11,$O11,$T11,$Y11)))*20+IF(_xlfn.RANK.EQ($T11,($J11,$O11,$T11,$Y11))=1,20/((_xlfn.RANK.AVG($T11,($J11,$O11,$T11,$Y11))-1)*2+1),0))</f>
        <v/>
      </c>
      <c r="AC11" s="52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63"/>
      <c r="F12" s="5"/>
      <c r="G12" s="6"/>
      <c r="H12" s="6"/>
      <c r="I12" s="45"/>
      <c r="J12" s="18" t="str">
        <f t="shared" si="2"/>
        <v/>
      </c>
      <c r="K12" s="5"/>
      <c r="L12" s="6"/>
      <c r="M12" s="6"/>
      <c r="N12" s="45"/>
      <c r="O12" s="18" t="str">
        <f t="shared" si="8"/>
        <v/>
      </c>
      <c r="P12" s="5"/>
      <c r="Q12" s="6"/>
      <c r="R12" s="6"/>
      <c r="S12" s="45"/>
      <c r="T12" s="18" t="str">
        <f t="shared" si="3"/>
        <v/>
      </c>
      <c r="U12" s="5"/>
      <c r="V12" s="6"/>
      <c r="W12" s="6"/>
      <c r="X12" s="45"/>
      <c r="Y12" s="18" t="str">
        <f t="shared" si="4"/>
        <v/>
      </c>
      <c r="Z12" s="50" t="str">
        <f>IF($J12="","",ROUND(($J12-30000)/1000,1)+(2.5-_xlfn.RANK.AVG($J12,($J12,$O12,$T12,$Y12)))*20+IF(_xlfn.RANK.EQ($J12,($J12,$O12,$T12,$Y12))=1,20/((_xlfn.RANK.AVG($J12,($J12,$O12,$T12,$Y12))-1)*2+1),0))</f>
        <v/>
      </c>
      <c r="AA12" s="51" t="str">
        <f>IF($O12="","",ROUND(($O12-30000)/1000,1)+(2.5-_xlfn.RANK.AVG($O12,($J12,$O12,$T12,$Y12)))*20+IF(_xlfn.RANK.EQ($O12,($J12,$O12,$T12,$Y12))=1,20/((_xlfn.RANK.AVG($O12,($J12,$O12,$T12,$Y12))-1)*2+1),0))</f>
        <v/>
      </c>
      <c r="AB12" s="51" t="str">
        <f>IF($T12="","",ROUND(($T12-30000)/1000,1)+(2.5-_xlfn.RANK.AVG($T12,($J12,$O12,$T12,$Y12)))*20+IF(_xlfn.RANK.EQ($T12,($J12,$O12,$T12,$Y12))=1,20/((_xlfn.RANK.AVG($T12,($J12,$O12,$T12,$Y12))-1)*2+1),0))</f>
        <v/>
      </c>
      <c r="AC12" s="52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F1:J1"/>
    <mergeCell ref="A1:A2"/>
    <mergeCell ref="B1:B2"/>
    <mergeCell ref="C1:C2"/>
    <mergeCell ref="D1:D2"/>
    <mergeCell ref="E1:E2"/>
    <mergeCell ref="K1:O1"/>
    <mergeCell ref="P1:T1"/>
    <mergeCell ref="U1:Y1"/>
    <mergeCell ref="Z1:AC1"/>
    <mergeCell ref="AE1:AY1"/>
    <mergeCell ref="BU1:CO1"/>
    <mergeCell ref="AK2:AY2"/>
    <mergeCell ref="BF2:BT2"/>
    <mergeCell ref="CA2:CO2"/>
    <mergeCell ref="CP1:DJ1"/>
    <mergeCell ref="CV2:DJ2"/>
    <mergeCell ref="AZ1:BT1"/>
  </mergeCells>
  <phoneticPr fontId="1"/>
  <conditionalFormatting sqref="F1:Y1">
    <cfRule type="duplicateValues" dxfId="0" priority="2"/>
  </conditionalFormatting>
  <dataValidations count="2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3" customWidth="1"/>
    <col min="2" max="2" width="6.5" style="33" customWidth="1"/>
    <col min="3" max="3" width="19.25" style="12" bestFit="1" customWidth="1"/>
    <col min="4" max="5" width="6.5" style="12" customWidth="1"/>
  </cols>
  <sheetData>
    <row r="1" spans="1:5" x14ac:dyDescent="0.4">
      <c r="A1" s="33" t="s">
        <v>26</v>
      </c>
      <c r="B1" s="33" t="s">
        <v>137</v>
      </c>
      <c r="C1" s="12" t="s">
        <v>27</v>
      </c>
      <c r="D1" s="12" t="s">
        <v>28</v>
      </c>
      <c r="E1" s="12" t="s">
        <v>29</v>
      </c>
    </row>
    <row r="2" spans="1:5" x14ac:dyDescent="0.4">
      <c r="A2" s="33" t="s">
        <v>76</v>
      </c>
      <c r="B2" s="33" t="s">
        <v>138</v>
      </c>
      <c r="C2" s="12" t="s">
        <v>131</v>
      </c>
      <c r="D2" s="12">
        <v>1</v>
      </c>
    </row>
    <row r="3" spans="1:5" x14ac:dyDescent="0.4">
      <c r="A3" s="33" t="s">
        <v>77</v>
      </c>
      <c r="B3" s="33" t="s">
        <v>147</v>
      </c>
      <c r="C3" s="12" t="s">
        <v>30</v>
      </c>
      <c r="D3" s="12">
        <v>1</v>
      </c>
    </row>
    <row r="4" spans="1:5" x14ac:dyDescent="0.4">
      <c r="A4" s="33" t="s">
        <v>78</v>
      </c>
      <c r="B4" s="33" t="s">
        <v>140</v>
      </c>
      <c r="C4" s="12" t="s">
        <v>31</v>
      </c>
      <c r="D4" s="12">
        <v>1</v>
      </c>
      <c r="E4" s="12">
        <v>1</v>
      </c>
    </row>
    <row r="5" spans="1:5" x14ac:dyDescent="0.4">
      <c r="A5" s="33" t="s">
        <v>79</v>
      </c>
      <c r="B5" s="33" t="s">
        <v>141</v>
      </c>
      <c r="C5" s="12" t="s">
        <v>32</v>
      </c>
      <c r="D5" s="12">
        <v>1</v>
      </c>
    </row>
    <row r="6" spans="1:5" x14ac:dyDescent="0.4">
      <c r="A6" s="33" t="s">
        <v>80</v>
      </c>
      <c r="C6" s="12" t="s">
        <v>33</v>
      </c>
      <c r="D6" s="12">
        <v>1</v>
      </c>
      <c r="E6" s="12">
        <v>1</v>
      </c>
    </row>
    <row r="7" spans="1:5" x14ac:dyDescent="0.4">
      <c r="A7" s="33" t="s">
        <v>81</v>
      </c>
      <c r="B7" s="33" t="s">
        <v>139</v>
      </c>
      <c r="C7" s="12" t="s">
        <v>34</v>
      </c>
      <c r="D7" s="12">
        <v>1</v>
      </c>
    </row>
    <row r="8" spans="1:5" x14ac:dyDescent="0.4">
      <c r="A8" s="33" t="s">
        <v>82</v>
      </c>
      <c r="B8" s="33" t="s">
        <v>143</v>
      </c>
      <c r="C8" s="12" t="s">
        <v>35</v>
      </c>
      <c r="D8" s="12">
        <v>1</v>
      </c>
    </row>
    <row r="9" spans="1:5" x14ac:dyDescent="0.4">
      <c r="A9" s="33" t="s">
        <v>83</v>
      </c>
      <c r="B9" s="33" t="s">
        <v>145</v>
      </c>
      <c r="C9" s="12" t="s">
        <v>36</v>
      </c>
      <c r="D9" s="12">
        <v>1</v>
      </c>
    </row>
    <row r="10" spans="1:5" x14ac:dyDescent="0.4">
      <c r="A10" s="33" t="s">
        <v>84</v>
      </c>
      <c r="B10" s="33" t="s">
        <v>144</v>
      </c>
      <c r="C10" s="12" t="s">
        <v>128</v>
      </c>
      <c r="D10" s="12">
        <v>1</v>
      </c>
      <c r="E10" s="12">
        <v>1</v>
      </c>
    </row>
    <row r="11" spans="1:5" x14ac:dyDescent="0.4">
      <c r="A11" s="33" t="s">
        <v>85</v>
      </c>
      <c r="B11" s="33" t="s">
        <v>146</v>
      </c>
      <c r="C11" s="12" t="s">
        <v>37</v>
      </c>
      <c r="D11" s="12">
        <v>1</v>
      </c>
      <c r="E11" s="12">
        <v>1</v>
      </c>
    </row>
    <row r="12" spans="1:5" x14ac:dyDescent="0.4">
      <c r="A12" s="33" t="s">
        <v>86</v>
      </c>
      <c r="B12" s="33" t="s">
        <v>157</v>
      </c>
      <c r="C12" s="12" t="s">
        <v>38</v>
      </c>
      <c r="D12" s="12">
        <v>1</v>
      </c>
      <c r="E12" s="12">
        <v>1</v>
      </c>
    </row>
    <row r="13" spans="1:5" x14ac:dyDescent="0.4">
      <c r="A13" s="33" t="s">
        <v>87</v>
      </c>
      <c r="B13" s="33" t="s">
        <v>158</v>
      </c>
      <c r="C13" s="12" t="s">
        <v>39</v>
      </c>
      <c r="D13" s="12">
        <v>1</v>
      </c>
      <c r="E13" s="12">
        <v>1</v>
      </c>
    </row>
    <row r="14" spans="1:5" x14ac:dyDescent="0.4">
      <c r="A14" s="33" t="s">
        <v>88</v>
      </c>
      <c r="B14" s="33" t="s">
        <v>159</v>
      </c>
      <c r="C14" s="12" t="s">
        <v>40</v>
      </c>
      <c r="D14" s="12">
        <v>1</v>
      </c>
      <c r="E14" s="12">
        <v>1</v>
      </c>
    </row>
    <row r="15" spans="1:5" x14ac:dyDescent="0.4">
      <c r="A15" s="33" t="s">
        <v>89</v>
      </c>
      <c r="B15" s="33" t="s">
        <v>160</v>
      </c>
      <c r="C15" s="12" t="s">
        <v>41</v>
      </c>
      <c r="D15" s="12">
        <v>1</v>
      </c>
      <c r="E15" s="12">
        <v>1</v>
      </c>
    </row>
    <row r="16" spans="1:5" x14ac:dyDescent="0.4">
      <c r="A16" s="33" t="s">
        <v>90</v>
      </c>
      <c r="B16" s="33" t="s">
        <v>161</v>
      </c>
      <c r="C16" s="12" t="s">
        <v>42</v>
      </c>
      <c r="D16" s="12">
        <v>2</v>
      </c>
    </row>
    <row r="17" spans="1:5" x14ac:dyDescent="0.4">
      <c r="A17" s="33" t="s">
        <v>91</v>
      </c>
      <c r="B17" s="33" t="s">
        <v>148</v>
      </c>
      <c r="C17" s="12" t="s">
        <v>43</v>
      </c>
      <c r="D17" s="12">
        <v>2</v>
      </c>
      <c r="E17" s="12">
        <v>1</v>
      </c>
    </row>
    <row r="18" spans="1:5" x14ac:dyDescent="0.4">
      <c r="A18" s="33" t="s">
        <v>92</v>
      </c>
      <c r="B18" s="33" t="s">
        <v>154</v>
      </c>
      <c r="C18" s="12" t="s">
        <v>130</v>
      </c>
      <c r="D18" s="12">
        <v>2</v>
      </c>
      <c r="E18" s="12">
        <v>1</v>
      </c>
    </row>
    <row r="19" spans="1:5" x14ac:dyDescent="0.4">
      <c r="A19" s="33" t="s">
        <v>93</v>
      </c>
      <c r="B19" s="33" t="s">
        <v>183</v>
      </c>
      <c r="C19" s="12" t="s">
        <v>44</v>
      </c>
      <c r="D19" s="12">
        <v>2</v>
      </c>
      <c r="E19" s="12">
        <v>1</v>
      </c>
    </row>
    <row r="20" spans="1:5" x14ac:dyDescent="0.4">
      <c r="A20" s="33" t="s">
        <v>94</v>
      </c>
      <c r="B20" s="33" t="s">
        <v>156</v>
      </c>
      <c r="C20" s="12" t="s">
        <v>45</v>
      </c>
      <c r="D20" s="12">
        <v>2</v>
      </c>
      <c r="E20" s="12">
        <v>2</v>
      </c>
    </row>
    <row r="21" spans="1:5" x14ac:dyDescent="0.4">
      <c r="A21" s="33" t="s">
        <v>95</v>
      </c>
      <c r="B21" s="33" t="s">
        <v>150</v>
      </c>
      <c r="C21" s="12" t="s">
        <v>46</v>
      </c>
      <c r="D21" s="12">
        <v>2</v>
      </c>
      <c r="E21" s="12">
        <v>2</v>
      </c>
    </row>
    <row r="22" spans="1:5" x14ac:dyDescent="0.4">
      <c r="A22" s="33" t="s">
        <v>96</v>
      </c>
      <c r="B22" s="33" t="s">
        <v>163</v>
      </c>
      <c r="C22" s="12" t="s">
        <v>47</v>
      </c>
      <c r="D22" s="12">
        <v>2</v>
      </c>
      <c r="E22" s="12">
        <v>2</v>
      </c>
    </row>
    <row r="23" spans="1:5" x14ac:dyDescent="0.4">
      <c r="A23" s="33" t="s">
        <v>97</v>
      </c>
      <c r="B23" s="33" t="s">
        <v>149</v>
      </c>
      <c r="C23" s="12" t="s">
        <v>48</v>
      </c>
      <c r="D23" s="12">
        <v>2</v>
      </c>
      <c r="E23" s="12">
        <v>2</v>
      </c>
    </row>
    <row r="24" spans="1:5" x14ac:dyDescent="0.4">
      <c r="A24" s="33" t="s">
        <v>98</v>
      </c>
      <c r="B24" s="33" t="s">
        <v>164</v>
      </c>
      <c r="C24" s="12" t="s">
        <v>49</v>
      </c>
      <c r="D24" s="12">
        <v>2</v>
      </c>
      <c r="E24" s="12">
        <v>2</v>
      </c>
    </row>
    <row r="25" spans="1:5" x14ac:dyDescent="0.4">
      <c r="A25" s="33" t="s">
        <v>99</v>
      </c>
      <c r="B25" s="33" t="s">
        <v>165</v>
      </c>
      <c r="C25" s="12" t="s">
        <v>50</v>
      </c>
      <c r="D25" s="12">
        <v>2</v>
      </c>
      <c r="E25" s="12">
        <v>2</v>
      </c>
    </row>
    <row r="26" spans="1:5" x14ac:dyDescent="0.4">
      <c r="A26" s="33" t="s">
        <v>100</v>
      </c>
      <c r="B26" s="33" t="s">
        <v>153</v>
      </c>
      <c r="C26" s="12" t="s">
        <v>51</v>
      </c>
      <c r="D26" s="12">
        <v>2</v>
      </c>
    </row>
    <row r="27" spans="1:5" x14ac:dyDescent="0.4">
      <c r="A27" s="33" t="s">
        <v>101</v>
      </c>
      <c r="B27" s="33" t="s">
        <v>162</v>
      </c>
      <c r="C27" s="12" t="s">
        <v>52</v>
      </c>
      <c r="D27" s="12">
        <v>3</v>
      </c>
    </row>
    <row r="28" spans="1:5" x14ac:dyDescent="0.4">
      <c r="A28" s="33" t="s">
        <v>102</v>
      </c>
      <c r="B28" s="33" t="s">
        <v>155</v>
      </c>
      <c r="C28" s="12" t="s">
        <v>129</v>
      </c>
      <c r="D28" s="12">
        <v>3</v>
      </c>
      <c r="E28" s="12">
        <v>2</v>
      </c>
    </row>
    <row r="29" spans="1:5" x14ac:dyDescent="0.4">
      <c r="A29" s="33" t="s">
        <v>103</v>
      </c>
      <c r="B29" s="33" t="s">
        <v>151</v>
      </c>
      <c r="C29" s="12" t="s">
        <v>53</v>
      </c>
      <c r="D29" s="12">
        <v>3</v>
      </c>
      <c r="E29" s="12">
        <v>2</v>
      </c>
    </row>
    <row r="30" spans="1:5" x14ac:dyDescent="0.4">
      <c r="A30" s="33" t="s">
        <v>104</v>
      </c>
      <c r="C30" s="12" t="s">
        <v>54</v>
      </c>
      <c r="D30" s="12">
        <v>5</v>
      </c>
      <c r="E30" s="12">
        <v>5</v>
      </c>
    </row>
    <row r="31" spans="1:5" x14ac:dyDescent="0.4">
      <c r="A31" s="33" t="s">
        <v>105</v>
      </c>
      <c r="B31" s="33" t="s">
        <v>152</v>
      </c>
      <c r="C31" s="12" t="s">
        <v>55</v>
      </c>
      <c r="D31" s="12">
        <v>6</v>
      </c>
      <c r="E31" s="12">
        <v>5</v>
      </c>
    </row>
    <row r="32" spans="1:5" x14ac:dyDescent="0.4">
      <c r="A32" s="33" t="s">
        <v>106</v>
      </c>
      <c r="B32" s="33" t="s">
        <v>166</v>
      </c>
      <c r="C32" s="12" t="s">
        <v>56</v>
      </c>
      <c r="D32" s="12">
        <v>13</v>
      </c>
    </row>
    <row r="33" spans="1:5" x14ac:dyDescent="0.4">
      <c r="A33" s="33" t="s">
        <v>107</v>
      </c>
      <c r="B33" s="33" t="s">
        <v>167</v>
      </c>
      <c r="C33" s="12" t="s">
        <v>57</v>
      </c>
      <c r="D33" s="12">
        <v>13</v>
      </c>
    </row>
    <row r="34" spans="1:5" x14ac:dyDescent="0.4">
      <c r="A34" s="33" t="s">
        <v>108</v>
      </c>
      <c r="B34" s="33" t="s">
        <v>168</v>
      </c>
      <c r="C34" s="12" t="s">
        <v>58</v>
      </c>
      <c r="D34" s="12">
        <v>13</v>
      </c>
      <c r="E34" s="12">
        <v>13</v>
      </c>
    </row>
    <row r="35" spans="1:5" x14ac:dyDescent="0.4">
      <c r="A35" s="33" t="s">
        <v>109</v>
      </c>
      <c r="B35" s="33" t="s">
        <v>169</v>
      </c>
      <c r="C35" s="12" t="s">
        <v>59</v>
      </c>
      <c r="D35" s="12">
        <v>13</v>
      </c>
      <c r="E35" s="12">
        <v>13</v>
      </c>
    </row>
    <row r="36" spans="1:5" x14ac:dyDescent="0.4">
      <c r="A36" s="33" t="s">
        <v>110</v>
      </c>
      <c r="B36" s="33" t="s">
        <v>170</v>
      </c>
      <c r="C36" s="12" t="s">
        <v>60</v>
      </c>
      <c r="D36" s="12">
        <v>26</v>
      </c>
      <c r="E36" s="12">
        <v>26</v>
      </c>
    </row>
    <row r="37" spans="1:5" x14ac:dyDescent="0.4">
      <c r="A37" s="33" t="s">
        <v>111</v>
      </c>
      <c r="B37" s="33" t="s">
        <v>171</v>
      </c>
      <c r="C37" s="12" t="s">
        <v>61</v>
      </c>
      <c r="D37" s="12">
        <v>13</v>
      </c>
      <c r="E37" s="12">
        <v>13</v>
      </c>
    </row>
    <row r="38" spans="1:5" x14ac:dyDescent="0.4">
      <c r="A38" s="33" t="s">
        <v>112</v>
      </c>
      <c r="B38" s="33" t="s">
        <v>172</v>
      </c>
      <c r="C38" s="12" t="s">
        <v>62</v>
      </c>
      <c r="D38" s="12">
        <v>13</v>
      </c>
      <c r="E38" s="12">
        <v>13</v>
      </c>
    </row>
    <row r="39" spans="1:5" x14ac:dyDescent="0.4">
      <c r="A39" s="33" t="s">
        <v>113</v>
      </c>
      <c r="B39" s="33" t="s">
        <v>173</v>
      </c>
      <c r="C39" s="12" t="s">
        <v>63</v>
      </c>
      <c r="D39" s="12">
        <v>13</v>
      </c>
      <c r="E39" s="12">
        <v>13</v>
      </c>
    </row>
    <row r="40" spans="1:5" x14ac:dyDescent="0.4">
      <c r="A40" s="33" t="s">
        <v>114</v>
      </c>
      <c r="B40" s="33" t="s">
        <v>174</v>
      </c>
      <c r="C40" s="12" t="s">
        <v>64</v>
      </c>
      <c r="D40" s="12">
        <v>13</v>
      </c>
      <c r="E40" s="12">
        <v>13</v>
      </c>
    </row>
    <row r="41" spans="1:5" x14ac:dyDescent="0.4">
      <c r="A41" s="33" t="s">
        <v>115</v>
      </c>
      <c r="B41" s="33" t="s">
        <v>175</v>
      </c>
      <c r="C41" s="12" t="s">
        <v>65</v>
      </c>
      <c r="D41" s="12">
        <v>13</v>
      </c>
    </row>
    <row r="42" spans="1:5" x14ac:dyDescent="0.4">
      <c r="A42" s="33" t="s">
        <v>116</v>
      </c>
      <c r="B42" s="33" t="s">
        <v>176</v>
      </c>
      <c r="C42" s="12" t="s">
        <v>66</v>
      </c>
      <c r="D42" s="12">
        <v>13</v>
      </c>
    </row>
    <row r="43" spans="1:5" x14ac:dyDescent="0.4">
      <c r="A43" s="33" t="s">
        <v>117</v>
      </c>
      <c r="B43" s="33" t="s">
        <v>177</v>
      </c>
      <c r="C43" s="12" t="s">
        <v>67</v>
      </c>
      <c r="D43" s="12">
        <v>13</v>
      </c>
    </row>
    <row r="44" spans="1:5" x14ac:dyDescent="0.4">
      <c r="A44" s="33" t="s">
        <v>118</v>
      </c>
      <c r="C44" s="12" t="s">
        <v>68</v>
      </c>
      <c r="D44" s="12">
        <v>13</v>
      </c>
    </row>
    <row r="45" spans="1:5" x14ac:dyDescent="0.4">
      <c r="A45" s="33" t="s">
        <v>119</v>
      </c>
      <c r="B45" s="33" t="s">
        <v>178</v>
      </c>
      <c r="C45" s="12" t="s">
        <v>69</v>
      </c>
      <c r="D45" s="12">
        <v>26</v>
      </c>
    </row>
    <row r="46" spans="1:5" x14ac:dyDescent="0.4">
      <c r="A46" s="33" t="s">
        <v>120</v>
      </c>
      <c r="B46" s="33" t="s">
        <v>179</v>
      </c>
      <c r="C46" s="12" t="s">
        <v>70</v>
      </c>
      <c r="D46" s="12">
        <v>26</v>
      </c>
    </row>
    <row r="47" spans="1:5" x14ac:dyDescent="0.4">
      <c r="A47" s="33" t="s">
        <v>121</v>
      </c>
      <c r="B47" s="33" t="s">
        <v>180</v>
      </c>
      <c r="C47" s="12" t="s">
        <v>71</v>
      </c>
      <c r="D47" s="12">
        <v>26</v>
      </c>
    </row>
    <row r="48" spans="1:5" x14ac:dyDescent="0.4">
      <c r="A48" s="33" t="s">
        <v>122</v>
      </c>
      <c r="C48" s="12" t="s">
        <v>72</v>
      </c>
      <c r="D48" s="12">
        <v>13</v>
      </c>
    </row>
    <row r="49" spans="1:5" x14ac:dyDescent="0.4">
      <c r="A49" s="33" t="s">
        <v>123</v>
      </c>
      <c r="C49" s="12" t="s">
        <v>73</v>
      </c>
      <c r="D49" s="12">
        <v>13</v>
      </c>
    </row>
    <row r="50" spans="1:5" x14ac:dyDescent="0.4">
      <c r="A50" s="33" t="s">
        <v>124</v>
      </c>
      <c r="C50" s="12" t="s">
        <v>74</v>
      </c>
      <c r="D50" s="12">
        <v>13</v>
      </c>
    </row>
    <row r="51" spans="1:5" x14ac:dyDescent="0.4">
      <c r="A51" s="33" t="s">
        <v>125</v>
      </c>
      <c r="C51" s="12" t="s">
        <v>75</v>
      </c>
      <c r="D51" s="12">
        <v>13</v>
      </c>
    </row>
    <row r="52" spans="1:5" x14ac:dyDescent="0.4">
      <c r="A52" s="33" t="s">
        <v>133</v>
      </c>
      <c r="C52" s="12" t="s">
        <v>134</v>
      </c>
      <c r="D52" s="12">
        <v>2</v>
      </c>
    </row>
    <row r="53" spans="1:5" x14ac:dyDescent="0.4">
      <c r="A53" s="33" t="s">
        <v>135</v>
      </c>
      <c r="B53" s="33" t="s">
        <v>142</v>
      </c>
      <c r="C53" s="12" t="s">
        <v>136</v>
      </c>
      <c r="D53" s="12">
        <v>1</v>
      </c>
      <c r="E53" s="12">
        <v>1</v>
      </c>
    </row>
    <row r="54" spans="1:5" x14ac:dyDescent="0.4">
      <c r="A54" s="33" t="s">
        <v>181</v>
      </c>
      <c r="C54" s="12" t="s">
        <v>182</v>
      </c>
      <c r="D54" s="12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29"/>
    <col min="13" max="13" width="9" style="29" customWidth="1"/>
    <col min="14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E3" s="29">
        <v>3900</v>
      </c>
      <c r="F3" s="29">
        <v>7700</v>
      </c>
    </row>
    <row r="4" spans="1:13" x14ac:dyDescent="0.4">
      <c r="A4" s="12">
        <v>25</v>
      </c>
      <c r="D4" s="29">
        <v>2400</v>
      </c>
      <c r="E4" s="29">
        <v>4800</v>
      </c>
      <c r="F4" s="29">
        <v>9600</v>
      </c>
    </row>
    <row r="5" spans="1:13" x14ac:dyDescent="0.4">
      <c r="A5" s="12">
        <v>30</v>
      </c>
      <c r="C5" s="29">
        <v>1500</v>
      </c>
      <c r="D5" s="29">
        <v>2900</v>
      </c>
      <c r="E5" s="29">
        <v>5800</v>
      </c>
      <c r="F5" s="29">
        <v>12000</v>
      </c>
    </row>
    <row r="6" spans="1:13" x14ac:dyDescent="0.4">
      <c r="A6" s="12">
        <v>40</v>
      </c>
      <c r="C6" s="29">
        <v>2000</v>
      </c>
      <c r="D6" s="29">
        <v>3900</v>
      </c>
      <c r="E6" s="29">
        <v>7700</v>
      </c>
      <c r="F6" s="29">
        <v>12000</v>
      </c>
    </row>
    <row r="7" spans="1:13" x14ac:dyDescent="0.4">
      <c r="A7" s="12">
        <v>50</v>
      </c>
      <c r="C7" s="29">
        <v>2400</v>
      </c>
      <c r="D7" s="29">
        <v>4800</v>
      </c>
      <c r="E7" s="29">
        <v>9600</v>
      </c>
      <c r="F7" s="29">
        <v>12000</v>
      </c>
    </row>
    <row r="8" spans="1:13" x14ac:dyDescent="0.4">
      <c r="A8" s="12">
        <v>60</v>
      </c>
      <c r="C8" s="29">
        <v>2900</v>
      </c>
      <c r="D8" s="29">
        <v>5800</v>
      </c>
      <c r="E8" s="29">
        <v>12000</v>
      </c>
      <c r="F8" s="29">
        <v>12000</v>
      </c>
    </row>
    <row r="9" spans="1:13" x14ac:dyDescent="0.4">
      <c r="A9" s="12">
        <v>70</v>
      </c>
      <c r="C9" s="29">
        <v>3400</v>
      </c>
      <c r="D9" s="29">
        <v>6800</v>
      </c>
      <c r="E9" s="29">
        <v>12000</v>
      </c>
      <c r="F9" s="29">
        <v>12000</v>
      </c>
    </row>
    <row r="10" spans="1:13" x14ac:dyDescent="0.4">
      <c r="A10" s="12">
        <v>80</v>
      </c>
      <c r="C10" s="29">
        <v>3900</v>
      </c>
      <c r="D10" s="29">
        <v>7700</v>
      </c>
      <c r="E10" s="29">
        <v>12000</v>
      </c>
      <c r="F10" s="29">
        <v>12000</v>
      </c>
    </row>
    <row r="11" spans="1:13" x14ac:dyDescent="0.4">
      <c r="A11" s="12">
        <v>90</v>
      </c>
      <c r="C11" s="29">
        <v>4400</v>
      </c>
      <c r="D11" s="29">
        <v>8700</v>
      </c>
      <c r="E11" s="29">
        <v>12000</v>
      </c>
      <c r="F11" s="29">
        <v>12000</v>
      </c>
    </row>
    <row r="12" spans="1:13" x14ac:dyDescent="0.4">
      <c r="A12" s="12">
        <v>100</v>
      </c>
      <c r="C12" s="29">
        <v>4800</v>
      </c>
      <c r="D12" s="29">
        <v>9600</v>
      </c>
      <c r="E12" s="29">
        <v>12000</v>
      </c>
      <c r="F12" s="29">
        <v>12000</v>
      </c>
    </row>
    <row r="13" spans="1:13" x14ac:dyDescent="0.4">
      <c r="A13" s="12">
        <v>110</v>
      </c>
      <c r="D13" s="29">
        <v>10600</v>
      </c>
      <c r="E13" s="29">
        <v>12000</v>
      </c>
      <c r="F13" s="29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2100</v>
      </c>
      <c r="E3" s="29">
        <v>3900</v>
      </c>
      <c r="F3" s="29">
        <v>7800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4800</v>
      </c>
      <c r="F4" s="29">
        <v>9600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1500</v>
      </c>
      <c r="D5" s="29">
        <v>3000</v>
      </c>
      <c r="E5" s="29">
        <v>6000</v>
      </c>
      <c r="F5" s="29">
        <v>12000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2100</v>
      </c>
      <c r="D6" s="29">
        <v>3900</v>
      </c>
      <c r="E6" s="29">
        <v>7800</v>
      </c>
      <c r="F6" s="29">
        <v>12000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2400</v>
      </c>
      <c r="D7" s="29">
        <v>4800</v>
      </c>
      <c r="E7" s="29">
        <v>9600</v>
      </c>
      <c r="F7" s="29">
        <v>12000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3000</v>
      </c>
      <c r="D8" s="29">
        <v>6000</v>
      </c>
      <c r="E8" s="29">
        <v>12000</v>
      </c>
      <c r="F8" s="29">
        <v>12000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3600</v>
      </c>
      <c r="D9" s="29">
        <v>6900</v>
      </c>
      <c r="E9" s="29">
        <v>12000</v>
      </c>
      <c r="F9" s="29">
        <v>12000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3900</v>
      </c>
      <c r="D10" s="29">
        <v>7800</v>
      </c>
      <c r="E10" s="29">
        <v>12000</v>
      </c>
      <c r="F10" s="29">
        <v>12000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4500</v>
      </c>
      <c r="D11" s="29">
        <v>8700</v>
      </c>
      <c r="E11" s="29">
        <v>12000</v>
      </c>
      <c r="F11" s="29">
        <v>12000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4800</v>
      </c>
      <c r="D12" s="29">
        <v>9600</v>
      </c>
      <c r="E12" s="29">
        <v>12000</v>
      </c>
      <c r="F12" s="29">
        <v>12000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10800</v>
      </c>
      <c r="E13" s="29">
        <v>12000</v>
      </c>
      <c r="F13" s="29">
        <v>12000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C3" s="29" t="s">
        <v>10</v>
      </c>
      <c r="D3" s="29" t="s">
        <v>10</v>
      </c>
      <c r="E3" s="29">
        <v>2600</v>
      </c>
      <c r="F3" s="29">
        <v>5200</v>
      </c>
    </row>
    <row r="4" spans="1:13" x14ac:dyDescent="0.4">
      <c r="A4" s="12">
        <v>25</v>
      </c>
      <c r="C4" s="29" t="s">
        <v>10</v>
      </c>
      <c r="D4" s="29">
        <v>1600</v>
      </c>
      <c r="E4" s="29">
        <v>3200</v>
      </c>
      <c r="F4" s="29">
        <v>6400</v>
      </c>
    </row>
    <row r="5" spans="1:13" x14ac:dyDescent="0.4">
      <c r="A5" s="12">
        <v>30</v>
      </c>
      <c r="C5" s="29">
        <v>1000</v>
      </c>
      <c r="D5" s="29">
        <v>2000</v>
      </c>
      <c r="E5" s="29">
        <v>3900</v>
      </c>
      <c r="F5" s="29">
        <v>8000</v>
      </c>
    </row>
    <row r="6" spans="1:13" x14ac:dyDescent="0.4">
      <c r="A6" s="12">
        <v>40</v>
      </c>
      <c r="C6" s="29">
        <v>1300</v>
      </c>
      <c r="D6" s="29">
        <v>2600</v>
      </c>
      <c r="E6" s="29">
        <v>5200</v>
      </c>
      <c r="F6" s="29">
        <v>8000</v>
      </c>
    </row>
    <row r="7" spans="1:13" x14ac:dyDescent="0.4">
      <c r="A7" s="12">
        <v>50</v>
      </c>
      <c r="C7" s="29">
        <v>1600</v>
      </c>
      <c r="D7" s="29">
        <v>3200</v>
      </c>
      <c r="E7" s="29">
        <v>6400</v>
      </c>
      <c r="F7" s="29">
        <v>8000</v>
      </c>
    </row>
    <row r="8" spans="1:13" x14ac:dyDescent="0.4">
      <c r="A8" s="12">
        <v>60</v>
      </c>
      <c r="C8" s="29">
        <v>2000</v>
      </c>
      <c r="D8" s="29">
        <v>3900</v>
      </c>
      <c r="E8" s="29">
        <v>8000</v>
      </c>
      <c r="F8" s="29">
        <v>8000</v>
      </c>
    </row>
    <row r="9" spans="1:13" x14ac:dyDescent="0.4">
      <c r="A9" s="12">
        <v>70</v>
      </c>
      <c r="C9" s="29">
        <v>2300</v>
      </c>
      <c r="D9" s="29">
        <v>4500</v>
      </c>
      <c r="E9" s="29">
        <v>8000</v>
      </c>
      <c r="F9" s="29">
        <v>8000</v>
      </c>
    </row>
    <row r="10" spans="1:13" x14ac:dyDescent="0.4">
      <c r="A10" s="12">
        <v>80</v>
      </c>
      <c r="C10" s="29">
        <v>2600</v>
      </c>
      <c r="D10" s="29">
        <v>5200</v>
      </c>
      <c r="E10" s="29">
        <v>8000</v>
      </c>
      <c r="F10" s="29">
        <v>8000</v>
      </c>
    </row>
    <row r="11" spans="1:13" x14ac:dyDescent="0.4">
      <c r="A11" s="12">
        <v>90</v>
      </c>
      <c r="C11" s="29">
        <v>2900</v>
      </c>
      <c r="D11" s="29">
        <v>5800</v>
      </c>
      <c r="E11" s="29">
        <v>8000</v>
      </c>
      <c r="F11" s="29">
        <v>8000</v>
      </c>
    </row>
    <row r="12" spans="1:13" x14ac:dyDescent="0.4">
      <c r="A12" s="12">
        <v>100</v>
      </c>
      <c r="C12" s="29">
        <v>3200</v>
      </c>
      <c r="D12" s="29">
        <v>6400</v>
      </c>
      <c r="E12" s="29">
        <v>8000</v>
      </c>
      <c r="F12" s="29">
        <v>8000</v>
      </c>
    </row>
    <row r="13" spans="1:13" x14ac:dyDescent="0.4">
      <c r="A13" s="12">
        <v>110</v>
      </c>
      <c r="C13" s="29" t="s">
        <v>10</v>
      </c>
      <c r="D13" s="29">
        <v>7100</v>
      </c>
      <c r="E13" s="29">
        <v>8000</v>
      </c>
      <c r="F13" s="29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1500</v>
      </c>
      <c r="E3" s="29">
        <v>2700</v>
      </c>
      <c r="F3" s="29">
        <v>5200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3200</v>
      </c>
      <c r="F4" s="29">
        <v>6400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1100</v>
      </c>
      <c r="D5" s="29">
        <v>2000</v>
      </c>
      <c r="E5" s="29">
        <v>4000</v>
      </c>
      <c r="F5" s="29">
        <v>8000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1500</v>
      </c>
      <c r="D6" s="29">
        <v>2700</v>
      </c>
      <c r="E6" s="29">
        <v>5200</v>
      </c>
      <c r="F6" s="29">
        <v>8000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1600</v>
      </c>
      <c r="D7" s="29">
        <v>3200</v>
      </c>
      <c r="E7" s="29">
        <v>6400</v>
      </c>
      <c r="F7" s="29">
        <v>8000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2000</v>
      </c>
      <c r="D8" s="29">
        <v>4000</v>
      </c>
      <c r="E8" s="29">
        <v>8000</v>
      </c>
      <c r="F8" s="29">
        <v>8000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2400</v>
      </c>
      <c r="D9" s="29">
        <v>4700</v>
      </c>
      <c r="E9" s="29">
        <v>8000</v>
      </c>
      <c r="F9" s="29">
        <v>8000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2700</v>
      </c>
      <c r="D10" s="29">
        <v>5200</v>
      </c>
      <c r="E10" s="29">
        <v>8000</v>
      </c>
      <c r="F10" s="29">
        <v>8000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3100</v>
      </c>
      <c r="D11" s="29">
        <v>5900</v>
      </c>
      <c r="E11" s="29">
        <v>8000</v>
      </c>
      <c r="F11" s="29">
        <v>8000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3200</v>
      </c>
      <c r="D12" s="29">
        <v>6400</v>
      </c>
      <c r="E12" s="29">
        <v>8000</v>
      </c>
      <c r="F12" s="29">
        <v>8000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7200</v>
      </c>
      <c r="E13" s="29">
        <v>8000</v>
      </c>
      <c r="F13" s="29">
        <v>8000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-2000</v>
      </c>
      <c r="H2" s="29">
        <v>-3000</v>
      </c>
      <c r="I2" s="29">
        <v>-4000</v>
      </c>
      <c r="J2" s="29">
        <v>-6000</v>
      </c>
      <c r="K2" s="29">
        <v>-8000</v>
      </c>
      <c r="L2" s="29">
        <v>-16000</v>
      </c>
      <c r="M2" s="29">
        <v>-24000</v>
      </c>
    </row>
    <row r="3" spans="1:13" x14ac:dyDescent="0.4">
      <c r="A3" s="12">
        <v>20</v>
      </c>
      <c r="C3" s="29" t="s">
        <v>10</v>
      </c>
      <c r="D3" s="29">
        <v>-400</v>
      </c>
      <c r="E3" s="29">
        <v>-700</v>
      </c>
      <c r="F3" s="29">
        <v>-1300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-800</v>
      </c>
      <c r="F4" s="29">
        <v>-1600</v>
      </c>
      <c r="M4" s="29" t="s">
        <v>10</v>
      </c>
    </row>
    <row r="5" spans="1:13" x14ac:dyDescent="0.4">
      <c r="A5" s="12">
        <v>30</v>
      </c>
      <c r="C5" s="29">
        <v>-300</v>
      </c>
      <c r="D5" s="29">
        <v>-500</v>
      </c>
      <c r="E5" s="29">
        <v>-1000</v>
      </c>
      <c r="F5" s="29">
        <v>-2000</v>
      </c>
      <c r="M5" s="29" t="s">
        <v>10</v>
      </c>
    </row>
    <row r="6" spans="1:13" x14ac:dyDescent="0.4">
      <c r="A6" s="12">
        <v>40</v>
      </c>
      <c r="C6" s="29">
        <v>-400</v>
      </c>
      <c r="D6" s="29">
        <v>-700</v>
      </c>
      <c r="E6" s="29">
        <v>-1300</v>
      </c>
      <c r="F6" s="29">
        <v>-2000</v>
      </c>
      <c r="M6" s="29" t="s">
        <v>10</v>
      </c>
    </row>
    <row r="7" spans="1:13" x14ac:dyDescent="0.4">
      <c r="A7" s="12">
        <v>50</v>
      </c>
      <c r="C7" s="29">
        <v>-400</v>
      </c>
      <c r="D7" s="29">
        <v>-800</v>
      </c>
      <c r="E7" s="29">
        <v>-1600</v>
      </c>
      <c r="F7" s="29">
        <v>-2000</v>
      </c>
      <c r="M7" s="29" t="s">
        <v>10</v>
      </c>
    </row>
    <row r="8" spans="1:13" x14ac:dyDescent="0.4">
      <c r="A8" s="12">
        <v>60</v>
      </c>
      <c r="C8" s="29">
        <v>-500</v>
      </c>
      <c r="D8" s="29">
        <v>-1000</v>
      </c>
      <c r="E8" s="29">
        <v>-2000</v>
      </c>
      <c r="F8" s="29">
        <v>-2000</v>
      </c>
      <c r="M8" s="29" t="s">
        <v>10</v>
      </c>
    </row>
    <row r="9" spans="1:13" x14ac:dyDescent="0.4">
      <c r="A9" s="12">
        <v>70</v>
      </c>
      <c r="C9" s="29">
        <v>-600</v>
      </c>
      <c r="D9" s="29">
        <v>-1200</v>
      </c>
      <c r="E9" s="29">
        <v>-2000</v>
      </c>
      <c r="F9" s="29">
        <v>-2000</v>
      </c>
      <c r="M9" s="29" t="s">
        <v>10</v>
      </c>
    </row>
    <row r="10" spans="1:13" x14ac:dyDescent="0.4">
      <c r="A10" s="12">
        <v>80</v>
      </c>
      <c r="C10" s="29">
        <v>-700</v>
      </c>
      <c r="D10" s="29">
        <v>-1300</v>
      </c>
      <c r="E10" s="29">
        <v>-2000</v>
      </c>
      <c r="F10" s="29">
        <v>-2000</v>
      </c>
      <c r="M10" s="29" t="s">
        <v>10</v>
      </c>
    </row>
    <row r="11" spans="1:13" x14ac:dyDescent="0.4">
      <c r="A11" s="12">
        <v>90</v>
      </c>
      <c r="C11" s="29">
        <v>-800</v>
      </c>
      <c r="D11" s="29">
        <v>-1500</v>
      </c>
      <c r="E11" s="29">
        <v>-2000</v>
      </c>
      <c r="F11" s="29">
        <v>-2000</v>
      </c>
      <c r="M11" s="29" t="s">
        <v>10</v>
      </c>
    </row>
    <row r="12" spans="1:13" x14ac:dyDescent="0.4">
      <c r="A12" s="12">
        <v>100</v>
      </c>
      <c r="C12" s="29">
        <v>-800</v>
      </c>
      <c r="D12" s="29">
        <v>-1600</v>
      </c>
      <c r="E12" s="29">
        <v>-2000</v>
      </c>
      <c r="F12" s="29">
        <v>-2000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-1800</v>
      </c>
      <c r="E13" s="29">
        <v>-2000</v>
      </c>
      <c r="F13" s="29">
        <v>-2000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2019-11-22T13:55:59Z</dcterms:modified>
</cp:coreProperties>
</file>