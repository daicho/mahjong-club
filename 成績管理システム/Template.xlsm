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21EC2C2D-B8D7-4439-BD7D-91C2D1821930}" xr6:coauthVersionLast="41" xr6:coauthVersionMax="41" xr10:uidLastSave="{00000000-0000-0000-0000-000000000000}"/>
  <bookViews>
    <workbookView xWindow="-108" yWindow="-108" windowWidth="23256" windowHeight="1272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/>
  <c r="Y13" i="27"/>
  <c r="AC13" i="27" s="1"/>
  <c r="T13" i="27"/>
  <c r="AB13" i="27" s="1"/>
  <c r="O13" i="27"/>
  <c r="AA13" i="27" s="1"/>
  <c r="J13" i="27"/>
  <c r="Z13" i="27" s="1"/>
  <c r="D13" i="27"/>
  <c r="C13" i="27"/>
  <c r="B13" i="27"/>
  <c r="A13" i="27"/>
  <c r="Y12" i="27"/>
  <c r="AC12" i="27" s="1"/>
  <c r="T12" i="27"/>
  <c r="AB12" i="27" s="1"/>
  <c r="O12" i="27"/>
  <c r="AA12" i="27" s="1"/>
  <c r="J12" i="27"/>
  <c r="Z12" i="27" s="1"/>
  <c r="D12" i="27"/>
  <c r="C12" i="27"/>
  <c r="B12" i="27"/>
  <c r="A12" i="27"/>
  <c r="Y11" i="27"/>
  <c r="AC11" i="27" s="1"/>
  <c r="T11" i="27"/>
  <c r="AB11" i="27" s="1"/>
  <c r="O11" i="27"/>
  <c r="AA11" i="27" s="1"/>
  <c r="J11" i="27"/>
  <c r="Z11" i="27" s="1"/>
  <c r="D11" i="27"/>
  <c r="C11" i="27"/>
  <c r="B11" i="27"/>
  <c r="A11" i="27"/>
  <c r="Y10" i="27"/>
  <c r="AC10" i="27" s="1"/>
  <c r="T10" i="27"/>
  <c r="AB10" i="27" s="1"/>
  <c r="O10" i="27"/>
  <c r="AA10" i="27" s="1"/>
  <c r="J10" i="27"/>
  <c r="Z10" i="27" s="1"/>
  <c r="D10" i="27"/>
  <c r="C10" i="27"/>
  <c r="B10" i="27"/>
  <c r="A10" i="27"/>
  <c r="Y9" i="27"/>
  <c r="AC9" i="27" s="1"/>
  <c r="T9" i="27"/>
  <c r="AB9" i="27" s="1"/>
  <c r="O9" i="27"/>
  <c r="AA9" i="27" s="1"/>
  <c r="J9" i="27"/>
  <c r="Z9" i="27" s="1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4" i="27" l="1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s="1"/>
  <c r="AB6" i="27" l="1"/>
  <c r="Z6" i="27"/>
  <c r="AA6" i="27"/>
  <c r="Y8" i="27"/>
  <c r="T7" i="27"/>
  <c r="AB7" i="27" l="1"/>
  <c r="Z7" i="27"/>
  <c r="AA7" i="27"/>
  <c r="AC7" i="27"/>
  <c r="T8" i="27"/>
  <c r="AC8" i="27" s="1"/>
  <c r="AB8" i="27" l="1"/>
  <c r="Z8" i="27"/>
  <c r="AA8" i="27"/>
</calcChain>
</file>

<file path=xl/sharedStrings.xml><?xml version="1.0" encoding="utf-8"?>
<sst xmlns="http://schemas.openxmlformats.org/spreadsheetml/2006/main" count="536" uniqueCount="184">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</sst>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/>
      <c r="G1" s="66"/>
      <c r="H1" s="66"/>
      <c r="I1" s="67"/>
      <c r="J1" s="68"/>
      <c r="K1" s="65"/>
      <c r="L1" s="66"/>
      <c r="M1" s="66"/>
      <c r="N1" s="67"/>
      <c r="O1" s="68"/>
      <c r="P1" s="65"/>
      <c r="Q1" s="66"/>
      <c r="R1" s="66"/>
      <c r="S1" s="67"/>
      <c r="T1" s="68"/>
      <c r="U1" s="65"/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>IF($F$1="","",$F$1)</f>
        <v/>
      </c>
      <c r="AF1" s="75">
        <f t="shared" ref="AF1:AY1" si="0">$F$1</f>
        <v>0</v>
      </c>
      <c r="AG1" s="66">
        <f t="shared" si="0"/>
        <v>0</v>
      </c>
      <c r="AH1" s="66">
        <f t="shared" si="0"/>
        <v>0</v>
      </c>
      <c r="AI1" s="66">
        <f t="shared" si="0"/>
        <v>0</v>
      </c>
      <c r="AJ1" s="66">
        <f t="shared" si="0"/>
        <v>0</v>
      </c>
      <c r="AK1" s="66">
        <f t="shared" si="0"/>
        <v>0</v>
      </c>
      <c r="AL1" s="66">
        <f t="shared" si="0"/>
        <v>0</v>
      </c>
      <c r="AM1" s="66">
        <f t="shared" si="0"/>
        <v>0</v>
      </c>
      <c r="AN1" s="66">
        <f t="shared" si="0"/>
        <v>0</v>
      </c>
      <c r="AO1" s="66">
        <f t="shared" si="0"/>
        <v>0</v>
      </c>
      <c r="AP1" s="66">
        <f t="shared" si="0"/>
        <v>0</v>
      </c>
      <c r="AQ1" s="66">
        <f t="shared" si="0"/>
        <v>0</v>
      </c>
      <c r="AR1" s="66">
        <f t="shared" si="0"/>
        <v>0</v>
      </c>
      <c r="AS1" s="66">
        <f t="shared" si="0"/>
        <v>0</v>
      </c>
      <c r="AT1" s="66">
        <f t="shared" si="0"/>
        <v>0</v>
      </c>
      <c r="AU1" s="66">
        <f t="shared" si="0"/>
        <v>0</v>
      </c>
      <c r="AV1" s="66">
        <f t="shared" si="0"/>
        <v>0</v>
      </c>
      <c r="AW1" s="66">
        <f t="shared" si="0"/>
        <v>0</v>
      </c>
      <c r="AX1" s="66">
        <f t="shared" si="0"/>
        <v>0</v>
      </c>
      <c r="AY1" s="68">
        <f t="shared" si="0"/>
        <v>0</v>
      </c>
      <c r="AZ1" s="65" t="str">
        <f>IF($K$1="","",$K$1)</f>
        <v/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IF($P$1="","",$P$1)</f>
        <v/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IF($U$1="","",$U$1)</f>
        <v/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5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/>
      </c>
      <c r="AA2" s="61" t="str">
        <f>IF($K$1="","",$K$1)</f>
        <v/>
      </c>
      <c r="AB2" s="61" t="str">
        <f>IF($P$1="","",$P$1)</f>
        <v/>
      </c>
      <c r="AC2" s="13" t="str">
        <f>IF($U$1="","",$U$1)</f>
        <v/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/>
      </c>
      <c r="F4" s="5"/>
      <c r="G4" s="6"/>
      <c r="H4" s="6"/>
      <c r="I4" s="45"/>
      <c r="J4" s="18" t="str">
        <f>IF(COUNTA($F4,$K4,$P4,$U4)&gt;0,J3+SUM(G4:I4),"")</f>
        <v/>
      </c>
      <c r="K4" s="5"/>
      <c r="L4" s="6"/>
      <c r="M4" s="6"/>
      <c r="N4" s="45"/>
      <c r="O4" s="18" t="str">
        <f>IF(COUNTA($F4,$K4,$P4,$U4)&gt;0,O3+SUM(L4:N4),"")</f>
        <v/>
      </c>
      <c r="P4" s="5"/>
      <c r="Q4" s="6"/>
      <c r="R4" s="6"/>
      <c r="S4" s="45"/>
      <c r="T4" s="18" t="str">
        <f>IF(COUNTA($F4,$K4,$P4,$U4)&gt;0,T3+SUM(Q4:S4),"")</f>
        <v/>
      </c>
      <c r="U4" s="5"/>
      <c r="V4" s="6"/>
      <c r="W4" s="6"/>
      <c r="X4" s="45"/>
      <c r="Y4" s="18" t="str">
        <f>IF(COUNTA($F4,$K4,$P4,$U4)&gt;0,Y3+SUM(V4:X4),"")</f>
        <v/>
      </c>
      <c r="Z4" s="50" t="str">
        <f>IF($J4="","",ROUND(($J4-30000)/1000,1)+(2.5-_xlfn.RANK.AVG($J4,($J4,$O4,$T4,$Y4)))*20+IF(_xlfn.RANK.EQ($J4,($J4,$O4,$T4,$Y4))=1,20/((_xlfn.RANK.AVG($J4,($J4,$O4,$T4,$Y4))-1)*2+1),0))</f>
        <v/>
      </c>
      <c r="AA4" s="51" t="str">
        <f>IF($O4="","",ROUND(($O4-30000)/1000,1)+(2.5-_xlfn.RANK.AVG($O4,($J4,$O4,$T4,$Y4)))*20+IF(_xlfn.RANK.EQ($O4,($J4,$O4,$T4,$Y4))=1,20/((_xlfn.RANK.AVG($O4,($J4,$O4,$T4,$Y4))-1)*2+1),0))</f>
        <v/>
      </c>
      <c r="AB4" s="51" t="str">
        <f>IF($T4="","",ROUND(($T4-30000)/1000,1)+(2.5-_xlfn.RANK.AVG($T4,($J4,$O4,$T4,$Y4)))*20+IF(_xlfn.RANK.EQ($T4,($J4,$O4,$T4,$Y4))=1,20/((_xlfn.RANK.AVG($T4,($J4,$O4,$T4,$Y4))-1)*2+1),0))</f>
        <v/>
      </c>
      <c r="AC4" s="52" t="str">
        <f>IF($Y4="","",ROUND(($Y4-30000)/1000,1)+(2.5-_xlfn.RANK.AVG($Y4,($J4,$O4,$T4,$Y4)))*20+IF(_xlfn.RANK.EQ($Y4,($J4,$O4,$T4,$Y4))=1,20/((_xlfn.RANK.AVG($Y4,($J4,$O4,$T4,$Y4))-1)*2+1),0))</f>
        <v/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/>
      </c>
      <c r="B5" s="15" t="str">
        <f>IF($E5="","",IF($E4=$E5,B4,IF(B4=4,1,B4+1)))</f>
        <v/>
      </c>
      <c r="C5" s="15" t="str">
        <f>IF($E5="","",IF($F4="チョンボ",C4,IF(OR($E4=$E5,$F4="流局"),C4+1,0)))</f>
        <v/>
      </c>
      <c r="D5" s="15" t="str">
        <f>IF($E5="","",IF(OR($F4="流局",$F4="チョンボ"),D4+($H4+$M4+$R4+$W4)/-1000,0))</f>
        <v/>
      </c>
      <c r="E5" s="63"/>
      <c r="F5" s="5"/>
      <c r="G5" s="6"/>
      <c r="H5" s="6"/>
      <c r="I5" s="45"/>
      <c r="J5" s="18" t="str">
        <f t="shared" ref="J5:J30" si="2">IF(COUNTA($F5,$K5,$P5,$U5)&gt;0,J4+SUM(G5:I5),"")</f>
        <v/>
      </c>
      <c r="K5" s="5"/>
      <c r="L5" s="6"/>
      <c r="M5" s="6"/>
      <c r="N5" s="45"/>
      <c r="O5" s="18" t="str">
        <f>IF(COUNTA($F5,$K5,$P5,$U5)&gt;0,O4+SUM(L5:N5),"")</f>
        <v/>
      </c>
      <c r="P5" s="5"/>
      <c r="Q5" s="6"/>
      <c r="R5" s="6"/>
      <c r="S5" s="45"/>
      <c r="T5" s="18" t="str">
        <f t="shared" ref="T5:T30" si="3">IF(COUNTA($F5,$K5,$P5,$U5)&gt;0,T4+SUM(Q5:S5),"")</f>
        <v/>
      </c>
      <c r="U5" s="5"/>
      <c r="V5" s="6"/>
      <c r="W5" s="6"/>
      <c r="X5" s="45"/>
      <c r="Y5" s="18" t="str">
        <f t="shared" ref="Y5:Y30" si="4">IF(COUNTA($F5,$K5,$P5,$U5)&gt;0,Y4+SUM(V5:X5),"")</f>
        <v/>
      </c>
      <c r="Z5" s="50" t="str">
        <f>IF($J5="","",ROUND(($J5-30000)/1000,1)+(2.5-_xlfn.RANK.AVG($J5,($J5,$O5,$T5,$Y5)))*20+IF(_xlfn.RANK.EQ($J5,($J5,$O5,$T5,$Y5))=1,20/((_xlfn.RANK.AVG($J5,($J5,$O5,$T5,$Y5))-1)*2+1),0))</f>
        <v/>
      </c>
      <c r="AA5" s="51" t="str">
        <f>IF($O5="","",ROUND(($O5-30000)/1000,1)+(2.5-_xlfn.RANK.AVG($O5,($J5,$O5,$T5,$Y5)))*20+IF(_xlfn.RANK.EQ($O5,($J5,$O5,$T5,$Y5))=1,20/((_xlfn.RANK.AVG($O5,($J5,$O5,$T5,$Y5))-1)*2+1),0))</f>
        <v/>
      </c>
      <c r="AB5" s="51" t="str">
        <f>IF($T5="","",ROUND(($T5-30000)/1000,1)+(2.5-_xlfn.RANK.AVG($T5,($J5,$O5,$T5,$Y5)))*20+IF(_xlfn.RANK.EQ($T5,($J5,$O5,$T5,$Y5))=1,20/((_xlfn.RANK.AVG($T5,($J5,$O5,$T5,$Y5))-1)*2+1),0))</f>
        <v/>
      </c>
      <c r="AC5" s="52" t="str">
        <f>IF($Y5="","",ROUND(($Y5-30000)/1000,1)+(2.5-_xlfn.RANK.AVG($Y5,($J5,$O5,$T5,$Y5)))*20+IF(_xlfn.RANK.EQ($Y5,($J5,$O5,$T5,$Y5))=1,20/((_xlfn.RANK.AVG($Y5,($J5,$O5,$T5,$Y5))-1)*2+1),0))</f>
        <v/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/>
      </c>
      <c r="B6" s="15" t="str">
        <f t="shared" ref="B6:B30" si="5">IF($E6="","",IF($E5=$E6,B5,IF(B5=4,1,B5+1)))</f>
        <v/>
      </c>
      <c r="C6" s="15" t="str">
        <f t="shared" ref="C6:C30" si="6">IF($E6="","",IF($F5="チョンボ",C5,IF(OR($E5=$E6,$F5="流局"),C5+1,0)))</f>
        <v/>
      </c>
      <c r="D6" s="15" t="str">
        <f t="shared" ref="D6:D30" si="7">IF($E6="","",IF(OR($F5="流局",$F5="チョンボ"),D5+($H5+$M5+$R5+$W5)/-1000,0))</f>
        <v/>
      </c>
      <c r="E6" s="63"/>
      <c r="F6" s="5"/>
      <c r="G6" s="6"/>
      <c r="H6" s="6"/>
      <c r="I6" s="45"/>
      <c r="J6" s="18" t="str">
        <f t="shared" si="2"/>
        <v/>
      </c>
      <c r="K6" s="5"/>
      <c r="L6" s="6"/>
      <c r="M6" s="6"/>
      <c r="N6" s="45"/>
      <c r="O6" s="18" t="str">
        <f t="shared" ref="O6:O30" si="8">IF(COUNTA($F6,$K6,$P6,$U6)&gt;0,O5+SUM(L6:N6),"")</f>
        <v/>
      </c>
      <c r="P6" s="5"/>
      <c r="Q6" s="6"/>
      <c r="R6" s="6"/>
      <c r="S6" s="45"/>
      <c r="T6" s="18" t="str">
        <f t="shared" si="3"/>
        <v/>
      </c>
      <c r="U6" s="5"/>
      <c r="V6" s="6"/>
      <c r="W6" s="6"/>
      <c r="X6" s="45"/>
      <c r="Y6" s="18" t="str">
        <f t="shared" si="4"/>
        <v/>
      </c>
      <c r="Z6" s="50" t="str">
        <f>IF($J6="","",ROUND(($J6-30000)/1000,1)+(2.5-_xlfn.RANK.AVG($J6,($J6,$O6,$T6,$Y6)))*20+IF(_xlfn.RANK.EQ($J6,($J6,$O6,$T6,$Y6))=1,20/((_xlfn.RANK.AVG($J6,($J6,$O6,$T6,$Y6))-1)*2+1),0))</f>
        <v/>
      </c>
      <c r="AA6" s="51" t="str">
        <f>IF($O6="","",ROUND(($O6-30000)/1000,1)+(2.5-_xlfn.RANK.AVG($O6,($J6,$O6,$T6,$Y6)))*20+IF(_xlfn.RANK.EQ($O6,($J6,$O6,$T6,$Y6))=1,20/((_xlfn.RANK.AVG($O6,($J6,$O6,$T6,$Y6))-1)*2+1),0))</f>
        <v/>
      </c>
      <c r="AB6" s="51" t="str">
        <f>IF($T6="","",ROUND(($T6-30000)/1000,1)+(2.5-_xlfn.RANK.AVG($T6,($J6,$O6,$T6,$Y6)))*20+IF(_xlfn.RANK.EQ($T6,($J6,$O6,$T6,$Y6))=1,20/((_xlfn.RANK.AVG($T6,($J6,$O6,$T6,$Y6))-1)*2+1),0))</f>
        <v/>
      </c>
      <c r="AC6" s="52" t="str">
        <f>IF($Y6="","",ROUND(($Y6-30000)/1000,1)+(2.5-_xlfn.RANK.AVG($Y6,($J6,$O6,$T6,$Y6)))*20+IF(_xlfn.RANK.EQ($Y6,($J6,$O6,$T6,$Y6))=1,20/((_xlfn.RANK.AVG($Y6,($J6,$O6,$T6,$Y6))-1)*2+1),0))</f>
        <v/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/>
      </c>
      <c r="B7" s="15" t="str">
        <f t="shared" si="5"/>
        <v/>
      </c>
      <c r="C7" s="15" t="str">
        <f t="shared" si="6"/>
        <v/>
      </c>
      <c r="D7" s="15" t="str">
        <f t="shared" si="7"/>
        <v/>
      </c>
      <c r="E7" s="63"/>
      <c r="F7" s="5"/>
      <c r="G7" s="6"/>
      <c r="H7" s="6"/>
      <c r="I7" s="45"/>
      <c r="J7" s="18" t="str">
        <f t="shared" si="2"/>
        <v/>
      </c>
      <c r="K7" s="5"/>
      <c r="L7" s="6"/>
      <c r="M7" s="6"/>
      <c r="N7" s="45"/>
      <c r="O7" s="18" t="str">
        <f t="shared" si="8"/>
        <v/>
      </c>
      <c r="P7" s="5"/>
      <c r="Q7" s="6"/>
      <c r="R7" s="6"/>
      <c r="S7" s="45"/>
      <c r="T7" s="18" t="str">
        <f t="shared" si="3"/>
        <v/>
      </c>
      <c r="U7" s="5"/>
      <c r="V7" s="6"/>
      <c r="W7" s="6"/>
      <c r="X7" s="45"/>
      <c r="Y7" s="18" t="str">
        <f t="shared" si="4"/>
        <v/>
      </c>
      <c r="Z7" s="50" t="str">
        <f>IF($J7="","",ROUND(($J7-30000)/1000,1)+(2.5-_xlfn.RANK.AVG($J7,($J7,$O7,$T7,$Y7)))*20+IF(_xlfn.RANK.EQ($J7,($J7,$O7,$T7,$Y7))=1,20/((_xlfn.RANK.AVG($J7,($J7,$O7,$T7,$Y7))-1)*2+1),0))</f>
        <v/>
      </c>
      <c r="AA7" s="51" t="str">
        <f>IF($O7="","",ROUND(($O7-30000)/1000,1)+(2.5-_xlfn.RANK.AVG($O7,($J7,$O7,$T7,$Y7)))*20+IF(_xlfn.RANK.EQ($O7,($J7,$O7,$T7,$Y7))=1,20/((_xlfn.RANK.AVG($O7,($J7,$O7,$T7,$Y7))-1)*2+1),0))</f>
        <v/>
      </c>
      <c r="AB7" s="51" t="str">
        <f>IF($T7="","",ROUND(($T7-30000)/1000,1)+(2.5-_xlfn.RANK.AVG($T7,($J7,$O7,$T7,$Y7)))*20+IF(_xlfn.RANK.EQ($T7,($J7,$O7,$T7,$Y7))=1,20/((_xlfn.RANK.AVG($T7,($J7,$O7,$T7,$Y7))-1)*2+1),0))</f>
        <v/>
      </c>
      <c r="AC7" s="52" t="str">
        <f>IF($Y7="","",ROUND(($Y7-30000)/1000,1)+(2.5-_xlfn.RANK.AVG($Y7,($J7,$O7,$T7,$Y7)))*20+IF(_xlfn.RANK.EQ($Y7,($J7,$O7,$T7,$Y7))=1,20/((_xlfn.RANK.AVG($Y7,($J7,$O7,$T7,$Y7))-1)*2+1),0))</f>
        <v/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/>
      </c>
      <c r="B8" s="15" t="str">
        <f t="shared" si="5"/>
        <v/>
      </c>
      <c r="C8" s="15" t="str">
        <f t="shared" si="6"/>
        <v/>
      </c>
      <c r="D8" s="15" t="str">
        <f>IF($E8="","",IF(OR($F7="流局",$F7="チョンボ"),D7+($H7+$M7+$R7+$W7)/-1000,0))</f>
        <v/>
      </c>
      <c r="E8" s="63"/>
      <c r="F8" s="5"/>
      <c r="G8" s="6"/>
      <c r="H8" s="6"/>
      <c r="I8" s="45"/>
      <c r="J8" s="18" t="str">
        <f t="shared" si="2"/>
        <v/>
      </c>
      <c r="K8" s="5"/>
      <c r="L8" s="6"/>
      <c r="M8" s="6"/>
      <c r="N8" s="45"/>
      <c r="O8" s="18" t="str">
        <f t="shared" si="8"/>
        <v/>
      </c>
      <c r="P8" s="5"/>
      <c r="Q8" s="6"/>
      <c r="R8" s="6"/>
      <c r="S8" s="45"/>
      <c r="T8" s="18" t="str">
        <f t="shared" si="3"/>
        <v/>
      </c>
      <c r="U8" s="5"/>
      <c r="V8" s="6"/>
      <c r="W8" s="6"/>
      <c r="X8" s="45"/>
      <c r="Y8" s="18" t="str">
        <f t="shared" si="4"/>
        <v/>
      </c>
      <c r="Z8" s="50" t="str">
        <f>IF($J8="","",ROUND(($J8-30000)/1000,1)+(2.5-_xlfn.RANK.AVG($J8,($J8,$O8,$T8,$Y8)))*20+IF(_xlfn.RANK.EQ($J8,($J8,$O8,$T8,$Y8))=1,20/((_xlfn.RANK.AVG($J8,($J8,$O8,$T8,$Y8))-1)*2+1),0))</f>
        <v/>
      </c>
      <c r="AA8" s="51" t="str">
        <f>IF($O8="","",ROUND(($O8-30000)/1000,1)+(2.5-_xlfn.RANK.AVG($O8,($J8,$O8,$T8,$Y8)))*20+IF(_xlfn.RANK.EQ($O8,($J8,$O8,$T8,$Y8))=1,20/((_xlfn.RANK.AVG($O8,($J8,$O8,$T8,$Y8))-1)*2+1),0))</f>
        <v/>
      </c>
      <c r="AB8" s="51" t="str">
        <f>IF($T8="","",ROUND(($T8-30000)/1000,1)+(2.5-_xlfn.RANK.AVG($T8,($J8,$O8,$T8,$Y8)))*20+IF(_xlfn.RANK.EQ($T8,($J8,$O8,$T8,$Y8))=1,20/((_xlfn.RANK.AVG($T8,($J8,$O8,$T8,$Y8))-1)*2+1),0))</f>
        <v/>
      </c>
      <c r="AC8" s="52" t="str">
        <f>IF($Y8="","",ROUND(($Y8-30000)/1000,1)+(2.5-_xlfn.RANK.AVG($Y8,($J8,$O8,$T8,$Y8)))*20+IF(_xlfn.RANK.EQ($Y8,($J8,$O8,$T8,$Y8))=1,20/((_xlfn.RANK.AVG($Y8,($J8,$O8,$T8,$Y8))-1)*2+1),0))</f>
        <v/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844AE229-B251-405B-9FBD-33A792BCEE2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3" customWidth="1"/>
    <col min="2" max="2" width="6.5" style="33" customWidth="1"/>
    <col min="3" max="3" width="19.19921875" style="12" bestFit="1" customWidth="1"/>
    <col min="4" max="5" width="6.5" style="12" customWidth="1"/>
  </cols>
  <sheetData>
    <row r="1" spans="1:5" x14ac:dyDescent="0.45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 x14ac:dyDescent="0.45">
      <c r="A2" s="33" t="s">
        <v>76</v>
      </c>
      <c r="B2" s="33" t="s">
        <v>138</v>
      </c>
      <c r="C2" s="12" t="s">
        <v>131</v>
      </c>
      <c r="D2" s="12">
        <v>1</v>
      </c>
    </row>
    <row r="3" spans="1:5" x14ac:dyDescent="0.45">
      <c r="A3" s="33" t="s">
        <v>77</v>
      </c>
      <c r="B3" s="33" t="s">
        <v>147</v>
      </c>
      <c r="C3" s="12" t="s">
        <v>30</v>
      </c>
      <c r="D3" s="12">
        <v>1</v>
      </c>
    </row>
    <row r="4" spans="1:5" x14ac:dyDescent="0.45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 x14ac:dyDescent="0.45">
      <c r="A5" s="33" t="s">
        <v>79</v>
      </c>
      <c r="B5" s="33" t="s">
        <v>141</v>
      </c>
      <c r="C5" s="12" t="s">
        <v>32</v>
      </c>
      <c r="D5" s="12">
        <v>1</v>
      </c>
    </row>
    <row r="6" spans="1:5" x14ac:dyDescent="0.45">
      <c r="A6" s="33" t="s">
        <v>80</v>
      </c>
      <c r="C6" s="12" t="s">
        <v>33</v>
      </c>
      <c r="D6" s="12">
        <v>1</v>
      </c>
      <c r="E6" s="12">
        <v>1</v>
      </c>
    </row>
    <row r="7" spans="1:5" x14ac:dyDescent="0.45">
      <c r="A7" s="33" t="s">
        <v>81</v>
      </c>
      <c r="B7" s="33" t="s">
        <v>139</v>
      </c>
      <c r="C7" s="12" t="s">
        <v>34</v>
      </c>
      <c r="D7" s="12">
        <v>1</v>
      </c>
    </row>
    <row r="8" spans="1:5" x14ac:dyDescent="0.45">
      <c r="A8" s="33" t="s">
        <v>82</v>
      </c>
      <c r="B8" s="33" t="s">
        <v>143</v>
      </c>
      <c r="C8" s="12" t="s">
        <v>35</v>
      </c>
      <c r="D8" s="12">
        <v>1</v>
      </c>
    </row>
    <row r="9" spans="1:5" x14ac:dyDescent="0.45">
      <c r="A9" s="33" t="s">
        <v>83</v>
      </c>
      <c r="B9" s="33" t="s">
        <v>145</v>
      </c>
      <c r="C9" s="12" t="s">
        <v>36</v>
      </c>
      <c r="D9" s="12">
        <v>1</v>
      </c>
    </row>
    <row r="10" spans="1:5" x14ac:dyDescent="0.45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 x14ac:dyDescent="0.45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 x14ac:dyDescent="0.45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 x14ac:dyDescent="0.45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 x14ac:dyDescent="0.45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 x14ac:dyDescent="0.45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 x14ac:dyDescent="0.45">
      <c r="A16" s="33" t="s">
        <v>90</v>
      </c>
      <c r="B16" s="33" t="s">
        <v>161</v>
      </c>
      <c r="C16" s="12" t="s">
        <v>42</v>
      </c>
      <c r="D16" s="12">
        <v>2</v>
      </c>
    </row>
    <row r="17" spans="1:5" x14ac:dyDescent="0.45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 x14ac:dyDescent="0.45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 x14ac:dyDescent="0.45">
      <c r="A19" s="33" t="s">
        <v>93</v>
      </c>
      <c r="B19" s="33" t="s">
        <v>183</v>
      </c>
      <c r="C19" s="12" t="s">
        <v>44</v>
      </c>
      <c r="D19" s="12">
        <v>2</v>
      </c>
      <c r="E19" s="12">
        <v>1</v>
      </c>
    </row>
    <row r="20" spans="1:5" x14ac:dyDescent="0.45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 x14ac:dyDescent="0.45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 x14ac:dyDescent="0.45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 x14ac:dyDescent="0.45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 x14ac:dyDescent="0.45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 x14ac:dyDescent="0.45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 x14ac:dyDescent="0.45">
      <c r="A26" s="33" t="s">
        <v>100</v>
      </c>
      <c r="B26" s="33" t="s">
        <v>153</v>
      </c>
      <c r="C26" s="12" t="s">
        <v>51</v>
      </c>
      <c r="D26" s="12">
        <v>2</v>
      </c>
    </row>
    <row r="27" spans="1:5" x14ac:dyDescent="0.45">
      <c r="A27" s="33" t="s">
        <v>101</v>
      </c>
      <c r="B27" s="33" t="s">
        <v>162</v>
      </c>
      <c r="C27" s="12" t="s">
        <v>52</v>
      </c>
      <c r="D27" s="12">
        <v>3</v>
      </c>
    </row>
    <row r="28" spans="1:5" x14ac:dyDescent="0.45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 x14ac:dyDescent="0.45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 x14ac:dyDescent="0.45">
      <c r="A30" s="33" t="s">
        <v>104</v>
      </c>
      <c r="C30" s="12" t="s">
        <v>54</v>
      </c>
      <c r="D30" s="12">
        <v>5</v>
      </c>
      <c r="E30" s="12">
        <v>5</v>
      </c>
    </row>
    <row r="31" spans="1:5" x14ac:dyDescent="0.45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 x14ac:dyDescent="0.45">
      <c r="A32" s="33" t="s">
        <v>106</v>
      </c>
      <c r="B32" s="33" t="s">
        <v>166</v>
      </c>
      <c r="C32" s="12" t="s">
        <v>56</v>
      </c>
      <c r="D32" s="12">
        <v>13</v>
      </c>
    </row>
    <row r="33" spans="1:5" x14ac:dyDescent="0.45">
      <c r="A33" s="33" t="s">
        <v>107</v>
      </c>
      <c r="B33" s="33" t="s">
        <v>167</v>
      </c>
      <c r="C33" s="12" t="s">
        <v>57</v>
      </c>
      <c r="D33" s="12">
        <v>13</v>
      </c>
    </row>
    <row r="34" spans="1:5" x14ac:dyDescent="0.45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 x14ac:dyDescent="0.45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 x14ac:dyDescent="0.45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 x14ac:dyDescent="0.45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 x14ac:dyDescent="0.45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 x14ac:dyDescent="0.45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 x14ac:dyDescent="0.45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 x14ac:dyDescent="0.45">
      <c r="A41" s="33" t="s">
        <v>115</v>
      </c>
      <c r="B41" s="33" t="s">
        <v>175</v>
      </c>
      <c r="C41" s="12" t="s">
        <v>65</v>
      </c>
      <c r="D41" s="12">
        <v>13</v>
      </c>
    </row>
    <row r="42" spans="1:5" x14ac:dyDescent="0.45">
      <c r="A42" s="33" t="s">
        <v>116</v>
      </c>
      <c r="B42" s="33" t="s">
        <v>176</v>
      </c>
      <c r="C42" s="12" t="s">
        <v>66</v>
      </c>
      <c r="D42" s="12">
        <v>13</v>
      </c>
    </row>
    <row r="43" spans="1:5" x14ac:dyDescent="0.45">
      <c r="A43" s="33" t="s">
        <v>117</v>
      </c>
      <c r="B43" s="33" t="s">
        <v>177</v>
      </c>
      <c r="C43" s="12" t="s">
        <v>67</v>
      </c>
      <c r="D43" s="12">
        <v>13</v>
      </c>
    </row>
    <row r="44" spans="1:5" x14ac:dyDescent="0.45">
      <c r="A44" s="33" t="s">
        <v>118</v>
      </c>
      <c r="C44" s="12" t="s">
        <v>68</v>
      </c>
      <c r="D44" s="12">
        <v>13</v>
      </c>
    </row>
    <row r="45" spans="1:5" x14ac:dyDescent="0.45">
      <c r="A45" s="33" t="s">
        <v>119</v>
      </c>
      <c r="B45" s="33" t="s">
        <v>178</v>
      </c>
      <c r="C45" s="12" t="s">
        <v>69</v>
      </c>
      <c r="D45" s="12">
        <v>26</v>
      </c>
    </row>
    <row r="46" spans="1:5" x14ac:dyDescent="0.45">
      <c r="A46" s="33" t="s">
        <v>120</v>
      </c>
      <c r="B46" s="33" t="s">
        <v>179</v>
      </c>
      <c r="C46" s="12" t="s">
        <v>70</v>
      </c>
      <c r="D46" s="12">
        <v>26</v>
      </c>
    </row>
    <row r="47" spans="1:5" x14ac:dyDescent="0.45">
      <c r="A47" s="33" t="s">
        <v>121</v>
      </c>
      <c r="B47" s="33" t="s">
        <v>180</v>
      </c>
      <c r="C47" s="12" t="s">
        <v>71</v>
      </c>
      <c r="D47" s="12">
        <v>26</v>
      </c>
    </row>
    <row r="48" spans="1:5" x14ac:dyDescent="0.45">
      <c r="A48" s="33" t="s">
        <v>122</v>
      </c>
      <c r="C48" s="12" t="s">
        <v>72</v>
      </c>
      <c r="D48" s="12">
        <v>13</v>
      </c>
    </row>
    <row r="49" spans="1:5" x14ac:dyDescent="0.45">
      <c r="A49" s="33" t="s">
        <v>123</v>
      </c>
      <c r="C49" s="12" t="s">
        <v>73</v>
      </c>
      <c r="D49" s="12">
        <v>13</v>
      </c>
    </row>
    <row r="50" spans="1:5" x14ac:dyDescent="0.45">
      <c r="A50" s="33" t="s">
        <v>124</v>
      </c>
      <c r="C50" s="12" t="s">
        <v>74</v>
      </c>
      <c r="D50" s="12">
        <v>13</v>
      </c>
    </row>
    <row r="51" spans="1:5" x14ac:dyDescent="0.45">
      <c r="A51" s="33" t="s">
        <v>125</v>
      </c>
      <c r="C51" s="12" t="s">
        <v>75</v>
      </c>
      <c r="D51" s="12">
        <v>13</v>
      </c>
    </row>
    <row r="52" spans="1:5" x14ac:dyDescent="0.45">
      <c r="A52" s="33" t="s">
        <v>133</v>
      </c>
      <c r="C52" s="12" t="s">
        <v>134</v>
      </c>
      <c r="D52" s="12">
        <v>2</v>
      </c>
    </row>
    <row r="53" spans="1:5" x14ac:dyDescent="0.45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 x14ac:dyDescent="0.45">
      <c r="A54" s="33" t="s">
        <v>181</v>
      </c>
      <c r="C54" s="12" t="s">
        <v>182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2" width="9" style="29"/>
    <col min="13" max="13" width="9" style="29" customWidth="1"/>
    <col min="14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E3" s="29">
        <v>3900</v>
      </c>
      <c r="F3" s="29">
        <v>7700</v>
      </c>
    </row>
    <row r="4" spans="1:13" x14ac:dyDescent="0.45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5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5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5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5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5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5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5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5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5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5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5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5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5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5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5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5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5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5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5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5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5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5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5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5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5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5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5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5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2019-12-06T07:04:01Z</dcterms:modified>
</cp:coreProperties>
</file>