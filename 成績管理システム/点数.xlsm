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-club\成績管理システム\"/>
    </mc:Choice>
  </mc:AlternateContent>
  <xr:revisionPtr revIDLastSave="0" documentId="13_ncr:1_{480E38CE-48B2-49C1-9A8C-760C5117162F}" xr6:coauthVersionLast="41" xr6:coauthVersionMax="41" xr10:uidLastSave="{00000000-0000-0000-0000-000000000000}"/>
  <bookViews>
    <workbookView showHorizontalScroll="0" showVerticalScroll="0" showSheetTabs="0" xWindow="-110" yWindow="-110" windowWidth="18220" windowHeight="116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E6" i="1"/>
  <c r="C6" i="1"/>
  <c r="D6" i="1"/>
  <c r="F6" i="1"/>
  <c r="D3" i="1" l="1"/>
  <c r="D11" i="1" l="1"/>
  <c r="D10" i="1"/>
  <c r="D7" i="1"/>
  <c r="C7" i="1" l="1"/>
  <c r="C10" i="1"/>
  <c r="C11" i="1"/>
  <c r="F7" i="1"/>
  <c r="F10" i="1"/>
  <c r="F11" i="1"/>
  <c r="C3" i="1" l="1"/>
  <c r="E11" i="1"/>
  <c r="E10" i="1"/>
  <c r="E7" i="1"/>
  <c r="E5" i="1" l="1"/>
  <c r="C5" i="1"/>
  <c r="F5" i="1"/>
  <c r="D5" i="1"/>
  <c r="E8" i="1"/>
  <c r="C8" i="1"/>
  <c r="D8" i="1"/>
  <c r="F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<sst xmlns="http://schemas.openxmlformats.org/spreadsheetml/2006/main" count="5" uniqueCount="5">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</sst>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&quot;位&quot;"/>
    <numFmt numFmtId="165" formatCode="\+0.0;\-0.0;\±0"/>
    <numFmt numFmtId="166" formatCode="\+0;\-0;0"/>
    <numFmt numFmtId="167" formatCode="yyyy/m/d\ h:mm:ss"/>
    <numFmt numFmtId="168" formatCode="[mm]:ss"/>
  </numFmts>
  <fonts count="8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48"/>
      <color theme="1"/>
      <name val="Calibri"/>
      <family val="2"/>
      <charset val="128"/>
      <scheme val="minor"/>
    </font>
    <font>
      <sz val="64"/>
      <color theme="1"/>
      <name val="Calibri"/>
      <family val="2"/>
      <charset val="128"/>
      <scheme val="minor"/>
    </font>
    <font>
      <sz val="40"/>
      <color theme="1"/>
      <name val="Calibri"/>
      <family val="2"/>
      <charset val="128"/>
      <scheme val="minor"/>
    </font>
    <font>
      <sz val="32"/>
      <color theme="1"/>
      <name val="Calibri"/>
      <family val="2"/>
      <charset val="128"/>
      <scheme val="minor"/>
    </font>
    <font>
      <sz val="32"/>
      <color theme="1"/>
      <name val="Calibri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67" fontId="0" fillId="0" borderId="0" xfId="0" applyNumberFormat="1">
      <alignment vertical="center"/>
    </xf>
    <xf numFmtId="168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68" fontId="3" fillId="0" borderId="0" xfId="0" applyNumberFormat="1" applyFont="1" applyBorder="1" applyAlignment="1">
      <alignment horizontal="left" vertical="center" shrinkToFit="1"/>
    </xf>
    <xf numFmtId="166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66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64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65" fontId="4" fillId="0" borderId="5" xfId="0" applyNumberFormat="1" applyFont="1" applyFill="1" applyBorder="1" applyAlignment="1">
      <alignment horizontal="center" vertical="center" shrinkToFit="1"/>
    </xf>
    <xf numFmtId="164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65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1955800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1993900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3</xdr:row>
          <xdr:rowOff>184150</xdr:rowOff>
        </xdr:from>
        <xdr:to>
          <xdr:col>2</xdr:col>
          <xdr:colOff>1892300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2070100</xdr:colOff>
          <xdr:row>3</xdr:row>
          <xdr:rowOff>184150</xdr:rowOff>
        </xdr:from>
        <xdr:to>
          <xdr:col>3</xdr:col>
          <xdr:colOff>184150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3</xdr:row>
          <xdr:rowOff>184150</xdr:rowOff>
        </xdr:from>
        <xdr:to>
          <xdr:col>3</xdr:col>
          <xdr:colOff>1892300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2070100</xdr:colOff>
          <xdr:row>3</xdr:row>
          <xdr:rowOff>184150</xdr:rowOff>
        </xdr:from>
        <xdr:to>
          <xdr:col>4</xdr:col>
          <xdr:colOff>190500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3</xdr:row>
          <xdr:rowOff>184150</xdr:rowOff>
        </xdr:from>
        <xdr:to>
          <xdr:col>4</xdr:col>
          <xdr:colOff>1892300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2070100</xdr:colOff>
          <xdr:row>3</xdr:row>
          <xdr:rowOff>184150</xdr:rowOff>
        </xdr:from>
        <xdr:to>
          <xdr:col>5</xdr:col>
          <xdr:colOff>184150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3</xdr:row>
          <xdr:rowOff>184150</xdr:rowOff>
        </xdr:from>
        <xdr:to>
          <xdr:col>5</xdr:col>
          <xdr:colOff>1892300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2070100</xdr:colOff>
          <xdr:row>3</xdr:row>
          <xdr:rowOff>184150</xdr:rowOff>
        </xdr:from>
        <xdr:to>
          <xdr:col>7</xdr:col>
          <xdr:colOff>114300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1" zoomScaleNormal="71" workbookViewId="0"/>
  </sheetViews>
  <sheetFormatPr defaultColWidth="9" defaultRowHeight="14.5"/>
  <cols>
    <col min="1" max="1" width="1" style="7" customWidth="1"/>
    <col min="2" max="2" width="19.453125" style="7" bestFit="1" customWidth="1"/>
    <col min="3" max="3" width="51.7265625" style="7" customWidth="1"/>
    <col min="4" max="6" width="51.7265625" style="7" bestFit="1" customWidth="1"/>
    <col min="7" max="7" width="1" style="7" customWidth="1"/>
    <col min="8" max="16384" width="9" style="7"/>
  </cols>
  <sheetData>
    <row r="1" spans="1:6" ht="12" customHeight="1">
      <c r="A1" s="15"/>
    </row>
    <row r="2" spans="1:6" ht="52.5" customHeight="1">
      <c r="A2" s="6"/>
    </row>
    <row r="3" spans="1:6" ht="81" customHeight="1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/>
    <row r="5" spans="1:6" ht="51">
      <c r="B5" s="3" t="s">
        <v>1</v>
      </c>
      <c r="C5" s="16">
        <f ca="1">IFERROR(_xlfn.RANK.EQ(C$7,$C$7:$F$7),"―")</f>
        <v>2</v>
      </c>
      <c r="D5" s="16">
        <f ca="1">IFERROR(_xlfn.RANK.EQ(D$7,$C$7:$F$7),"―")</f>
        <v>3</v>
      </c>
      <c r="E5" s="16">
        <f ca="1">IFERROR(_xlfn.RANK.EQ(E$7,$C$7:$F$7),"―")</f>
        <v>1</v>
      </c>
      <c r="F5" s="20">
        <f ca="1">IFERROR(_xlfn.RANK.EQ(F$7,$C$7:$F$7),"―")</f>
        <v>4</v>
      </c>
    </row>
    <row r="6" spans="1:6" ht="81.5">
      <c r="B6" s="4" t="s">
        <v>2</v>
      </c>
      <c r="C6" s="17" t="str">
        <f ca="1">IF(ISERROR(MJFILE()),"―",NAME(MJFILE(),0))</f>
        <v>滝沢悠人</v>
      </c>
      <c r="D6" s="17" t="str">
        <f ca="1">IF(ISERROR(MJFILE()),"―",NAME(MJFILE(),1))</f>
        <v>福澤大地</v>
      </c>
      <c r="E6" s="17" t="str">
        <f ca="1">IF(ISERROR(MJFILE()),"―",NAME(MJFILE(),2))</f>
        <v>佐藤成浩</v>
      </c>
      <c r="F6" s="21" t="str">
        <f ca="1">IF(ISERROR(MJFILE()),"―",NAME(MJFILE(),3))</f>
        <v>依田幸憲</v>
      </c>
    </row>
    <row r="7" spans="1:6" ht="81.5">
      <c r="B7" s="4" t="s">
        <v>3</v>
      </c>
      <c r="C7" s="18">
        <f ca="1">IF(ISERROR(MJFILE()),"―",POINT(MJFILE(),0,4))</f>
        <v>29900</v>
      </c>
      <c r="D7" s="18">
        <f ca="1">IF(ISERROR(MJFILE()),"―",POINT(MJFILE(),1,4))</f>
        <v>19600</v>
      </c>
      <c r="E7" s="18">
        <f ca="1">IF(ISERROR(MJFILE()),"―",POINT(MJFILE(),2,4))</f>
        <v>31300</v>
      </c>
      <c r="F7" s="22">
        <f ca="1">IF(ISERROR(MJFILE()),"―",POINT(MJFILE(),3,4))</f>
        <v>19200</v>
      </c>
    </row>
    <row r="8" spans="1:6" ht="51.5" thickBot="1">
      <c r="B8" s="5" t="s">
        <v>4</v>
      </c>
      <c r="C8" s="19">
        <f ca="1">IF(ISERROR(MJFILE()),"―",score(MJFILE(),0))</f>
        <v>9.9</v>
      </c>
      <c r="D8" s="19">
        <f ca="1">IF(ISERROR(MJFILE()),"―",score(MJFILE(),1))</f>
        <v>-20.399999999999999</v>
      </c>
      <c r="E8" s="19">
        <f ca="1">IF(ISERROR(MJFILE()),"―",score(MJFILE(),2))</f>
        <v>51.3</v>
      </c>
      <c r="F8" s="23">
        <f ca="1">IF(ISERROR(MJFILE()),"―",score(MJFILE(),3))</f>
        <v>-40.799999999999997</v>
      </c>
    </row>
    <row r="9" spans="1:6" ht="12" customHeight="1"/>
    <row r="10" spans="1:6" ht="58.5" customHeight="1">
      <c r="C10" s="12">
        <f ca="1">IF(ISERROR(MJFILE()),"―",IF(POINT(MJFILE(),0,1)=0,"",POINT(MJFILE(),0,1)+POINT(MJFILE(),0,3)))</f>
        <v>-2000</v>
      </c>
      <c r="D10" s="12">
        <f ca="1">IF(ISERROR(MJFILE()),"―",IF(POINT(MJFILE(),1,1)=0,"",POINT(MJFILE(),1,1)+POINT(MJFILE(),1,3)))</f>
        <v>-2000</v>
      </c>
      <c r="E10" s="12">
        <f ca="1">IF(ISERROR(MJFILE()),"―",IF(POINT(MJFILE(),2,1)=0,"",POINT(MJFILE(),2,1)+POINT(MJFILE(),2,3)))</f>
        <v>-4000</v>
      </c>
      <c r="F10" s="12">
        <f ca="1">IF(ISERROR(MJFILE()),"―",IF(POINT(MJFILE(),3,1)=0,"",POINT(MJFILE(),3,1)+POINT(MJFILE(),3,3)))</f>
        <v>8000</v>
      </c>
    </row>
    <row r="11" spans="1:6" ht="51" customHeight="1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165100</xdr:colOff>
                <xdr:row>3</xdr:row>
                <xdr:rowOff>184150</xdr:rowOff>
              </from>
              <to>
                <xdr:col>2</xdr:col>
                <xdr:colOff>1892300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2070100</xdr:colOff>
                <xdr:row>3</xdr:row>
                <xdr:rowOff>184150</xdr:rowOff>
              </from>
              <to>
                <xdr:col>3</xdr:col>
                <xdr:colOff>184150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165100</xdr:colOff>
                <xdr:row>3</xdr:row>
                <xdr:rowOff>184150</xdr:rowOff>
              </from>
              <to>
                <xdr:col>3</xdr:col>
                <xdr:colOff>1892300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2070100</xdr:colOff>
                <xdr:row>3</xdr:row>
                <xdr:rowOff>184150</xdr:rowOff>
              </from>
              <to>
                <xdr:col>4</xdr:col>
                <xdr:colOff>190500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165100</xdr:colOff>
                <xdr:row>3</xdr:row>
                <xdr:rowOff>184150</xdr:rowOff>
              </from>
              <to>
                <xdr:col>4</xdr:col>
                <xdr:colOff>1892300</xdr:colOff>
                <xdr:row>3</xdr:row>
                <xdr:rowOff>717550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2070100</xdr:colOff>
                <xdr:row>3</xdr:row>
                <xdr:rowOff>184150</xdr:rowOff>
              </from>
              <to>
                <xdr:col>5</xdr:col>
                <xdr:colOff>184150</xdr:colOff>
                <xdr:row>3</xdr:row>
                <xdr:rowOff>717550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165100</xdr:colOff>
                <xdr:row>3</xdr:row>
                <xdr:rowOff>184150</xdr:rowOff>
              </from>
              <to>
                <xdr:col>5</xdr:col>
                <xdr:colOff>1892300</xdr:colOff>
                <xdr:row>3</xdr:row>
                <xdr:rowOff>717550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2070100</xdr:colOff>
                <xdr:row>3</xdr:row>
                <xdr:rowOff>184150</xdr:rowOff>
              </from>
              <to>
                <xdr:col>7</xdr:col>
                <xdr:colOff>114300</xdr:colOff>
                <xdr:row>3</xdr:row>
                <xdr:rowOff>717550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1955800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1993900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4.5"/>
  <cols>
    <col min="1" max="2" width="20.6328125" customWidth="1"/>
  </cols>
  <sheetData>
    <row r="1" spans="1:1">
      <c r="A1" s="1">
        <v>43840.732268518521</v>
      </c>
    </row>
    <row r="2" spans="1:1">
      <c r="A2" s="2">
        <v>3.4722222222222224E-2</v>
      </c>
    </row>
    <row r="3" spans="1:1">
      <c r="A3" s="2">
        <v>3.4722222222222224E-2</v>
      </c>
    </row>
    <row r="4" spans="1:1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2019-12-01T05:59:05Z</cp:lastPrinted>
  <dcterms:created xsi:type="dcterms:W3CDTF">2019-06-06T00:02:58Z</dcterms:created>
  <dcterms:modified xsi:type="dcterms:W3CDTF">2020-01-10T09:22:00Z</dcterms:modified>
</cp:coreProperties>
</file>