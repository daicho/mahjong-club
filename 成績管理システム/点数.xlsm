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E7BB368A-BDFA-4959-8944-D51827E87041}" xr6:coauthVersionLast="41" xr6:coauthVersionMax="41" xr10:uidLastSave="{00000000-0000-0000-0000-000000000000}"/>
  <bookViews>
    <workbookView xWindow="-120" yWindow="-120" windowWidth="29040" windowHeight="15990" xr2:uid="{104DD447-7576-4543-B2BB-CF60142807AB}"/>
  </bookViews>
  <sheets>
    <sheet name="Main" sheetId="1" r:id="rId1"/>
    <sheet name="Setting" sheetId="3" r:id="rId2"/>
  </sheets>
  <functionGroups builtInGroupCount="19"/>
  <definedNames>
    <definedName name="Furo1">Setting!$B$9</definedName>
    <definedName name="Furo2">Setting!$B$10</definedName>
    <definedName name="Furo3">Setting!$B$11</definedName>
    <definedName name="Furo4">Setting!$B$12</definedName>
    <definedName name="FuroFALSE">Setting!$B$6</definedName>
    <definedName name="FuroTRUE">Setting!$B$7</definedName>
    <definedName name="LeftTime">Setting!$A$3</definedName>
    <definedName name="Richi1">Setting!$A$9</definedName>
    <definedName name="Richi2">Setting!$A$10</definedName>
    <definedName name="Richi3">Setting!$A$11</definedName>
    <definedName name="Richi4">Setting!$A$12</definedName>
    <definedName name="RichiFALSE">Setting!$A$6</definedName>
    <definedName name="RichiTRUE">Setting!$A$7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7" i="1"/>
  <c r="C6" i="1"/>
  <c r="E10" i="1"/>
  <c r="F11" i="1"/>
  <c r="D8" i="1"/>
  <c r="D3" i="1"/>
  <c r="D6" i="1"/>
  <c r="C11" i="1"/>
  <c r="F10" i="1"/>
  <c r="C3" i="1"/>
  <c r="E6" i="1"/>
  <c r="C8" i="1"/>
  <c r="C10" i="1"/>
  <c r="D7" i="1"/>
  <c r="C7" i="1"/>
  <c r="E8" i="1"/>
  <c r="D10" i="1"/>
  <c r="E7" i="1"/>
  <c r="D11" i="1"/>
  <c r="F8" i="1"/>
  <c r="F6" i="1"/>
  <c r="E11" i="1"/>
  <c r="C5" i="1" l="1"/>
  <c r="D5" i="1"/>
  <c r="F5" i="1"/>
  <c r="E5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<sst xmlns="http://schemas.openxmlformats.org/spreadsheetml/2006/main" count="5" uniqueCount="5">
  <si>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</si>
  <si>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</si>
  <si>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</si>
  <si>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</si>
  <si>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残り時間</t>
    <rPh sb="0" eb="1">
      <t>ノコ</t>
    </rPh>
    <rPh sb="2" eb="4">
      <t>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</si>
</sst>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2" borderId="0" xfId="0" applyFill="1">
      <alignment vertical="center"/>
    </xf>
  </cellXfs>
  <cellStyles count="1">
    <cellStyle name="標準" xfId="0" builtinId="0"/>
  </cellStyles>
  <dxfs count="3">
    <dxf>
      <font>
        <color rgb="FFF00000"/>
      </font>
    </dxf>
    <dxf>
      <font>
        <color rgb="FF0000F0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00F0"/>
      <color rgb="FF0070FF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1990725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3</xdr:row>
      <xdr:rowOff>0</xdr:rowOff>
    </xdr:from>
    <xdr:to>
      <xdr:col>2</xdr:col>
      <xdr:colOff>1581150</xdr:colOff>
      <xdr:row>3</xdr:row>
      <xdr:rowOff>485775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235F546B-0BDA-423B-8E0A-AFFA69EBD0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62100" y="1790700"/>
          <a:ext cx="1581150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5</xdr:row>
      <xdr:rowOff>66675</xdr:rowOff>
    </xdr:from>
    <xdr:to>
      <xdr:col>0</xdr:col>
      <xdr:colOff>1504950</xdr:colOff>
      <xdr:row>6</xdr:row>
      <xdr:rowOff>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58B8A441-46FC-4303-B70E-D9C2FA70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5725" y="1257300"/>
          <a:ext cx="1419225" cy="409575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6</xdr:row>
      <xdr:rowOff>66675</xdr:rowOff>
    </xdr:from>
    <xdr:to>
      <xdr:col>0</xdr:col>
      <xdr:colOff>1504950</xdr:colOff>
      <xdr:row>7</xdr:row>
      <xdr:rowOff>0</xdr:rowOff>
    </xdr:to>
    <xdr:pic>
      <xdr:nvPicPr>
        <xdr:cNvPr id="5" name="グラフィックス 4">
          <a:extLst>
            <a:ext uri="{FF2B5EF4-FFF2-40B4-BE49-F238E27FC236}">
              <a16:creationId xmlns:a16="http://schemas.microsoft.com/office/drawing/2014/main" id="{5B1B6B23-0FD7-4D1A-ACD2-6685F3C3C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725" y="1733550"/>
          <a:ext cx="1419225" cy="409575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5</xdr:row>
      <xdr:rowOff>66675</xdr:rowOff>
    </xdr:from>
    <xdr:to>
      <xdr:col>1</xdr:col>
      <xdr:colOff>1162050</xdr:colOff>
      <xdr:row>6</xdr:row>
      <xdr:rowOff>0</xdr:rowOff>
    </xdr:to>
    <xdr:pic>
      <xdr:nvPicPr>
        <xdr:cNvPr id="7" name="グラフィックス 6">
          <a:extLst>
            <a:ext uri="{FF2B5EF4-FFF2-40B4-BE49-F238E27FC236}">
              <a16:creationId xmlns:a16="http://schemas.microsoft.com/office/drawing/2014/main" id="{60C93641-0390-40EB-BBB3-58456668F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57350" y="1257300"/>
          <a:ext cx="1076325" cy="409575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6</xdr:row>
      <xdr:rowOff>66675</xdr:rowOff>
    </xdr:from>
    <xdr:to>
      <xdr:col>1</xdr:col>
      <xdr:colOff>1162050</xdr:colOff>
      <xdr:row>7</xdr:row>
      <xdr:rowOff>0</xdr:rowOff>
    </xdr:to>
    <xdr:pic>
      <xdr:nvPicPr>
        <xdr:cNvPr id="9" name="グラフィックス 8">
          <a:extLst>
            <a:ext uri="{FF2B5EF4-FFF2-40B4-BE49-F238E27FC236}">
              <a16:creationId xmlns:a16="http://schemas.microsoft.com/office/drawing/2014/main" id="{A9D71B2B-F28A-40FA-9AF8-D1FFFA2A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657350" y="1733550"/>
          <a:ext cx="1076325" cy="409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tabSelected="1" zoomScaleNormal="100" workbookViewId="0"/>
  </sheetViews>
  <sheetFormatPr defaultRowHeight="18.75" x14ac:dyDescent="0.4"/>
  <cols>
    <col min="1" max="1" width="1" style="15" customWidth="1"/>
    <col min="2" max="2" width="19.5" style="15" bestFit="1" customWidth="1"/>
    <col min="3" max="3" width="51.75" style="15" customWidth="1"/>
    <col min="4" max="6" width="51.75" style="15" bestFit="1" customWidth="1"/>
    <col min="7" max="7" width="1" style="15" customWidth="1"/>
    <col min="8" max="16384" width="9" style="15"/>
  </cols>
  <sheetData>
    <row r="1" spans="1:6" ht="12" customHeight="1" x14ac:dyDescent="0.4">
      <c r="A1" s="14"/>
    </row>
    <row r="2" spans="1:6" ht="48" customHeight="1" x14ac:dyDescent="0.4">
      <c r="A2" s="14"/>
    </row>
    <row r="3" spans="1:6" ht="81" customHeight="1" x14ac:dyDescent="1.25">
      <c r="C3" s="16" t="str">
        <f ca="1">MJINFO(MJFILE(),1)&amp;MJINFO(MJFILE(),2)&amp;"局"</f>
        <v>南2局</v>
      </c>
      <c r="D3" s="17" t="str">
        <f ca="1">""&amp;MJINFO(MJFILE(),3)&amp;"本場 供託"&amp;MJINFO(MJFILE(),4)</f>
        <v>2本場 供託2</v>
      </c>
      <c r="E3" s="18" t="s">
        <v>4</v>
      </c>
      <c r="F3" s="19">
        <f>Setting!A3</f>
        <v>3.4722222222222224E-2</v>
      </c>
    </row>
    <row r="4" spans="1:6" ht="48" customHeight="1" thickBot="1" x14ac:dyDescent="0.45"/>
    <row r="5" spans="1:6" ht="64.5" x14ac:dyDescent="0.4">
      <c r="B5" s="3" t="s">
        <v>0</v>
      </c>
      <c r="C5" s="6">
        <f ca="1">_xlfn.RANK.EQ(C$7,$C$7:$F$7)</f>
        <v>2</v>
      </c>
      <c r="D5" s="6">
        <f ca="1">_xlfn.RANK.EQ(D$7,$C$7:$F$7)</f>
        <v>1</v>
      </c>
      <c r="E5" s="6">
        <f ca="1">_xlfn.RANK.EQ(E$7,$C$7:$F$7)</f>
        <v>4</v>
      </c>
      <c r="F5" s="7">
        <f ca="1">_xlfn.RANK.EQ(F$7,$C$7:$F$7)</f>
        <v>3</v>
      </c>
    </row>
    <row r="6" spans="1:6" ht="103.5" x14ac:dyDescent="0.4">
      <c r="B6" s="4" t="s">
        <v>1</v>
      </c>
      <c r="C6" s="10" t="str">
        <f ca="1">NAME(MJFILE(),0)</f>
        <v>松澤亮太</v>
      </c>
      <c r="D6" s="10" t="str">
        <f ca="1">NAME(MJFILE(),1)</f>
        <v>滝沢悠人</v>
      </c>
      <c r="E6" s="10" t="str">
        <f ca="1">NAME(MJFILE(),2)</f>
        <v>大池陸斗</v>
      </c>
      <c r="F6" s="11" t="str">
        <f ca="1">NAME(MJFILE(),3)</f>
        <v>百瀬成空</v>
      </c>
    </row>
    <row r="7" spans="1:6" ht="103.5" x14ac:dyDescent="0.4">
      <c r="B7" s="4" t="s">
        <v>2</v>
      </c>
      <c r="C7" s="12">
        <f ca="1">POINT(MJFILE(),0,4)</f>
        <v>31900</v>
      </c>
      <c r="D7" s="12">
        <f ca="1">POINT(MJFILE(),1,4)</f>
        <v>54900</v>
      </c>
      <c r="E7" s="12">
        <f ca="1">POINT(MJFILE(),2,4)</f>
        <v>-1700</v>
      </c>
      <c r="F7" s="13">
        <f ca="1">POINT(MJFILE(),3,4)</f>
        <v>14900</v>
      </c>
    </row>
    <row r="8" spans="1:6" ht="65.25" thickBot="1" x14ac:dyDescent="0.45">
      <c r="B8" s="5" t="s">
        <v>3</v>
      </c>
      <c r="C8" s="8">
        <f ca="1">score(MJFILE(),0)</f>
        <v>11.9</v>
      </c>
      <c r="D8" s="8">
        <f ca="1">score(MJFILE(),1)</f>
        <v>74.900000000000006</v>
      </c>
      <c r="E8" s="8">
        <f ca="1">score(MJFILE(),2)</f>
        <v>-61.7</v>
      </c>
      <c r="F8" s="9">
        <f ca="1">score(MJFILE(),3)</f>
        <v>-25.1</v>
      </c>
    </row>
    <row r="9" spans="1:6" ht="12" customHeight="1" x14ac:dyDescent="0.4"/>
    <row r="10" spans="1:6" ht="55.5" customHeight="1" x14ac:dyDescent="0.4">
      <c r="C10" s="20" t="str">
        <f ca="1">IF(POINT(MJFILE(),0,1)=0,"",POINT(MJFILE(),0,1)+POINT(MJFILE(),0,3))</f>
        <v/>
      </c>
      <c r="D10" s="20">
        <f ca="1">IF(POINT(MJFILE(),1,1)=0,"",POINT(MJFILE(),1,1)+POINT(MJFILE(),1,3))</f>
        <v>-8600</v>
      </c>
      <c r="E10" s="20" t="str">
        <f ca="1">IF(POINT(MJFILE(),2,1)=0,"",POINT(MJFILE(),2,1)+POINT(MJFILE(),2,3))</f>
        <v/>
      </c>
      <c r="F10" s="20">
        <f ca="1">IF(POINT(MJFILE(),3,1)=0,"",POINT(MJFILE(),3,1)+POINT(MJFILE(),3,3))</f>
        <v>8600</v>
      </c>
    </row>
    <row r="11" spans="1:6" ht="48" customHeight="1" x14ac:dyDescent="0.4">
      <c r="B11" s="21"/>
      <c r="C11" s="22">
        <f ca="1">IF(POINT(MJFILE(),0,2)=0,"",POINT(MJFILE(),0,2))</f>
        <v>-1000</v>
      </c>
      <c r="D11" s="22" t="str">
        <f ca="1">IF(POINT(MJFILE(),1,2)=0,"",POINT(MJFILE(),1,2))</f>
        <v/>
      </c>
      <c r="E11" s="22" t="str">
        <f ca="1">IF(POINT(MJFILE(),2,2)=0,"",POINT(MJFILE(),2,2))</f>
        <v/>
      </c>
      <c r="F11" s="22">
        <f ca="1">IF(POINT(MJFILE(),3,2)=0,"",POINT(MJFILE(),3,2))</f>
        <v>3000</v>
      </c>
    </row>
  </sheetData>
  <sheetProtection selectLockedCells="1" selectUnlockedCells="1"/>
  <phoneticPr fontId="1"/>
  <conditionalFormatting sqref="C5:C8 E5:F8">
    <cfRule type="expression" dxfId="2" priority="4">
      <formula>MJINFO(MJFILE(),5)=C$6</formula>
    </cfRule>
  </conditionalFormatting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1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Timer">
              <controlPr defaultSize="0" print="0" autoFill="0" autoPict="0" macro="[0]!TimerSwitch">
                <anchor>
                  <from>
                    <xdr:col>4</xdr:col>
                    <xdr:colOff>1952625</xdr:colOff>
                    <xdr:row>1</xdr:row>
                    <xdr:rowOff>19050</xdr:rowOff>
                  </from>
                  <to>
                    <xdr:col>4</xdr:col>
                    <xdr:colOff>3695700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Reset">
              <controlPr defaultSize="0" print="0" autoFill="0" autoPict="0" macro="[0]!TimerReset">
                <anchor>
                  <from>
                    <xdr:col>5</xdr:col>
                    <xdr:colOff>247650</xdr:colOff>
                    <xdr:row>1</xdr:row>
                    <xdr:rowOff>19050</xdr:rowOff>
                  </from>
                  <to>
                    <xdr:col>5</xdr:col>
                    <xdr:colOff>1990725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InputRecord">
              <controlPr defaultSize="0" print="0" autoFill="0" autoPict="0" macro="[0]!InputRecord">
                <anchor>
                  <from>
                    <xdr:col>2</xdr:col>
                    <xdr:colOff>1943100</xdr:colOff>
                    <xdr:row>1</xdr:row>
                    <xdr:rowOff>19050</xdr:rowOff>
                  </from>
                  <to>
                    <xdr:col>2</xdr:col>
                    <xdr:colOff>3686175</xdr:colOff>
                    <xdr:row>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FullScreen">
              <controlPr defaultSize="0" print="0" autoFill="0" autoPict="0" macro="[0]!FullScreen">
                <anchor>
                  <from>
                    <xdr:col>3</xdr:col>
                    <xdr:colOff>247650</xdr:colOff>
                    <xdr:row>1</xdr:row>
                    <xdr:rowOff>19050</xdr:rowOff>
                  </from>
                  <to>
                    <xdr:col>3</xdr:col>
                    <xdr:colOff>1981200</xdr:colOff>
                    <xdr:row>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B12"/>
  <sheetViews>
    <sheetView workbookViewId="0"/>
  </sheetViews>
  <sheetFormatPr defaultRowHeight="18.75" x14ac:dyDescent="0.4"/>
  <cols>
    <col min="1" max="2" width="20.625" customWidth="1"/>
  </cols>
  <sheetData>
    <row r="1" spans="1:2" x14ac:dyDescent="0.4">
      <c r="A1" s="1">
        <v>43800.584745370368</v>
      </c>
    </row>
    <row r="2" spans="1:2" x14ac:dyDescent="0.4">
      <c r="A2" s="2">
        <v>3.4722222222222224E-2</v>
      </c>
    </row>
    <row r="3" spans="1:2" x14ac:dyDescent="0.4">
      <c r="A3" s="2">
        <v>3.4722222222222224E-2</v>
      </c>
    </row>
    <row r="4" spans="1:2" x14ac:dyDescent="0.4">
      <c r="A4" t="b">
        <v>0</v>
      </c>
    </row>
    <row r="6" spans="1:2" ht="37.5" customHeight="1" x14ac:dyDescent="0.4">
      <c r="A6" s="23"/>
      <c r="B6" s="23"/>
    </row>
    <row r="7" spans="1:2" ht="37.5" customHeight="1" x14ac:dyDescent="0.4">
      <c r="A7" s="23"/>
      <c r="B7" s="23"/>
    </row>
    <row r="9" spans="1:2" x14ac:dyDescent="0.4">
      <c r="A9" t="b">
        <v>1</v>
      </c>
      <c r="B9" t="b">
        <v>1</v>
      </c>
    </row>
    <row r="10" spans="1:2" x14ac:dyDescent="0.4">
      <c r="A10" t="b">
        <v>1</v>
      </c>
      <c r="B10" t="b">
        <v>1</v>
      </c>
    </row>
    <row r="11" spans="1:2" x14ac:dyDescent="0.4">
      <c r="A11" t="b">
        <v>1</v>
      </c>
      <c r="B11" t="b">
        <v>1</v>
      </c>
    </row>
    <row r="12" spans="1:2" x14ac:dyDescent="0.4">
      <c r="A12" t="b">
        <v>1</v>
      </c>
      <c r="B12" t="b">
        <v>1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16</vt:i4>
      </vt:variant>
    </vt:vector>
  </HeadingPairs>
  <TitlesOfParts>
    <vt:vector size="18" baseType="lpstr">
      <vt:lpstr>Main</vt:lpstr>
      <vt:lpstr>Setting</vt:lpstr>
      <vt:lpstr>Furo1</vt:lpstr>
      <vt:lpstr>Furo2</vt:lpstr>
      <vt:lpstr>Furo3</vt:lpstr>
      <vt:lpstr>Furo4</vt:lpstr>
      <vt:lpstr>FuroFALSE</vt:lpstr>
      <vt:lpstr>FuroTRUE</vt:lpstr>
      <vt:lpstr>LeftTime</vt:lpstr>
      <vt:lpstr>Richi1</vt:lpstr>
      <vt:lpstr>Richi2</vt:lpstr>
      <vt:lpstr>Richi3</vt:lpstr>
      <vt:lpstr>Richi4</vt:lpstr>
      <vt:lpstr>RichiFALSE</vt:lpstr>
      <vt:lpstr>RichiTRUE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2019-12-01T05:14:05Z</dcterms:modified>
</cp:coreProperties>
</file>