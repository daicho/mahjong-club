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1D0FCA6C-BC2A-4AB8-9AFD-3DF347DB6F72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F6" i="1"/>
  <c r="C6" i="1"/>
  <c r="E6" i="1"/>
  <c r="F7" i="1" l="1"/>
  <c r="F10" i="1"/>
  <c r="F11" i="1"/>
  <c r="D3" i="1"/>
  <c r="C11" i="1" l="1"/>
  <c r="C7" i="1"/>
  <c r="C10" i="1"/>
  <c r="D11" i="1" l="1"/>
  <c r="D7" i="1"/>
  <c r="D10" i="1"/>
  <c r="E11" i="1"/>
  <c r="E7" i="1"/>
  <c r="E10" i="1"/>
  <c r="E5" i="1" l="1"/>
  <c r="F5" i="1"/>
  <c r="C5" i="1"/>
  <c r="D5" i="1"/>
  <c r="D8" i="1"/>
  <c r="F8" i="1"/>
  <c r="C8" i="1"/>
  <c r="E8" i="1"/>
  <c r="C3" i="1" l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<sst xmlns="http://schemas.openxmlformats.org/spreadsheetml/2006/main" count="5" uniqueCount="5">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</sst>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4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3.emf"/><Relationship Id="rId5" Type="http://schemas.openxmlformats.org/officeDocument/2006/relationships/image" Target="../media/image1.emf"/><Relationship Id="rId15" Type="http://schemas.openxmlformats.org/officeDocument/2006/relationships/control" Target="../activeX/activeX8.xml"/><Relationship Id="rId10" Type="http://schemas.openxmlformats.org/officeDocument/2006/relationships/control" Target="../activeX/activeX5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東4局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3</v>
      </c>
      <c r="D5" s="14">
        <f ca="1">IFERROR(_xlfn.RANK.EQ(D$7,$C$7:$F$7),"―")</f>
        <v>1</v>
      </c>
      <c r="E5" s="14">
        <f ca="1">IFERROR(_xlfn.RANK.EQ(E$7,$C$7:$F$7),"―")</f>
        <v>2</v>
      </c>
      <c r="F5" s="18">
        <f ca="1">IFERROR(_xlfn.RANK.EQ(F$7,$C$7:$F$7),"―")</f>
        <v>4</v>
      </c>
    </row>
    <row r="6" spans="1:6" ht="103" x14ac:dyDescent="0.55000000000000004">
      <c r="B6" s="4" t="s">
        <v>2</v>
      </c>
      <c r="C6" s="15" t="str">
        <f ca="1">IF(ISERROR(MJFILE()),"―",NAME(MJFILE(),0))</f>
        <v>中村花菜</v>
      </c>
      <c r="D6" s="15" t="str">
        <f ca="1">IF(ISERROR(MJFILE()),"―",NAME(MJFILE(),1))</f>
        <v>所附快和</v>
      </c>
      <c r="E6" s="15" t="str">
        <f ca="1">IF(ISERROR(MJFILE()),"―",NAME(MJFILE(),2))</f>
        <v>佐藤成</v>
      </c>
      <c r="F6" s="19" t="str">
        <f ca="1">IF(ISERROR(MJFILE()),"―",NAME(MJFILE(),3))</f>
        <v>長野柊馬</v>
      </c>
    </row>
    <row r="7" spans="1:6" ht="103" x14ac:dyDescent="0.55000000000000004">
      <c r="B7" s="4" t="s">
        <v>3</v>
      </c>
      <c r="C7" s="16">
        <f ca="1">IF(ISERROR(MJFILE()),"―",POINT(MJFILE(),0,4))</f>
        <v>21000</v>
      </c>
      <c r="D7" s="16">
        <f ca="1">IF(ISERROR(MJFILE()),"―",POINT(MJFILE(),1,4))</f>
        <v>38100</v>
      </c>
      <c r="E7" s="16">
        <f ca="1">IF(ISERROR(MJFILE()),"―",POINT(MJFILE(),2,4))</f>
        <v>29400</v>
      </c>
      <c r="F7" s="20">
        <f ca="1">IF(ISERROR(MJFILE()),"―",POINT(MJFILE(),3,4))</f>
        <v>11500</v>
      </c>
    </row>
    <row r="8" spans="1:6" ht="65" thickBot="1" x14ac:dyDescent="0.6">
      <c r="B8" s="5" t="s">
        <v>4</v>
      </c>
      <c r="C8" s="17">
        <f ca="1">IF(ISERROR(MJFILE()),"―",score(MJFILE(),0))</f>
        <v>-19</v>
      </c>
      <c r="D8" s="17">
        <f ca="1">IF(ISERROR(MJFILE()),"―",score(MJFILE(),1))</f>
        <v>58.1</v>
      </c>
      <c r="E8" s="17">
        <f ca="1">IF(ISERROR(MJFILE()),"―",score(MJFILE(),2))</f>
        <v>9.4</v>
      </c>
      <c r="F8" s="21">
        <f ca="1">IF(ISERROR(MJFILE()),"―",score(MJFILE(),3))</f>
        <v>-48.5</v>
      </c>
    </row>
    <row r="9" spans="1:6" ht="12" customHeight="1" x14ac:dyDescent="0.55000000000000004"/>
    <row r="10" spans="1:6" ht="58.5" customHeight="1" x14ac:dyDescent="0.55000000000000004">
      <c r="C10" s="12" t="str">
        <f ca="1">IF(ISERROR(MJFILE()),"―",IF(POINT(MJFILE(),0,1)=0,"",POINT(MJFILE(),0,1)+POINT(MJFILE(),0,3)))</f>
        <v/>
      </c>
      <c r="D10" s="12">
        <f ca="1">IF(ISERROR(MJFILE()),"―",IF(POINT(MJFILE(),1,1)=0,"",POINT(MJFILE(),1,1)+POINT(MJFILE(),1,3)))</f>
        <v>2600</v>
      </c>
      <c r="E10" s="12">
        <f ca="1">IF(ISERROR(MJFILE()),"―",IF(POINT(MJFILE(),2,1)=0,"",POINT(MJFILE(),2,1)+POINT(MJFILE(),2,3)))</f>
        <v>-2600</v>
      </c>
      <c r="F10" s="12" t="str">
        <f ca="1">IF(ISERROR(MJFILE()),"―",IF(POINT(MJFILE(),3,1)=0,"",POINT(MJFILE(),3,1)+POINT(MJFILE(),3,3)))</f>
        <v/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5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9" name="Furo2">
          <controlPr defaultSize="0" autoLine="0" r:id="rId7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9" name="Furo2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3" r:id="rId12" name="Furo3">
          <controlPr defaultSize="0" autoLine="0" r:id="rId13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12" name="Furo3"/>
      </mc:Fallback>
    </mc:AlternateContent>
    <mc:AlternateContent xmlns:mc="http://schemas.openxmlformats.org/markup-compatibility/2006">
      <mc:Choice Requires="x14">
        <control shapeId="1244" r:id="rId14" name="Richi4">
          <controlPr defaultSize="0" autoLine="0" r:id="rId5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14" name="Richi4"/>
      </mc:Fallback>
    </mc:AlternateContent>
    <mc:AlternateContent xmlns:mc="http://schemas.openxmlformats.org/markup-compatibility/2006">
      <mc:Choice Requires="x14">
        <control shapeId="1245" r:id="rId15" name="Furo4">
          <controlPr defaultSize="0" autoLine="0" r:id="rId7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15" name="Furo4"/>
      </mc:Fallback>
    </mc:AlternateContent>
    <mc:AlternateContent xmlns:mc="http://schemas.openxmlformats.org/markup-compatibility/2006">
      <mc:Choice Requires="x14">
        <control shapeId="1026" r:id="rId16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7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8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9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45681.736388888887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2025-01-24T09:29:48Z</dcterms:modified>
</cp:coreProperties>
</file>