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51A9FE42-D386-4E14-A02F-158CD5ED298E}" xr6:coauthVersionLast="44" xr6:coauthVersionMax="44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C6" i="1"/>
  <c r="F6" i="1"/>
  <c r="D3" i="1" l="1"/>
  <c r="D10" i="1" l="1"/>
  <c r="D7" i="1"/>
  <c r="D11" i="1"/>
  <c r="C7" i="1" l="1"/>
  <c r="C10" i="1"/>
  <c r="C11" i="1"/>
  <c r="F10" i="1"/>
  <c r="F7" i="1"/>
  <c r="F11" i="1"/>
  <c r="C3" i="1" l="1"/>
  <c r="E10" i="1"/>
  <c r="E7" i="1"/>
  <c r="E11" i="1"/>
  <c r="D5" i="1" l="1"/>
  <c r="F5" i="1"/>
  <c r="C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<sst xmlns="http://schemas.openxmlformats.org/spreadsheetml/2006/main" count="5" uniqueCount="5">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</sst>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1958340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1996440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3</xdr:row>
          <xdr:rowOff>182880</xdr:rowOff>
        </xdr:from>
        <xdr:to>
          <xdr:col>2</xdr:col>
          <xdr:colOff>1897380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2072640</xdr:colOff>
          <xdr:row>3</xdr:row>
          <xdr:rowOff>182880</xdr:rowOff>
        </xdr:from>
        <xdr:to>
          <xdr:col>2</xdr:col>
          <xdr:colOff>3802380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3</xdr:row>
          <xdr:rowOff>182880</xdr:rowOff>
        </xdr:from>
        <xdr:to>
          <xdr:col>3</xdr:col>
          <xdr:colOff>1897380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2072640</xdr:colOff>
          <xdr:row>3</xdr:row>
          <xdr:rowOff>182880</xdr:rowOff>
        </xdr:from>
        <xdr:to>
          <xdr:col>3</xdr:col>
          <xdr:colOff>3802380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3</xdr:row>
          <xdr:rowOff>182880</xdr:rowOff>
        </xdr:from>
        <xdr:to>
          <xdr:col>4</xdr:col>
          <xdr:colOff>1897380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2072640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3</xdr:row>
          <xdr:rowOff>182880</xdr:rowOff>
        </xdr:from>
        <xdr:to>
          <xdr:col>5</xdr:col>
          <xdr:colOff>1897380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2072640</xdr:colOff>
          <xdr:row>3</xdr:row>
          <xdr:rowOff>182880</xdr:rowOff>
        </xdr:from>
        <xdr:to>
          <xdr:col>5</xdr:col>
          <xdr:colOff>3802380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6">
        <f ca="1">IFERROR(_xlfn.RANK.EQ(C$7,$C$7:$F$7),"―")</f>
        <v>4</v>
      </c>
      <c r="D5" s="16">
        <f ca="1">IFERROR(_xlfn.RANK.EQ(D$7,$C$7:$F$7),"―")</f>
        <v>1</v>
      </c>
      <c r="E5" s="16">
        <f ca="1">IFERROR(_xlfn.RANK.EQ(E$7,$C$7:$F$7),"―")</f>
        <v>3</v>
      </c>
      <c r="F5" s="20">
        <f ca="1">IFERROR(_xlfn.RANK.EQ(F$7,$C$7:$F$7),"―")</f>
        <v>2</v>
      </c>
    </row>
    <row r="6" spans="1:6" ht="103.2" x14ac:dyDescent="0.45">
      <c r="B6" s="4" t="s">
        <v>2</v>
      </c>
      <c r="C6" s="17" t="str">
        <f ca="1">IF(ISERROR(MJFILE()),"―",NAME(MJFILE(),0))</f>
        <v>百瀬成空</v>
      </c>
      <c r="D6" s="17" t="str">
        <f ca="1">IF(ISERROR(MJFILE()),"―",NAME(MJFILE(),1))</f>
        <v>大池陸斗</v>
      </c>
      <c r="E6" s="17" t="str">
        <f ca="1">IF(ISERROR(MJFILE()),"―",NAME(MJFILE(),2))</f>
        <v>福澤大地</v>
      </c>
      <c r="F6" s="21" t="str">
        <f ca="1">IF(ISERROR(MJFILE()),"―",NAME(MJFILE(),3))</f>
        <v>多田洋輔</v>
      </c>
    </row>
    <row r="7" spans="1:6" ht="103.2" x14ac:dyDescent="0.45">
      <c r="B7" s="4" t="s">
        <v>3</v>
      </c>
      <c r="C7" s="18">
        <f ca="1">IF(ISERROR(MJFILE()),"―",POINT(MJFILE(),0,4))</f>
        <v>13200</v>
      </c>
      <c r="D7" s="18">
        <f ca="1">IF(ISERROR(MJFILE()),"―",POINT(MJFILE(),1,4))</f>
        <v>38500</v>
      </c>
      <c r="E7" s="18">
        <f ca="1">IF(ISERROR(MJFILE()),"―",POINT(MJFILE(),2,4))</f>
        <v>17600</v>
      </c>
      <c r="F7" s="22">
        <f ca="1">IF(ISERROR(MJFILE()),"―",POINT(MJFILE(),3,4))</f>
        <v>30700</v>
      </c>
    </row>
    <row r="8" spans="1:6" ht="65.400000000000006" thickBot="1" x14ac:dyDescent="0.5">
      <c r="B8" s="5" t="s">
        <v>4</v>
      </c>
      <c r="C8" s="19">
        <f ca="1">IF(ISERROR(MJFILE()),"―",score(MJFILE(),0))</f>
        <v>-46.8</v>
      </c>
      <c r="D8" s="19">
        <f ca="1">IF(ISERROR(MJFILE()),"―",score(MJFILE(),1))</f>
        <v>58.5</v>
      </c>
      <c r="E8" s="19">
        <f ca="1">IF(ISERROR(MJFILE()),"―",score(MJFILE(),2))</f>
        <v>-22.4</v>
      </c>
      <c r="F8" s="23">
        <f ca="1">IF(ISERROR(MJFILE()),"―",score(MJFILE(),3))</f>
        <v>10.7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2300</v>
      </c>
      <c r="D10" s="12">
        <f ca="1">IF(ISERROR(MJFILE()),"―",IF(POINT(MJFILE(),1,1)=0,"",POINT(MJFILE(),1,1)+POINT(MJFILE(),1,3)))</f>
        <v>-2300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2072640</xdr:colOff>
                <xdr:row>3</xdr:row>
                <xdr:rowOff>182880</xdr:rowOff>
              </from>
              <to>
                <xdr:col>5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167640</xdr:colOff>
                <xdr:row>3</xdr:row>
                <xdr:rowOff>182880</xdr:rowOff>
              </from>
              <to>
                <xdr:col>5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2072640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167640</xdr:colOff>
                <xdr:row>3</xdr:row>
                <xdr:rowOff>182880</xdr:rowOff>
              </from>
              <to>
                <xdr:col>4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2072640</xdr:colOff>
                <xdr:row>3</xdr:row>
                <xdr:rowOff>182880</xdr:rowOff>
              </from>
              <to>
                <xdr:col>3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167640</xdr:colOff>
                <xdr:row>3</xdr:row>
                <xdr:rowOff>182880</xdr:rowOff>
              </from>
              <to>
                <xdr:col>3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2072640</xdr:colOff>
                <xdr:row>3</xdr:row>
                <xdr:rowOff>182880</xdr:rowOff>
              </from>
              <to>
                <xdr:col>2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167640</xdr:colOff>
                <xdr:row>3</xdr:row>
                <xdr:rowOff>182880</xdr:rowOff>
              </from>
              <to>
                <xdr:col>2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1958340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1996440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43854.733194444445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2020-01-24T09:24:34Z</dcterms:modified>
</cp:coreProperties>
</file>