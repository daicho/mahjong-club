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26C7D99D-3A2F-4553-B140-FCB90CD11A5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22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C11" i="1"/>
  <c r="C7" i="1"/>
  <c r="C10" i="1"/>
  <c r="D3" i="1"/>
  <c r="D10" i="1" l="1"/>
  <c r="D11" i="1"/>
  <c r="D7" i="1"/>
  <c r="F7" i="1" l="1"/>
  <c r="F11" i="1"/>
  <c r="F10" i="1"/>
  <c r="E10" i="1" l="1"/>
  <c r="E11" i="1"/>
  <c r="E7" i="1"/>
  <c r="E5" i="1" l="1"/>
  <c r="D5" i="1"/>
  <c r="F5" i="1"/>
  <c r="C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<sst xmlns="http://schemas.openxmlformats.org/spreadsheetml/2006/main" count="5" uniqueCount="5">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</sst>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1本場 供託1</v>
      </c>
      <c r="E3" s="10" t="s">
        <v>0</v>
      </c>
      <c r="F3" s="11">
        <f>Setting!A3</f>
        <v>0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3</v>
      </c>
      <c r="D5" s="18">
        <f ca="1">IFERROR(_xlfn.RANK.EQ(D$7,$C$7:$F$7),"―")</f>
        <v>2</v>
      </c>
      <c r="E5" s="14">
        <f ca="1">IFERROR(_xlfn.RANK.EQ(E$7,$C$7:$F$7),"―")</f>
        <v>4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山本悠介</v>
      </c>
      <c r="D6" s="20" t="str">
        <f ca="1">IF(ISERROR(MJFILE()),"―",NAME(MJFILE(),1))</f>
        <v>小林莉子</v>
      </c>
      <c r="E6" s="15" t="str">
        <f ca="1">IF(ISERROR(MJFILE()),"―",NAME(MJFILE(),2))</f>
        <v>岡田真慧</v>
      </c>
      <c r="F6" s="21" t="str">
        <f ca="1">IF(ISERROR(MJFILE()),"―",NAME(MJFILE(),3))</f>
        <v>清水遙斗</v>
      </c>
    </row>
    <row r="7" spans="1:6" ht="103" x14ac:dyDescent="0.55000000000000004">
      <c r="B7" s="4" t="s">
        <v>3</v>
      </c>
      <c r="C7" s="22">
        <f ca="1">IF(ISERROR(MJFILE()),"―",POINT(MJFILE(),0,4))</f>
        <v>21400</v>
      </c>
      <c r="D7" s="22">
        <f ca="1">IF(ISERROR(MJFILE()),"―",POINT(MJFILE(),1,4))</f>
        <v>23800</v>
      </c>
      <c r="E7" s="16">
        <f ca="1">IF(ISERROR(MJFILE()),"―",POINT(MJFILE(),2,4))</f>
        <v>9600</v>
      </c>
      <c r="F7" s="23">
        <f ca="1">IF(ISERROR(MJFILE()),"―",POINT(MJFILE(),3,4))</f>
        <v>44200</v>
      </c>
    </row>
    <row r="8" spans="1:6" ht="65" thickBot="1" x14ac:dyDescent="0.6">
      <c r="B8" s="5" t="s">
        <v>4</v>
      </c>
      <c r="C8" s="24">
        <f ca="1">IF(ISERROR(MJFILE()),"―",score(MJFILE(),0))</f>
        <v>-18.600000000000001</v>
      </c>
      <c r="D8" s="24">
        <f ca="1">IF(ISERROR(MJFILE()),"―",score(MJFILE(),1))</f>
        <v>3.8</v>
      </c>
      <c r="E8" s="17">
        <f ca="1">IF(ISERROR(MJFILE()),"―",score(MJFILE(),2))</f>
        <v>-50.4</v>
      </c>
      <c r="F8" s="25">
        <f ca="1">IF(ISERROR(MJFILE()),"―",score(MJFILE(),3))</f>
        <v>64.2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1000</v>
      </c>
      <c r="D10" s="12">
        <f ca="1">IF(ISERROR(MJFILE()),"―",IF(POINT(MJFILE(),1,1)=0,"",POINT(MJFILE(),1,1)+POINT(MJFILE(),1,3)))</f>
        <v>1000</v>
      </c>
      <c r="E10" s="12">
        <f ca="1">IF(ISERROR(MJFILE()),"―",IF(POINT(MJFILE(),2,1)=0,"",POINT(MJFILE(),2,1)+POINT(MJFILE(),2,3)))</f>
        <v>1000</v>
      </c>
      <c r="F10" s="12">
        <f ca="1">IF(ISERROR(MJFILE()),"―",IF(POINT(MJFILE(),3,1)=0,"",POINT(MJFILE(),3,1)+POINT(MJFILE(),3,3)))</f>
        <v>-3000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-1000</v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46234.681875000002</v>
      </c>
    </row>
    <row r="2" spans="1:1" x14ac:dyDescent="0.55000000000000004">
      <c r="A2" s="2">
        <v>3.4722222222222224E-2</v>
      </c>
    </row>
    <row r="3" spans="1:1" x14ac:dyDescent="0.55000000000000004">
      <c r="A3" s="2">
        <v>0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2026-07-31T08:20:33Z</dcterms:modified>
</cp:coreProperties>
</file>