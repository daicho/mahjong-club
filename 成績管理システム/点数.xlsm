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7FFBC1D0-8862-44F4-AC89-8278C491EA6B}" xr6:coauthVersionLast="41" xr6:coauthVersionMax="41" xr10:uidLastSave="{00000000-0000-0000-0000-000000000000}"/>
  <bookViews>
    <workbookView showHorizontalScroll="0" showVerticalScroll="0" xWindow="-108" yWindow="-108" windowWidth="23256" windowHeight="12720" xr2:uid="{104DD447-7576-4543-B2BB-CF60142807AB}"/>
  </bookViews>
  <sheets>
    <sheet name="Main" sheetId="1" r:id="rId1"/>
    <sheet name="Setting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E7" i="1"/>
  <c r="E10" i="1"/>
  <c r="E6" i="1"/>
  <c r="F10" i="1"/>
  <c r="F11" i="1"/>
  <c r="C11" i="1"/>
  <c r="D7" i="1"/>
  <c r="C3" i="1"/>
  <c r="E11" i="1"/>
  <c r="E8" i="1"/>
  <c r="C6" i="1"/>
  <c r="F7" i="1"/>
  <c r="D11" i="1"/>
  <c r="D8" i="1"/>
  <c r="C7" i="1"/>
  <c r="C2" i="1"/>
  <c r="D6" i="1"/>
  <c r="C10" i="1"/>
  <c r="F8" i="1"/>
  <c r="D10" i="1"/>
  <c r="C8" i="1"/>
  <c r="F6" i="1"/>
  <c r="C5" i="1" l="1"/>
  <c r="F5" i="1"/>
  <c r="D5" i="1"/>
  <c r="E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<sst xmlns="http://schemas.openxmlformats.org/spreadsheetml/2006/main" count="4" uniqueCount="4">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</sst>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12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0" fillId="0" borderId="0" xfId="0" applyFont="1" applyAlignment="1">
      <alignment vertical="center"/>
    </xf>
    <xf numFmtId="178" fontId="5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80" fontId="6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3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4572000</xdr:colOff>
          <xdr:row>1</xdr:row>
          <xdr:rowOff>708660</xdr:rowOff>
        </xdr:from>
        <xdr:to>
          <xdr:col>4</xdr:col>
          <xdr:colOff>594360</xdr:colOff>
          <xdr:row>1</xdr:row>
          <xdr:rowOff>1394460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4572000</xdr:colOff>
          <xdr:row>2</xdr:row>
          <xdr:rowOff>53340</xdr:rowOff>
        </xdr:from>
        <xdr:to>
          <xdr:col>4</xdr:col>
          <xdr:colOff>594360</xdr:colOff>
          <xdr:row>2</xdr:row>
          <xdr:rowOff>739140</xdr:rowOff>
        </xdr:to>
        <xdr:sp macro="" textlink="">
          <xdr:nvSpPr>
            <xdr:cNvPr id="1027" name="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60" zoomScaleNormal="60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  <col min="6" max="6" width="78.09765625" bestFit="1" customWidth="1"/>
    <col min="7" max="7" width="1" customWidth="1"/>
  </cols>
  <sheetData>
    <row r="1" spans="1:6" ht="13.5" customHeight="1" x14ac:dyDescent="0.45">
      <c r="A1" s="20"/>
    </row>
    <row r="2" spans="1:6" ht="123.75" customHeight="1" x14ac:dyDescent="0.45">
      <c r="C2" s="22" t="str">
        <f ca="1">MJINFO(MJFILE(),1)&amp;MJINFO(MJFILE(),2)&amp;"局"</f>
        <v>南2局</v>
      </c>
      <c r="D2" s="22"/>
      <c r="E2" s="24">
        <f>Setting!A3</f>
        <v>3.4699074074074077E-2</v>
      </c>
      <c r="F2" s="24"/>
    </row>
    <row r="3" spans="1:6" ht="76.5" customHeight="1" x14ac:dyDescent="0.45">
      <c r="C3" s="23" t="str">
        <f ca="1">""&amp;MJINFO(MJFILE(),3)&amp;"本場 供託"&amp;MJINFO(MJFILE(),4)</f>
        <v>2本場 供託2</v>
      </c>
      <c r="D3" s="23"/>
      <c r="E3" s="24"/>
      <c r="F3" s="24"/>
    </row>
    <row r="4" spans="1:6" ht="18.600000000000001" thickBot="1" x14ac:dyDescent="0.5"/>
    <row r="5" spans="1:6" ht="97.5" customHeight="1" x14ac:dyDescent="0.45">
      <c r="B5" s="1" t="s">
        <v>0</v>
      </c>
      <c r="C5" s="7">
        <f ca="1">_xlfn.RANK.EQ(C$7,$C$7:$F$7)</f>
        <v>2</v>
      </c>
      <c r="D5" s="8">
        <f ca="1">_xlfn.RANK.EQ(D$7,$C$7:$F$7)</f>
        <v>1</v>
      </c>
      <c r="E5" s="8">
        <f ca="1">_xlfn.RANK.EQ(E$7,$C$7:$F$7)</f>
        <v>4</v>
      </c>
      <c r="F5" s="9">
        <f ca="1">_xlfn.RANK.EQ(F$7,$C$7:$F$7)</f>
        <v>3</v>
      </c>
    </row>
    <row r="6" spans="1:6" ht="154.5" customHeight="1" x14ac:dyDescent="0.45">
      <c r="B6" s="2" t="s">
        <v>1</v>
      </c>
      <c r="C6" s="3" t="str">
        <f ca="1">NAME(MJFILE(),0)</f>
        <v>松澤亮太</v>
      </c>
      <c r="D6" s="4" t="str">
        <f ca="1">NAME(MJFILE(),1)</f>
        <v>滝沢悠人</v>
      </c>
      <c r="E6" s="4" t="str">
        <f ca="1">NAME(MJFILE(),2)</f>
        <v>大池陸斗</v>
      </c>
      <c r="F6" s="5" t="str">
        <f ca="1">NAME(MJFILE(),3)</f>
        <v>百瀬成空</v>
      </c>
    </row>
    <row r="7" spans="1:6" ht="154.5" customHeight="1" x14ac:dyDescent="0.45">
      <c r="B7" s="2" t="s">
        <v>2</v>
      </c>
      <c r="C7" s="10">
        <f ca="1">POINT(MJFILE(),0,4)</f>
        <v>31900</v>
      </c>
      <c r="D7" s="11">
        <f ca="1">POINT(MJFILE(),1,4)</f>
        <v>54900</v>
      </c>
      <c r="E7" s="11">
        <f ca="1">POINT(MJFILE(),2,4)</f>
        <v>-1700</v>
      </c>
      <c r="F7" s="12">
        <f ca="1">POINT(MJFILE(),3,4)</f>
        <v>14900</v>
      </c>
    </row>
    <row r="8" spans="1:6" ht="97.5" customHeight="1" thickBot="1" x14ac:dyDescent="0.5">
      <c r="B8" s="6" t="s">
        <v>3</v>
      </c>
      <c r="C8" s="13">
        <f ca="1">score(MJFILE(),0)</f>
        <v>11.9</v>
      </c>
      <c r="D8" s="14">
        <f ca="1">score(MJFILE(),1)</f>
        <v>74.900000000000006</v>
      </c>
      <c r="E8" s="14">
        <f ca="1">score(MJFILE(),2)</f>
        <v>-61.7</v>
      </c>
      <c r="F8" s="15">
        <f ca="1">score(MJFILE(),3)</f>
        <v>-25.1</v>
      </c>
    </row>
    <row r="10" spans="1:6" ht="96" customHeight="1" x14ac:dyDescent="0.45">
      <c r="C10" s="17" t="str">
        <f ca="1">IF(POINT(MJFILE(),0,1)=0,"",POINT(MJFILE(),0,1)+POINT(MJFILE(),0,3))</f>
        <v/>
      </c>
      <c r="D10" s="17">
        <f ca="1">IF(POINT(MJFILE(),1,1)=0,"",POINT(MJFILE(),1,1)+POINT(MJFILE(),1,3))</f>
        <v>-8600</v>
      </c>
      <c r="E10" s="17" t="str">
        <f ca="1">IF(POINT(MJFILE(),2,1)=0,"",POINT(MJFILE(),2,1)+POINT(MJFILE(),2,3))</f>
        <v/>
      </c>
      <c r="F10" s="17">
        <f ca="1">IF(POINT(MJFILE(),3,1)=0,"",POINT(MJFILE(),3,1)+POINT(MJFILE(),3,3))</f>
        <v>8600</v>
      </c>
    </row>
    <row r="11" spans="1:6" ht="76.5" customHeight="1" x14ac:dyDescent="0.45">
      <c r="B11" s="16"/>
      <c r="C11" s="18">
        <f ca="1">IF(POINT(MJFILE(),0,2)=0,"",POINT(MJFILE(),0,2))</f>
        <v>-1000</v>
      </c>
      <c r="D11" s="18" t="str">
        <f ca="1">IF(POINT(MJFILE(),1,2)=0,"",POINT(MJFILE(),1,2))</f>
        <v/>
      </c>
      <c r="E11" s="18" t="str">
        <f ca="1">IF(POINT(MJFILE(),2,2)=0,"",POINT(MJFILE(),2,2))</f>
        <v/>
      </c>
      <c r="F11" s="18">
        <f ca="1">IF(POINT(MJFILE(),3,2)=0,"",POINT(MJFILE(),3,2))</f>
        <v>3000</v>
      </c>
    </row>
  </sheetData>
  <sheetProtection selectLockedCells="1" selectUnlockedCells="1"/>
  <mergeCells count="3">
    <mergeCell ref="C2:D2"/>
    <mergeCell ref="C3:D3"/>
    <mergeCell ref="E2:F3"/>
  </mergeCells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1:Y1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Timer">
              <controlPr defaultSize="0" print="0" autoFill="0" autoPict="0" macro="[0]!TimerSwitch">
                <anchor moveWithCells="1">
                  <from>
                    <xdr:col>3</xdr:col>
                    <xdr:colOff>4572000</xdr:colOff>
                    <xdr:row>1</xdr:row>
                    <xdr:rowOff>708660</xdr:rowOff>
                  </from>
                  <to>
                    <xdr:col>4</xdr:col>
                    <xdr:colOff>594360</xdr:colOff>
                    <xdr:row>1</xdr:row>
                    <xdr:rowOff>1394460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Reset">
              <controlPr defaultSize="0" print="0" autoFill="0" autoPict="0" macro="[0]!TimerReset">
                <anchor moveWithCells="1">
                  <from>
                    <xdr:col>3</xdr:col>
                    <xdr:colOff>4572000</xdr:colOff>
                    <xdr:row>2</xdr:row>
                    <xdr:rowOff>53340</xdr:rowOff>
                  </from>
                  <to>
                    <xdr:col>4</xdr:col>
                    <xdr:colOff>594360</xdr:colOff>
                    <xdr:row>2</xdr:row>
                    <xdr:rowOff>739140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>
      <selection activeCell="A5" sqref="A5"/>
    </sheetView>
  </sheetViews>
  <sheetFormatPr defaultRowHeight="18" x14ac:dyDescent="0.45"/>
  <cols>
    <col min="1" max="1" width="19.5" bestFit="1" customWidth="1"/>
  </cols>
  <sheetData>
    <row r="1" spans="1:1" x14ac:dyDescent="0.45">
      <c r="A1" s="19">
        <v>43798.455694444441</v>
      </c>
    </row>
    <row r="2" spans="1:1" x14ac:dyDescent="0.45">
      <c r="A2" s="21">
        <v>3.4699074074074077E-2</v>
      </c>
    </row>
    <row r="3" spans="1:1" x14ac:dyDescent="0.45">
      <c r="A3" s="21">
        <v>3.4699074074074077E-2</v>
      </c>
    </row>
    <row r="4" spans="1:1" x14ac:dyDescent="0.45">
      <c r="A4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2019-11-29T01:56:16Z</dcterms:modified>
</cp:coreProperties>
</file>