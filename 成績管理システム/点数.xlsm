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-club\成績管理システム\"/>
    </mc:Choice>
  </mc:AlternateContent>
  <xr:revisionPtr revIDLastSave="0" documentId="13_ncr:1_{D2B724D6-AC66-4D84-BF06-5EC90FF900B0}" xr6:coauthVersionLast="41" xr6:coauthVersionMax="41" xr10:uidLastSave="{00000000-0000-0000-0000-000000000000}"/>
  <bookViews>
    <workbookView xWindow="-120" yWindow="-120" windowWidth="20730" windowHeight="11310" xr2:uid="{104DD447-7576-4543-B2BB-CF60142807AB}"/>
  </bookViews>
  <sheets>
    <sheet name="Main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0" i="1" l="1"/>
  <c r="E7" i="1"/>
  <c r="D8" i="1"/>
  <c r="D11" i="1"/>
  <c r="C7" i="1"/>
  <c r="D10" i="1"/>
  <c r="D7" i="1"/>
  <c r="F7" i="1"/>
  <c r="C11" i="1"/>
  <c r="D6" i="1"/>
  <c r="B2" i="1"/>
  <c r="F10" i="1"/>
  <c r="C10" i="1"/>
  <c r="E6" i="1"/>
  <c r="F11" i="1"/>
  <c r="C6" i="1"/>
  <c r="F6" i="1"/>
  <c r="B3" i="1"/>
  <c r="E11" i="1"/>
  <c r="E8" i="1"/>
  <c r="C8" i="1"/>
  <c r="F8" i="1"/>
  <c r="F5" i="1" l="1"/>
  <c r="D5" i="1"/>
  <c r="C5" i="1"/>
  <c r="E5" i="1"/>
</calcChain>
</file>

<file path=xl/sharedStrings.xml><?xml version="1.0" encoding="utf-8"?>
<sst xmlns="http://schemas.openxmlformats.org/spreadsheetml/2006/main" count="4" uniqueCount="4">
  <si>
    <t>順位</t>
    <rPh sb="0" eb="2">
      <t>ジュンイ</t>
    </rPh>
    <phoneticPr fontId="1"/>
  </si>
  <si>
    <t>名前</t>
    <rPh sb="0" eb="2">
      <t>ナマエ</t>
    </rPh>
    <phoneticPr fontId="1"/>
  </si>
  <si>
    <t>点数</t>
    <rPh sb="0" eb="2">
      <t>テンスウ</t>
    </rPh>
    <phoneticPr fontId="1"/>
  </si>
  <si>
    <t>スコア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</si>
</sst>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&quot;位&quot;"/>
    <numFmt numFmtId="177" formatCode="\+0.0;\-0.0;\±0"/>
    <numFmt numFmtId="178" formatCode="\+0;\-0;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72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4" fillId="0" borderId="10" xfId="0" applyFont="1" applyBorder="1" applyAlignment="1">
      <alignment horizontal="center" vertical="center" shrinkToFit="1"/>
    </xf>
    <xf numFmtId="0" fontId="4" fillId="0" borderId="11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 shrinkToFit="1"/>
    </xf>
    <xf numFmtId="0" fontId="2" fillId="0" borderId="1" xfId="0" applyFont="1" applyBorder="1" applyAlignment="1">
      <alignment horizontal="center" vertical="center" shrinkToFit="1"/>
    </xf>
    <xf numFmtId="0" fontId="2" fillId="0" borderId="4" xfId="0" applyFont="1" applyBorder="1" applyAlignment="1">
      <alignment horizontal="center" vertical="center" shrinkToFit="1"/>
    </xf>
    <xf numFmtId="0" fontId="4" fillId="0" borderId="12" xfId="0" applyFont="1" applyBorder="1" applyAlignment="1">
      <alignment horizontal="center" vertical="center" shrinkToFit="1"/>
    </xf>
    <xf numFmtId="176" fontId="3" fillId="0" borderId="7" xfId="0" applyNumberFormat="1" applyFont="1" applyBorder="1" applyAlignment="1">
      <alignment horizontal="center" vertical="center" shrinkToFit="1"/>
    </xf>
    <xf numFmtId="176" fontId="3" fillId="0" borderId="2" xfId="0" applyNumberFormat="1" applyFon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2" fillId="0" borderId="8" xfId="0" applyNumberFormat="1" applyFont="1" applyBorder="1" applyAlignment="1">
      <alignment horizontal="center" vertical="center" shrinkToFit="1"/>
    </xf>
    <xf numFmtId="1" fontId="2" fillId="0" borderId="1" xfId="0" applyNumberFormat="1" applyFont="1" applyBorder="1" applyAlignment="1">
      <alignment horizontal="center" vertical="center" shrinkToFit="1"/>
    </xf>
    <xf numFmtId="1" fontId="2" fillId="0" borderId="4" xfId="0" applyNumberFormat="1" applyFont="1" applyBorder="1" applyAlignment="1">
      <alignment horizontal="center" vertical="center" shrinkToFit="1"/>
    </xf>
    <xf numFmtId="177" fontId="3" fillId="0" borderId="9" xfId="0" applyNumberFormat="1" applyFont="1" applyBorder="1" applyAlignment="1">
      <alignment horizontal="center" vertical="center" shrinkToFit="1"/>
    </xf>
    <xf numFmtId="177" fontId="3" fillId="0" borderId="5" xfId="0" applyNumberFormat="1" applyFont="1" applyBorder="1" applyAlignment="1">
      <alignment horizontal="center" vertical="center" shrinkToFit="1"/>
    </xf>
    <xf numFmtId="177" fontId="3" fillId="0" borderId="6" xfId="0" applyNumberFormat="1" applyFont="1" applyBorder="1" applyAlignment="1">
      <alignment horizontal="center" vertical="center" shrinkToFit="1"/>
    </xf>
    <xf numFmtId="0" fontId="0" fillId="0" borderId="0" xfId="0" applyFont="1" applyAlignment="1">
      <alignment vertical="center"/>
    </xf>
    <xf numFmtId="178" fontId="5" fillId="0" borderId="0" xfId="0" applyNumberFormat="1" applyFont="1" applyAlignment="1">
      <alignment horizontal="center" vertical="center"/>
    </xf>
    <xf numFmtId="178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標準" xfId="0" builtinId="0"/>
  </cellStyles>
  <dxfs count="3">
    <dxf>
      <font>
        <color rgb="FF0000F0"/>
      </font>
    </dxf>
    <dxf>
      <font>
        <color rgb="FFF00000"/>
      </font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0000F0"/>
      <color rgb="FF0070FF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B1:F11"/>
  <sheetViews>
    <sheetView showGridLines="0" showRowColHeaders="0" tabSelected="1" zoomScale="54" zoomScaleNormal="60" workbookViewId="0"/>
  </sheetViews>
  <sheetFormatPr defaultRowHeight="18.75" x14ac:dyDescent="0.4"/>
  <cols>
    <col min="1" max="1" width="1" customWidth="1"/>
    <col min="2" max="2" width="23.5" customWidth="1"/>
    <col min="3" max="6" width="70.625" customWidth="1"/>
  </cols>
  <sheetData>
    <row r="1" spans="2:6" ht="13.5" customHeight="1" x14ac:dyDescent="0.4"/>
    <row r="2" spans="2:6" ht="123.75" customHeight="1" x14ac:dyDescent="0.4">
      <c r="B2" s="20" t="str">
        <f ca="1">MJINFO(MJFILE(),1)&amp;MJINFO(MJFILE(),2)&amp;"局"</f>
        <v>南2局</v>
      </c>
      <c r="C2" s="20"/>
      <c r="D2" s="20"/>
      <c r="E2" s="20"/>
      <c r="F2" s="20"/>
    </row>
    <row r="3" spans="2:6" ht="76.5" customHeight="1" x14ac:dyDescent="0.4">
      <c r="B3" s="19" t="str">
        <f ca="1">""&amp;MJINFO(MJFILE(),3)&amp;"本場 供託"&amp;MJINFO(MJFILE(),4)</f>
        <v>2本場 供託2</v>
      </c>
      <c r="C3" s="19"/>
      <c r="D3" s="19"/>
      <c r="E3" s="19"/>
      <c r="F3" s="19"/>
    </row>
    <row r="4" spans="2:6" ht="19.5" thickBot="1" x14ac:dyDescent="0.45"/>
    <row r="5" spans="2:6" ht="97.5" customHeight="1" x14ac:dyDescent="0.4">
      <c r="B5" s="1" t="s">
        <v>0</v>
      </c>
      <c r="C5" s="7">
        <f ca="1">_xlfn.RANK.EQ(C$7,$C$7:$F$7)</f>
        <v>2</v>
      </c>
      <c r="D5" s="8">
        <f ca="1">_xlfn.RANK.EQ(D$7,$C$7:$F$7)</f>
        <v>1</v>
      </c>
      <c r="E5" s="8">
        <f ca="1">_xlfn.RANK.EQ(E$7,$C$7:$F$7)</f>
        <v>4</v>
      </c>
      <c r="F5" s="9">
        <f ca="1">_xlfn.RANK.EQ(F$7,$C$7:$F$7)</f>
        <v>3</v>
      </c>
    </row>
    <row r="6" spans="2:6" ht="154.5" customHeight="1" x14ac:dyDescent="0.4">
      <c r="B6" s="2" t="s">
        <v>1</v>
      </c>
      <c r="C6" s="3" t="str">
        <f ca="1">NAME(MJFILE(),0)</f>
        <v>松澤亮太</v>
      </c>
      <c r="D6" s="4" t="str">
        <f ca="1">NAME(MJFILE(),1)</f>
        <v>滝沢悠人</v>
      </c>
      <c r="E6" s="4" t="str">
        <f ca="1">NAME(MJFILE(),2)</f>
        <v>大池陸斗</v>
      </c>
      <c r="F6" s="5" t="str">
        <f ca="1">NAME(MJFILE(),3)</f>
        <v>百瀬成空</v>
      </c>
    </row>
    <row r="7" spans="2:6" ht="154.5" customHeight="1" x14ac:dyDescent="0.4">
      <c r="B7" s="2" t="s">
        <v>2</v>
      </c>
      <c r="C7" s="10">
        <f ca="1">POINT(MJFILE(),0,4)</f>
        <v>31900</v>
      </c>
      <c r="D7" s="11">
        <f ca="1">POINT(MJFILE(),1,4)</f>
        <v>54900</v>
      </c>
      <c r="E7" s="11">
        <f ca="1">POINT(MJFILE(),2,4)</f>
        <v>-1700</v>
      </c>
      <c r="F7" s="12">
        <f ca="1">POINT(MJFILE(),3,4)</f>
        <v>14900</v>
      </c>
    </row>
    <row r="8" spans="2:6" ht="97.5" customHeight="1" thickBot="1" x14ac:dyDescent="0.45">
      <c r="B8" s="6" t="s">
        <v>3</v>
      </c>
      <c r="C8" s="13">
        <f ca="1">score(MJFILE(),0)</f>
        <v>11.9</v>
      </c>
      <c r="D8" s="14">
        <f ca="1">score(MJFILE(),1)</f>
        <v>74.900000000000006</v>
      </c>
      <c r="E8" s="14">
        <f ca="1">score(MJFILE(),2)</f>
        <v>-61.7</v>
      </c>
      <c r="F8" s="15">
        <f ca="1">score(MJFILE(),3)</f>
        <v>-25.1</v>
      </c>
    </row>
    <row r="10" spans="2:6" ht="96" customHeight="1" x14ac:dyDescent="0.4">
      <c r="C10" s="17" t="str">
        <f ca="1">IF(POINT(MJFILE(),0,1)=0,"",POINT(MJFILE(),0,1)+POINT(MJFILE(),0,3))</f>
        <v/>
      </c>
      <c r="D10" s="17">
        <f ca="1">IF(POINT(MJFILE(),1,1)=0,"",POINT(MJFILE(),1,1)+POINT(MJFILE(),1,3))</f>
        <v>-8600</v>
      </c>
      <c r="E10" s="17" t="str">
        <f ca="1">IF(POINT(MJFILE(),2,1)=0,"",POINT(MJFILE(),2,1)+POINT(MJFILE(),2,3))</f>
        <v/>
      </c>
      <c r="F10" s="17">
        <f ca="1">IF(POINT(MJFILE(),3,1)=0,"",POINT(MJFILE(),3,1)+POINT(MJFILE(),3,3))</f>
        <v>8600</v>
      </c>
    </row>
    <row r="11" spans="2:6" ht="76.5" customHeight="1" x14ac:dyDescent="0.4">
      <c r="B11" s="16"/>
      <c r="C11" s="18">
        <f ca="1">IF(POINT(MJFILE(),0,2)=0,"",POINT(MJFILE(),0,2))</f>
        <v>-1000</v>
      </c>
      <c r="D11" s="18" t="str">
        <f ca="1">IF(POINT(MJFILE(),1,2)=0,"",POINT(MJFILE(),1,2))</f>
        <v/>
      </c>
      <c r="E11" s="18" t="str">
        <f ca="1">IF(POINT(MJFILE(),2,2)=0,"",POINT(MJFILE(),2,2))</f>
        <v/>
      </c>
      <c r="F11" s="18">
        <f ca="1">IF(POINT(MJFILE(),3,2)=0,"",POINT(MJFILE(),3,2))</f>
        <v>3000</v>
      </c>
    </row>
  </sheetData>
  <mergeCells count="2">
    <mergeCell ref="B3:F3"/>
    <mergeCell ref="B2:F2"/>
  </mergeCells>
  <phoneticPr fontId="1"/>
  <conditionalFormatting sqref="C5:C8 E5:F8">
    <cfRule type="expression" dxfId="2" priority="4">
      <formula>MJINFO(MJFILE(),5)=C$6</formula>
    </cfRule>
  </conditionalFormatting>
  <conditionalFormatting sqref="C10:F11">
    <cfRule type="cellIs" dxfId="1" priority="2" operator="lessThan">
      <formula>0</formula>
    </cfRule>
    <cfRule type="cellIs" dxfId="0" priority="1" operator="greaterThan">
      <formula>0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2019-06-06T00:02:58Z</dcterms:created>
  <dcterms:modified xsi:type="dcterms:W3CDTF">2019-11-23T06:34:56Z</dcterms:modified>
</cp:coreProperties>
</file>