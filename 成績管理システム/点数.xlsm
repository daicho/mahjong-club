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BB641F56-28D2-47DD-814E-D0CB6917F42B}" xr6:coauthVersionLast="44" xr6:coauthVersionMax="44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3" i="1" l="1"/>
  <c r="F10" i="1" l="1"/>
  <c r="F7" i="1"/>
  <c r="F11" i="1"/>
  <c r="C3" i="1"/>
  <c r="D10" i="1" l="1"/>
  <c r="D11" i="1"/>
  <c r="D7" i="1"/>
  <c r="E10" i="1"/>
  <c r="E7" i="1"/>
  <c r="E11" i="1"/>
  <c r="C11" i="1"/>
  <c r="C10" i="1"/>
  <c r="C7" i="1"/>
  <c r="F5" i="1" l="1"/>
  <c r="C5" i="1"/>
  <c r="E5" i="1"/>
  <c r="D5" i="1"/>
  <c r="D8" i="1"/>
  <c r="C8" i="1"/>
  <c r="F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<sst xmlns="http://schemas.openxmlformats.org/spreadsheetml/2006/main" count="5" uniqueCount="5">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</sst>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1958340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1996440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</xdr:colOff>
          <xdr:row>3</xdr:row>
          <xdr:rowOff>182880</xdr:rowOff>
        </xdr:from>
        <xdr:to>
          <xdr:col>2</xdr:col>
          <xdr:colOff>1897380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2072640</xdr:colOff>
          <xdr:row>3</xdr:row>
          <xdr:rowOff>182880</xdr:rowOff>
        </xdr:from>
        <xdr:to>
          <xdr:col>2</xdr:col>
          <xdr:colOff>3802380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3</xdr:row>
          <xdr:rowOff>182880</xdr:rowOff>
        </xdr:from>
        <xdr:to>
          <xdr:col>3</xdr:col>
          <xdr:colOff>1897380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2072640</xdr:colOff>
          <xdr:row>3</xdr:row>
          <xdr:rowOff>182880</xdr:rowOff>
        </xdr:from>
        <xdr:to>
          <xdr:col>3</xdr:col>
          <xdr:colOff>3802380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3</xdr:row>
          <xdr:rowOff>182880</xdr:rowOff>
        </xdr:from>
        <xdr:to>
          <xdr:col>4</xdr:col>
          <xdr:colOff>1897380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2072640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</xdr:colOff>
          <xdr:row>3</xdr:row>
          <xdr:rowOff>182880</xdr:rowOff>
        </xdr:from>
        <xdr:to>
          <xdr:col>5</xdr:col>
          <xdr:colOff>1897380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2072640</xdr:colOff>
          <xdr:row>3</xdr:row>
          <xdr:rowOff>182880</xdr:rowOff>
        </xdr:from>
        <xdr:to>
          <xdr:col>5</xdr:col>
          <xdr:colOff>3802380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6">
        <f ca="1">IFERROR(_xlfn.RANK.EQ(C$7,$C$7:$F$7),"―")</f>
        <v>2</v>
      </c>
      <c r="D5" s="16">
        <f ca="1">IFERROR(_xlfn.RANK.EQ(D$7,$C$7:$F$7),"―")</f>
        <v>4</v>
      </c>
      <c r="E5" s="24">
        <f ca="1">IFERROR(_xlfn.RANK.EQ(E$7,$C$7:$F$7),"―")</f>
        <v>3</v>
      </c>
      <c r="F5" s="20">
        <f ca="1">IFERROR(_xlfn.RANK.EQ(F$7,$C$7:$F$7),"―")</f>
        <v>1</v>
      </c>
    </row>
    <row r="6" spans="1:6" ht="103.2" x14ac:dyDescent="0.45">
      <c r="B6" s="4" t="s">
        <v>2</v>
      </c>
      <c r="C6" s="17" t="str">
        <f ca="1">IF(ISERROR(MJFILE()),"―",NAME(MJFILE(),0))</f>
        <v>高野源太</v>
      </c>
      <c r="D6" s="17" t="str">
        <f ca="1">IF(ISERROR(MJFILE()),"―",NAME(MJFILE(),1))</f>
        <v>柳澤颯吾</v>
      </c>
      <c r="E6" s="25" t="str">
        <f ca="1">IF(ISERROR(MJFILE()),"―",NAME(MJFILE(),2))</f>
        <v>小原陸哉</v>
      </c>
      <c r="F6" s="21" t="str">
        <f ca="1">IF(ISERROR(MJFILE()),"―",NAME(MJFILE(),3))</f>
        <v>百瀬成空</v>
      </c>
    </row>
    <row r="7" spans="1:6" ht="103.2" x14ac:dyDescent="0.45">
      <c r="B7" s="4" t="s">
        <v>3</v>
      </c>
      <c r="C7" s="18">
        <f ca="1">IF(ISERROR(MJFILE()),"―",POINT(MJFILE(),0,4))</f>
        <v>20700</v>
      </c>
      <c r="D7" s="18">
        <f ca="1">IF(ISERROR(MJFILE()),"―",POINT(MJFILE(),1,4))</f>
        <v>4800</v>
      </c>
      <c r="E7" s="26">
        <f ca="1">IF(ISERROR(MJFILE()),"―",POINT(MJFILE(),2,4))</f>
        <v>19900</v>
      </c>
      <c r="F7" s="22">
        <f ca="1">IF(ISERROR(MJFILE()),"―",POINT(MJFILE(),3,4))</f>
        <v>54600</v>
      </c>
    </row>
    <row r="8" spans="1:6" ht="65.400000000000006" thickBot="1" x14ac:dyDescent="0.5">
      <c r="B8" s="5" t="s">
        <v>4</v>
      </c>
      <c r="C8" s="19">
        <f ca="1">IF(ISERROR(MJFILE()),"―",score(MJFILE(),0))</f>
        <v>0.69999999999999929</v>
      </c>
      <c r="D8" s="19">
        <f ca="1">IF(ISERROR(MJFILE()),"―",score(MJFILE(),1))</f>
        <v>-55.2</v>
      </c>
      <c r="E8" s="27">
        <f ca="1">IF(ISERROR(MJFILE()),"―",score(MJFILE(),2))</f>
        <v>-20.100000000000001</v>
      </c>
      <c r="F8" s="23">
        <f ca="1">IF(ISERROR(MJFILE()),"―",score(MJFILE(),3))</f>
        <v>74.599999999999994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-12000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12000</v>
      </c>
    </row>
    <row r="11" spans="1:6" ht="51" customHeight="1" x14ac:dyDescent="0.45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167640</xdr:colOff>
                <xdr:row>3</xdr:row>
                <xdr:rowOff>182880</xdr:rowOff>
              </from>
              <to>
                <xdr:col>2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2072640</xdr:colOff>
                <xdr:row>3</xdr:row>
                <xdr:rowOff>182880</xdr:rowOff>
              </from>
              <to>
                <xdr:col>2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167640</xdr:colOff>
                <xdr:row>3</xdr:row>
                <xdr:rowOff>182880</xdr:rowOff>
              </from>
              <to>
                <xdr:col>3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2072640</xdr:colOff>
                <xdr:row>3</xdr:row>
                <xdr:rowOff>182880</xdr:rowOff>
              </from>
              <to>
                <xdr:col>3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167640</xdr:colOff>
                <xdr:row>3</xdr:row>
                <xdr:rowOff>182880</xdr:rowOff>
              </from>
              <to>
                <xdr:col>4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2072640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167640</xdr:colOff>
                <xdr:row>3</xdr:row>
                <xdr:rowOff>182880</xdr:rowOff>
              </from>
              <to>
                <xdr:col>5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2072640</xdr:colOff>
                <xdr:row>3</xdr:row>
                <xdr:rowOff>182880</xdr:rowOff>
              </from>
              <to>
                <xdr:col>5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1958340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1996440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43861.743483796294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2020-01-31T09:34:08Z</dcterms:modified>
</cp:coreProperties>
</file>