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A8C148B-8D4A-40BA-A7D7-89E3DA912A3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11" i="1" l="1"/>
  <c r="C7" i="1"/>
  <c r="C10" i="1"/>
  <c r="C3" i="1" l="1"/>
  <c r="D10" i="1"/>
  <c r="D7" i="1"/>
  <c r="D11" i="1"/>
  <c r="F11" i="1" l="1"/>
  <c r="F7" i="1"/>
  <c r="F10" i="1"/>
  <c r="E10" i="1" l="1"/>
  <c r="E7" i="1"/>
  <c r="E11" i="1"/>
  <c r="D5" i="1" l="1"/>
  <c r="E5" i="1"/>
  <c r="C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<sst xmlns="http://schemas.openxmlformats.org/spreadsheetml/2006/main" count="5" uniqueCount="5">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</sst>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3本場 供託0</v>
      </c>
      <c r="E3" s="10" t="s">
        <v>0</v>
      </c>
      <c r="F3" s="11">
        <f>Setting!A3</f>
        <v>3.1828703703703702E-3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8">
        <f ca="1">IFERROR(_xlfn.RANK.EQ(D$7,$C$7:$F$7),"―")</f>
        <v>2</v>
      </c>
      <c r="E5" s="14">
        <f ca="1">IFERROR(_xlfn.RANK.EQ(E$7,$C$7:$F$7),"―")</f>
        <v>1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20" t="str">
        <f ca="1">IF(ISERROR(MJFILE()),"―",NAME(MJFILE(),0))</f>
        <v>中村花菜</v>
      </c>
      <c r="D6" s="20" t="str">
        <f ca="1">IF(ISERROR(MJFILE()),"―",NAME(MJFILE(),1))</f>
        <v>清水遙斗</v>
      </c>
      <c r="E6" s="15" t="str">
        <f ca="1">IF(ISERROR(MJFILE()),"―",NAME(MJFILE(),2))</f>
        <v>阿部修二朗</v>
      </c>
      <c r="F6" s="21" t="str">
        <f ca="1">IF(ISERROR(MJFILE()),"―",NAME(MJFILE(),3))</f>
        <v>佐藤成浩</v>
      </c>
    </row>
    <row r="7" spans="1:6" ht="103" x14ac:dyDescent="0.55000000000000004">
      <c r="B7" s="4" t="s">
        <v>3</v>
      </c>
      <c r="C7" s="22">
        <f ca="1">IF(ISERROR(MJFILE()),"―",POINT(MJFILE(),0,4))</f>
        <v>23500</v>
      </c>
      <c r="D7" s="22">
        <f ca="1">IF(ISERROR(MJFILE()),"―",POINT(MJFILE(),1,4))</f>
        <v>36400</v>
      </c>
      <c r="E7" s="16">
        <f ca="1">IF(ISERROR(MJFILE()),"―",POINT(MJFILE(),2,4))</f>
        <v>37100</v>
      </c>
      <c r="F7" s="23">
        <f ca="1">IF(ISERROR(MJFILE()),"―",POINT(MJFILE(),3,4))</f>
        <v>3000</v>
      </c>
    </row>
    <row r="8" spans="1:6" ht="65" thickBot="1" x14ac:dyDescent="0.6">
      <c r="B8" s="5" t="s">
        <v>4</v>
      </c>
      <c r="C8" s="24">
        <f ca="1">IF(ISERROR(MJFILE()),"―",score(MJFILE(),0))</f>
        <v>-16.5</v>
      </c>
      <c r="D8" s="24">
        <f ca="1">IF(ISERROR(MJFILE()),"―",score(MJFILE(),1))</f>
        <v>16.399999999999999</v>
      </c>
      <c r="E8" s="17">
        <f ca="1">IF(ISERROR(MJFILE()),"―",score(MJFILE(),2))</f>
        <v>57.1</v>
      </c>
      <c r="F8" s="25">
        <f ca="1">IF(ISERROR(MJFILE()),"―",score(MJFILE(),3))</f>
        <v>-57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18600</v>
      </c>
      <c r="F10" s="12">
        <f ca="1">IF(ISERROR(MJFILE()),"―",IF(POINT(MJFILE(),3,1)=0,"",POINT(MJFILE(),3,1)+POINT(MJFILE(),3,3)))</f>
        <v>-18600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9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1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6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6" name="Furo4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46044.766435185185</v>
      </c>
    </row>
    <row r="2" spans="1:1" x14ac:dyDescent="0.55000000000000004">
      <c r="A2" s="2">
        <v>3.1828703703703702E-3</v>
      </c>
    </row>
    <row r="3" spans="1:1" x14ac:dyDescent="0.55000000000000004">
      <c r="A3" s="2">
        <v>3.1828703703703702E-3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2026-01-22T09:23:40Z</dcterms:modified>
</cp:coreProperties>
</file>