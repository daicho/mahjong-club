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51306658-FAAB-41EB-92C8-B5EEF6DD1B97}" xr6:coauthVersionLast="47" xr6:coauthVersionMax="47" xr10:uidLastSave="{00000000-0000-0000-0000-000000000000}"/>
  <bookViews>
    <workbookView showHorizontalScroll="0" showVerticalScroll="0" showSheetTabs="0" xWindow="-110" yWindow="-110" windowWidth="19420" windowHeight="122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F6" i="1"/>
  <c r="E6" i="1"/>
  <c r="C10" i="1"/>
  <c r="C7" i="1"/>
  <c r="C11" i="1"/>
  <c r="C3" i="1"/>
  <c r="D3" i="1"/>
  <c r="D7" i="1"/>
  <c r="D10" i="1"/>
  <c r="D11" i="1"/>
  <c r="F11" i="1"/>
  <c r="F7" i="1"/>
  <c r="F10" i="1"/>
  <c r="E11" i="1"/>
  <c r="E7" i="1"/>
  <c r="E10" i="1"/>
  <c r="D5" i="1" l="1"/>
  <c r="F5" i="1"/>
  <c r="C5" i="1"/>
  <c r="E5" i="1"/>
  <c r="E8" i="1"/>
  <c r="F8" i="1"/>
  <c r="D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<sst xmlns="http://schemas.openxmlformats.org/spreadsheetml/2006/main" count="5" uniqueCount="5">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</sst>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1.6168981481481482E-2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4">
        <f ca="1">IFERROR(_xlfn.RANK.EQ(D$7,$C$7:$F$7),"―")</f>
        <v>3</v>
      </c>
      <c r="E5" s="14">
        <f ca="1">IFERROR(_xlfn.RANK.EQ(E$7,$C$7:$F$7),"―")</f>
        <v>4</v>
      </c>
      <c r="F5" s="15">
        <f ca="1">IFERROR(_xlfn.RANK.EQ(F$7,$C$7:$F$7),"―")</f>
        <v>2</v>
      </c>
    </row>
    <row r="6" spans="1:6" ht="103" x14ac:dyDescent="0.55000000000000004">
      <c r="B6" s="4" t="s">
        <v>2</v>
      </c>
      <c r="C6" s="16" t="str">
        <f ca="1">IF(ISERROR(MJFILE()),"―",NAME(MJFILE(),0))</f>
        <v>山田夏寿希</v>
      </c>
      <c r="D6" s="16" t="str">
        <f ca="1">IF(ISERROR(MJFILE()),"―",NAME(MJFILE(),1))</f>
        <v>前田卓美</v>
      </c>
      <c r="E6" s="16" t="str">
        <f ca="1">IF(ISERROR(MJFILE()),"―",NAME(MJFILE(),2))</f>
        <v>阿部修二朗</v>
      </c>
      <c r="F6" s="17" t="str">
        <f ca="1">IF(ISERROR(MJFILE()),"―",NAME(MJFILE(),3))</f>
        <v>清水遙斗</v>
      </c>
    </row>
    <row r="7" spans="1:6" ht="103" x14ac:dyDescent="0.55000000000000004">
      <c r="B7" s="4" t="s">
        <v>3</v>
      </c>
      <c r="C7" s="18">
        <f ca="1">IF(ISERROR(MJFILE()),"―",POINT(MJFILE(),0,4))</f>
        <v>34700</v>
      </c>
      <c r="D7" s="18">
        <f ca="1">IF(ISERROR(MJFILE()),"―",POINT(MJFILE(),1,4))</f>
        <v>19800</v>
      </c>
      <c r="E7" s="18">
        <f ca="1">IF(ISERROR(MJFILE()),"―",POINT(MJFILE(),2,4))</f>
        <v>19700</v>
      </c>
      <c r="F7" s="19">
        <f ca="1">IF(ISERROR(MJFILE()),"―",POINT(MJFILE(),3,4))</f>
        <v>25800</v>
      </c>
    </row>
    <row r="8" spans="1:6" ht="65" thickBot="1" x14ac:dyDescent="0.6">
      <c r="B8" s="5" t="s">
        <v>4</v>
      </c>
      <c r="C8" s="20">
        <f ca="1">IF(ISERROR(MJFILE()),"―",score(MJFILE(),0))</f>
        <v>54.7</v>
      </c>
      <c r="D8" s="20">
        <f ca="1">IF(ISERROR(MJFILE()),"―",score(MJFILE(),1))</f>
        <v>-20.2</v>
      </c>
      <c r="E8" s="20">
        <f ca="1">IF(ISERROR(MJFILE()),"―",score(MJFILE(),2))</f>
        <v>-40.299999999999997</v>
      </c>
      <c r="F8" s="21">
        <f ca="1">IF(ISERROR(MJFILE()),"―",score(MJFILE(),3))</f>
        <v>5.8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1900</v>
      </c>
      <c r="D10" s="12">
        <f ca="1">IF(ISERROR(MJFILE()),"―",IF(POINT(MJFILE(),1,1)=0,"",POINT(MJFILE(),1,1)+POINT(MJFILE(),1,3)))</f>
        <v>-1900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3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3" name="Richi2"/>
      </mc:Fallback>
    </mc:AlternateContent>
    <mc:AlternateContent xmlns:mc="http://schemas.openxmlformats.org/markup-compatibility/2006">
      <mc:Choice Requires="x14">
        <control shapeId="1239" r:id="rId14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4" name="Furo1"/>
      </mc:Fallback>
    </mc:AlternateContent>
    <mc:AlternateContent xmlns:mc="http://schemas.openxmlformats.org/markup-compatibility/2006">
      <mc:Choice Requires="x14">
        <control shapeId="1238" r:id="rId15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5" name="Richi1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46241.73097222222</v>
      </c>
    </row>
    <row r="2" spans="1:1" x14ac:dyDescent="0.55000000000000004">
      <c r="A2" s="2">
        <v>1.6168981481481482E-2</v>
      </c>
    </row>
    <row r="3" spans="1:1" x14ac:dyDescent="0.55000000000000004">
      <c r="A3" s="2">
        <v>1.6168981481481482E-2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2026-08-07T09:28:03Z</dcterms:modified>
</cp:coreProperties>
</file>