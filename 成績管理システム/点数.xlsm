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5A0ED96D-02BE-45DB-9318-94D9D268391D}" xr6:coauthVersionLast="41" xr6:coauthVersionMax="41" xr10:uidLastSave="{00000000-0000-0000-0000-000000000000}"/>
  <bookViews>
    <workbookView xWindow="-120" yWindow="-120" windowWidth="29040" windowHeight="1599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8" i="1" l="1"/>
  <c r="F7" i="1"/>
  <c r="F6" i="1"/>
  <c r="B3" i="1"/>
  <c r="E8" i="1"/>
  <c r="E7" i="1"/>
  <c r="E6" i="1"/>
  <c r="B2" i="1"/>
  <c r="D8" i="1"/>
  <c r="D7" i="1"/>
  <c r="D6" i="1"/>
  <c r="C8" i="1"/>
  <c r="C7" i="1"/>
  <c r="C6" i="1"/>
  <c r="C5" i="1" l="1"/>
  <c r="D5" i="1"/>
  <c r="E5" i="1"/>
  <c r="F5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<sst xmlns="http://schemas.openxmlformats.org/spreadsheetml/2006/main" count="4" uniqueCount="4">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</sst>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53" zoomScaleNormal="75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7" t="str">
        <f ca="1">MJINFO(MJFILE(),1)&amp;MJINFO(MJFILE(),2)&amp;"局"</f>
        <v>東1局</v>
      </c>
      <c r="C2" s="17"/>
      <c r="D2" s="17"/>
      <c r="E2" s="17"/>
      <c r="F2" s="17"/>
    </row>
    <row r="3" spans="2:6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  <c r="F3" s="16"/>
    </row>
    <row r="4" spans="2:6" ht="19.5" thickBot="1" x14ac:dyDescent="0.45"/>
    <row r="5" spans="2:6" ht="97.5" customHeight="1" x14ac:dyDescent="0.4">
      <c r="B5" s="1" t="s">
        <v>0</v>
      </c>
      <c r="C5" s="7">
        <f ca="1">_xlfn.RANK.EQ(C$7,$C$7:$F$7)</f>
        <v>1</v>
      </c>
      <c r="D5" s="8">
        <f ca="1">_xlfn.RANK.EQ(D$7,$C$7:$F$7)</f>
        <v>1</v>
      </c>
      <c r="E5" s="8">
        <f ca="1">_xlfn.RANK.EQ(E$7,$C$7:$F$7)</f>
        <v>1</v>
      </c>
      <c r="F5" s="9">
        <f ca="1">_xlfn.RANK.EQ(F$7,$C$7:$F$7)</f>
        <v>1</v>
      </c>
    </row>
    <row r="6" spans="2:6" ht="154.5" customHeight="1" x14ac:dyDescent="0.4">
      <c r="B6" s="2" t="s">
        <v>1</v>
      </c>
      <c r="C6" s="3" t="str">
        <f ca="1">NAME(MJFILE(),0)</f>
        <v>Player1</v>
      </c>
      <c r="D6" s="4" t="str">
        <f ca="1">NAME(MJFILE(),1)</f>
        <v>Player2</v>
      </c>
      <c r="E6" s="4" t="str">
        <f ca="1">NAME(MJFILE(),2)</f>
        <v>Player3</v>
      </c>
      <c r="F6" s="5" t="str">
        <f ca="1">NAME(MJFILE(),3)</f>
        <v>Player4</v>
      </c>
    </row>
    <row r="7" spans="2:6" ht="154.5" customHeight="1" x14ac:dyDescent="0.4">
      <c r="B7" s="2" t="s">
        <v>2</v>
      </c>
      <c r="C7" s="10">
        <f ca="1">POINT(MJFILE(),0)</f>
        <v>25000</v>
      </c>
      <c r="D7" s="11">
        <f ca="1">POINT(MJFILE(),1)</f>
        <v>25000</v>
      </c>
      <c r="E7" s="11">
        <f ca="1">POINT(MJFILE(),2)</f>
        <v>25000</v>
      </c>
      <c r="F7" s="12">
        <f ca="1">POINT(MJFILE(),3)</f>
        <v>25000</v>
      </c>
    </row>
    <row r="8" spans="2:6" ht="97.5" customHeight="1" thickBot="1" x14ac:dyDescent="0.45">
      <c r="B8" s="6" t="s">
        <v>3</v>
      </c>
      <c r="C8" s="13">
        <f ca="1">score(MJFILE(),0)</f>
        <v>0</v>
      </c>
      <c r="D8" s="14">
        <f ca="1">score(MJFILE(),1)</f>
        <v>0</v>
      </c>
      <c r="E8" s="14">
        <f ca="1">score(MJFILE(),2)</f>
        <v>0</v>
      </c>
      <c r="F8" s="15">
        <f ca="1">score(MJFILE(),3)</f>
        <v>0</v>
      </c>
    </row>
  </sheetData>
  <mergeCells count="2">
    <mergeCell ref="B3:F3"/>
    <mergeCell ref="B2:F2"/>
  </mergeCells>
  <phoneticPr fontId="1"/>
  <conditionalFormatting sqref="C5:C8 E5:F8">
    <cfRule type="expression" dxfId="2" priority="2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2019-11-02T01:24:30Z</dcterms:modified>
</cp:coreProperties>
</file>