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70EF767D-1442-4ABD-86B3-15CF7C0301B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D7" i="1" l="1"/>
  <c r="D11" i="1"/>
  <c r="D10" i="1"/>
  <c r="F7" i="1"/>
  <c r="F10" i="1"/>
  <c r="F11" i="1"/>
  <c r="C10" i="1" l="1"/>
  <c r="C7" i="1"/>
  <c r="C11" i="1"/>
  <c r="E10" i="1"/>
  <c r="E11" i="1"/>
  <c r="E7" i="1"/>
  <c r="E5" i="1" l="1"/>
  <c r="D5" i="1"/>
  <c r="C5" i="1"/>
  <c r="F5" i="1"/>
  <c r="C3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<sst xmlns="http://schemas.openxmlformats.org/spreadsheetml/2006/main" count="5" uniqueCount="5">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</sst>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1</v>
      </c>
      <c r="D5" s="14">
        <f ca="1">IFERROR(_xlfn.RANK.EQ(D$7,$C$7:$F$7),"―")</f>
        <v>3</v>
      </c>
      <c r="E5" s="18">
        <f ca="1">IFERROR(_xlfn.RANK.EQ(E$7,$C$7:$F$7),"―")</f>
        <v>2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清水常緑</v>
      </c>
      <c r="D6" s="15" t="str">
        <f ca="1">IF(ISERROR(MJFILE()),"―",NAME(MJFILE(),1))</f>
        <v>高橋英将</v>
      </c>
      <c r="E6" s="20" t="str">
        <f ca="1">IF(ISERROR(MJFILE()),"―",NAME(MJFILE(),2))</f>
        <v>所附快和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2">
        <f ca="1">IF(ISERROR(MJFILE()),"―",POINT(MJFILE(),0,4))</f>
        <v>40000</v>
      </c>
      <c r="D7" s="16">
        <f ca="1">IF(ISERROR(MJFILE()),"―",POINT(MJFILE(),1,4))</f>
        <v>12900</v>
      </c>
      <c r="E7" s="22">
        <f ca="1">IF(ISERROR(MJFILE()),"―",POINT(MJFILE(),2,4))</f>
        <v>35000</v>
      </c>
      <c r="F7" s="23">
        <f ca="1">IF(ISERROR(MJFILE()),"―",POINT(MJFILE(),3,4))</f>
        <v>12100</v>
      </c>
    </row>
    <row r="8" spans="1:6" ht="65" thickBot="1" x14ac:dyDescent="0.6">
      <c r="B8" s="5" t="s">
        <v>4</v>
      </c>
      <c r="C8" s="24">
        <f ca="1">IF(ISERROR(MJFILE()),"―",score(MJFILE(),0))</f>
        <v>60</v>
      </c>
      <c r="D8" s="17">
        <f ca="1">IF(ISERROR(MJFILE()),"―",score(MJFILE(),1))</f>
        <v>-27.1</v>
      </c>
      <c r="E8" s="24">
        <f ca="1">IF(ISERROR(MJFILE()),"―",score(MJFILE(),2))</f>
        <v>15</v>
      </c>
      <c r="F8" s="25">
        <f ca="1">IF(ISERROR(MJFILE()),"―",score(MJFILE(),3))</f>
        <v>-47.9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-2800</v>
      </c>
      <c r="D10" s="12">
        <f ca="1">IF(ISERROR(MJFILE()),"―",IF(POINT(MJFILE(),1,1)=0,"",POINT(MJFILE(),1,1)+POINT(MJFILE(),1,3)))</f>
        <v>5800</v>
      </c>
      <c r="E10" s="12">
        <f ca="1">IF(ISERROR(MJFILE()),"―",IF(POINT(MJFILE(),2,1)=0,"",POINT(MJFILE(),2,1)+POINT(MJFILE(),2,3)))</f>
        <v>-1500</v>
      </c>
      <c r="F10" s="12">
        <f ca="1">IF(ISERROR(MJFILE()),"―",IF(POINT(MJFILE(),3,1)=0,"",POINT(MJFILE(),3,1)+POINT(MJFILE(),3,3)))</f>
        <v>-1500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1000</v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45596.727673611109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2024-10-31T09:19:11Z</dcterms:modified>
</cp:coreProperties>
</file>