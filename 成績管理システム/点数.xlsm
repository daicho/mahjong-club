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24F92AEF-9428-40FF-828E-C14B6732B29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11" i="1" l="1"/>
  <c r="C10" i="1"/>
  <c r="C7" i="1"/>
  <c r="D3" i="1"/>
  <c r="C3" i="1" l="1"/>
  <c r="D11" i="1"/>
  <c r="D10" i="1"/>
  <c r="D7" i="1"/>
  <c r="F11" i="1" l="1"/>
  <c r="F7" i="1"/>
  <c r="F10" i="1"/>
  <c r="E10" i="1" l="1"/>
  <c r="E7" i="1"/>
  <c r="E11" i="1"/>
  <c r="C5" i="1" l="1"/>
  <c r="D5" i="1"/>
  <c r="E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<sst xmlns="http://schemas.openxmlformats.org/spreadsheetml/2006/main" count="5" uniqueCount="5">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</sst>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8">
        <f ca="1">IFERROR(_xlfn.RANK.EQ(D$7,$C$7:$F$7),"―")</f>
        <v>2</v>
      </c>
      <c r="E5" s="14">
        <f ca="1">IFERROR(_xlfn.RANK.EQ(E$7,$C$7:$F$7),"―")</f>
        <v>3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中村花菜</v>
      </c>
      <c r="D6" s="20" t="str">
        <f ca="1">IF(ISERROR(MJFILE()),"―",NAME(MJFILE(),1))</f>
        <v>所附快和</v>
      </c>
      <c r="E6" s="15" t="str">
        <f ca="1">IF(ISERROR(MJFILE()),"―",NAME(MJFILE(),2))</f>
        <v>清水常緑</v>
      </c>
      <c r="F6" s="21" t="str">
        <f ca="1">IF(ISERROR(MJFILE()),"―",NAME(MJFILE(),3))</f>
        <v>高橋英将</v>
      </c>
    </row>
    <row r="7" spans="1:6" ht="103" x14ac:dyDescent="0.55000000000000004">
      <c r="B7" s="4" t="s">
        <v>3</v>
      </c>
      <c r="C7" s="22">
        <f ca="1">IF(ISERROR(MJFILE()),"―",POINT(MJFILE(),0,4))</f>
        <v>22200</v>
      </c>
      <c r="D7" s="22">
        <f ca="1">IF(ISERROR(MJFILE()),"―",POINT(MJFILE(),1,4))</f>
        <v>26000</v>
      </c>
      <c r="E7" s="16">
        <f ca="1">IF(ISERROR(MJFILE()),"―",POINT(MJFILE(),2,4))</f>
        <v>25400</v>
      </c>
      <c r="F7" s="23">
        <f ca="1">IF(ISERROR(MJFILE()),"―",POINT(MJFILE(),3,4))</f>
        <v>26400</v>
      </c>
    </row>
    <row r="8" spans="1:6" ht="65" thickBot="1" x14ac:dyDescent="0.6">
      <c r="B8" s="5" t="s">
        <v>4</v>
      </c>
      <c r="C8" s="24">
        <f ca="1">IF(ISERROR(MJFILE()),"―",score(MJFILE(),0))</f>
        <v>-37.799999999999997</v>
      </c>
      <c r="D8" s="24">
        <f ca="1">IF(ISERROR(MJFILE()),"―",score(MJFILE(),1))</f>
        <v>6</v>
      </c>
      <c r="E8" s="17">
        <f ca="1">IF(ISERROR(MJFILE()),"―",score(MJFILE(),2))</f>
        <v>-14.6</v>
      </c>
      <c r="F8" s="25">
        <f ca="1">IF(ISERROR(MJFILE()),"―",score(MJFILE(),3))</f>
        <v>46.4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-2600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2600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45632.734826388885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2024-12-06T09:26:23Z</dcterms:modified>
</cp:coreProperties>
</file>