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9FE6112D-A986-436C-A2B4-7BBDADD9D59C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C3" i="1" l="1"/>
  <c r="D11" i="1" l="1"/>
  <c r="D10" i="1"/>
  <c r="D7" i="1"/>
  <c r="E11" i="1"/>
  <c r="E10" i="1"/>
  <c r="E7" i="1"/>
  <c r="F7" i="1" l="1"/>
  <c r="F10" i="1"/>
  <c r="F11" i="1"/>
  <c r="C11" i="1" l="1"/>
  <c r="C10" i="1"/>
  <c r="C7" i="1"/>
  <c r="F8" i="1"/>
  <c r="D5" i="1" l="1"/>
  <c r="F5" i="1"/>
  <c r="C5" i="1"/>
  <c r="E5" i="1"/>
  <c r="D8" i="1"/>
  <c r="C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<sst xmlns="http://schemas.openxmlformats.org/spreadsheetml/2006/main" count="5" uniqueCount="5">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</sst>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1.0300925925925927E-2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4</v>
      </c>
      <c r="D5" s="14">
        <f ca="1">IFERROR(_xlfn.RANK.EQ(D$7,$C$7:$F$7),"―")</f>
        <v>2</v>
      </c>
      <c r="E5" s="18">
        <f ca="1">IFERROR(_xlfn.RANK.EQ(E$7,$C$7:$F$7),"―")</f>
        <v>1</v>
      </c>
      <c r="F5" s="19">
        <f ca="1">IFERROR(_xlfn.RANK.EQ(F$7,$C$7:$F$7),"―")</f>
        <v>3</v>
      </c>
    </row>
    <row r="6" spans="1:6" ht="103.2" x14ac:dyDescent="0.45">
      <c r="B6" s="4" t="s">
        <v>2</v>
      </c>
      <c r="C6" s="20" t="str">
        <f ca="1">IF(ISERROR(MJFILE()),"―",NAME(MJFILE(),0))</f>
        <v>中村季暉</v>
      </c>
      <c r="D6" s="15" t="str">
        <f ca="1">IF(ISERROR(MJFILE()),"―",NAME(MJFILE(),1))</f>
        <v>山本悠介</v>
      </c>
      <c r="E6" s="20" t="str">
        <f ca="1">IF(ISERROR(MJFILE()),"―",NAME(MJFILE(),2))</f>
        <v>塩入悠</v>
      </c>
      <c r="F6" s="21" t="str">
        <f ca="1">IF(ISERROR(MJFILE()),"―",NAME(MJFILE(),3))</f>
        <v>宮澤七星</v>
      </c>
    </row>
    <row r="7" spans="1:6" ht="103.2" x14ac:dyDescent="0.45">
      <c r="B7" s="4" t="s">
        <v>3</v>
      </c>
      <c r="C7" s="22">
        <f ca="1">IF(ISERROR(MJFILE()),"―",POINT(MJFILE(),0,4))</f>
        <v>15200</v>
      </c>
      <c r="D7" s="16">
        <f ca="1">IF(ISERROR(MJFILE()),"―",POINT(MJFILE(),1,4))</f>
        <v>26200</v>
      </c>
      <c r="E7" s="22">
        <f ca="1">IF(ISERROR(MJFILE()),"―",POINT(MJFILE(),2,4))</f>
        <v>38600</v>
      </c>
      <c r="F7" s="23">
        <f ca="1">IF(ISERROR(MJFILE()),"―",POINT(MJFILE(),3,4))</f>
        <v>20000</v>
      </c>
    </row>
    <row r="8" spans="1:6" ht="65.400000000000006" thickBot="1" x14ac:dyDescent="0.5">
      <c r="B8" s="5" t="s">
        <v>4</v>
      </c>
      <c r="C8" s="24">
        <f ca="1">IF(ISERROR(MJFILE()),"―",score(MJFILE(),0))</f>
        <v>-44.8</v>
      </c>
      <c r="D8" s="17">
        <f ca="1">IF(ISERROR(MJFILE()),"―",score(MJFILE(),1))</f>
        <v>6.2</v>
      </c>
      <c r="E8" s="24">
        <f ca="1">IF(ISERROR(MJFILE()),"―",score(MJFILE(),2))</f>
        <v>58.6</v>
      </c>
      <c r="F8" s="25">
        <f ca="1">IF(ISERROR(MJFILE()),"―",score(MJFILE(),3))</f>
        <v>-20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-5800</v>
      </c>
      <c r="D10" s="12">
        <f ca="1">IF(ISERROR(MJFILE()),"―",IF(POINT(MJFILE(),1,1)=0,"",POINT(MJFILE(),1,1)+POINT(MJFILE(),1,3)))</f>
        <v>5800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45202.769224537034</v>
      </c>
    </row>
    <row r="2" spans="1:1" x14ac:dyDescent="0.45">
      <c r="A2" s="2">
        <v>1.0300925925925927E-2</v>
      </c>
    </row>
    <row r="3" spans="1:1" x14ac:dyDescent="0.45">
      <c r="A3" s="2">
        <v>1.0300925925925927E-2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2023-10-03T09:27:41Z</dcterms:modified>
</cp:coreProperties>
</file>