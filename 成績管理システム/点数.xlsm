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GitHub\mahjong-club\成績管理システム\"/>
    </mc:Choice>
  </mc:AlternateContent>
  <xr:revisionPtr revIDLastSave="0" documentId="13_ncr:1_{B5C54919-C7BE-43C8-9657-38D857B5ED20}" xr6:coauthVersionLast="45" xr6:coauthVersionMax="45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C6" i="1"/>
  <c r="F6" i="1"/>
  <c r="C7" i="1" l="1"/>
  <c r="C11" i="1"/>
  <c r="C10" i="1"/>
  <c r="C3" i="1"/>
  <c r="D3" i="1"/>
  <c r="D10" i="1" l="1"/>
  <c r="D11" i="1"/>
  <c r="D7" i="1"/>
  <c r="F10" i="1" l="1"/>
  <c r="F11" i="1"/>
  <c r="F7" i="1"/>
  <c r="E11" i="1" l="1"/>
  <c r="E7" i="1"/>
  <c r="E10" i="1"/>
  <c r="C5" i="1" l="1"/>
  <c r="F5" i="1"/>
  <c r="D5" i="1"/>
  <c r="E5" i="1"/>
  <c r="C8" i="1"/>
  <c r="E8" i="1"/>
  <c r="D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<sst xmlns="http://schemas.openxmlformats.org/spreadsheetml/2006/main" count="5" uniqueCount="5">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</sst>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西1局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24">
        <f ca="1">IFERROR(_xlfn.RANK.EQ(C$7,$C$7:$F$7),"―")</f>
        <v>2</v>
      </c>
      <c r="D5" s="16">
        <f ca="1">IFERROR(_xlfn.RANK.EQ(D$7,$C$7:$F$7),"―")</f>
        <v>3</v>
      </c>
      <c r="E5" s="16">
        <f ca="1">IFERROR(_xlfn.RANK.EQ(E$7,$C$7:$F$7),"―")</f>
        <v>4</v>
      </c>
      <c r="F5" s="20">
        <f ca="1">IFERROR(_xlfn.RANK.EQ(F$7,$C$7:$F$7),"―")</f>
        <v>1</v>
      </c>
    </row>
    <row r="6" spans="1:6" ht="103.5" x14ac:dyDescent="0.4">
      <c r="B6" s="4" t="s">
        <v>2</v>
      </c>
      <c r="C6" s="25" t="str">
        <f ca="1">IF(ISERROR(MJFILE()),"―",NAME(MJFILE(),0))</f>
        <v>多田洋輔</v>
      </c>
      <c r="D6" s="17" t="str">
        <f ca="1">IF(ISERROR(MJFILE()),"―",NAME(MJFILE(),1))</f>
        <v>川上翔大</v>
      </c>
      <c r="E6" s="17" t="str">
        <f ca="1">IF(ISERROR(MJFILE()),"―",NAME(MJFILE(),2))</f>
        <v>百瀬成空</v>
      </c>
      <c r="F6" s="21" t="str">
        <f ca="1">IF(ISERROR(MJFILE()),"―",NAME(MJFILE(),3))</f>
        <v>佐藤成浩</v>
      </c>
    </row>
    <row r="7" spans="1:6" ht="103.5" x14ac:dyDescent="0.4">
      <c r="B7" s="4" t="s">
        <v>3</v>
      </c>
      <c r="C7" s="26">
        <f ca="1">IF(ISERROR(MJFILE()),"―",POINT(MJFILE(),0,4))</f>
        <v>23600</v>
      </c>
      <c r="D7" s="18">
        <f ca="1">IF(ISERROR(MJFILE()),"―",POINT(MJFILE(),1,4))</f>
        <v>22800</v>
      </c>
      <c r="E7" s="18">
        <f ca="1">IF(ISERROR(MJFILE()),"―",POINT(MJFILE(),2,4))</f>
        <v>20500</v>
      </c>
      <c r="F7" s="22">
        <f ca="1">IF(ISERROR(MJFILE()),"―",POINT(MJFILE(),3,4))</f>
        <v>33100</v>
      </c>
    </row>
    <row r="8" spans="1:6" ht="65.25" thickBot="1" x14ac:dyDescent="0.45">
      <c r="B8" s="5" t="s">
        <v>4</v>
      </c>
      <c r="C8" s="27">
        <f ca="1">IF(ISERROR(MJFILE()),"―",score(MJFILE(),0))</f>
        <v>3.5999999999999996</v>
      </c>
      <c r="D8" s="19">
        <f ca="1">IF(ISERROR(MJFILE()),"―",score(MJFILE(),1))</f>
        <v>-17.2</v>
      </c>
      <c r="E8" s="19">
        <f ca="1">IF(ISERROR(MJFILE()),"―",score(MJFILE(),2))</f>
        <v>-39.5</v>
      </c>
      <c r="F8" s="23">
        <f ca="1">IF(ISERROR(MJFILE()),"―",score(MJFILE(),3))</f>
        <v>53.1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-2000</v>
      </c>
      <c r="D10" s="12">
        <f ca="1">IF(ISERROR(MJFILE()),"―",IF(POINT(MJFILE(),1,1)=0,"",POINT(MJFILE(),1,1)+POINT(MJFILE(),1,3)))</f>
        <v>8000</v>
      </c>
      <c r="E10" s="12">
        <f ca="1">IF(ISERROR(MJFILE()),"―",IF(POINT(MJFILE(),2,1)=0,"",POINT(MJFILE(),2,1)+POINT(MJFILE(),2,3)))</f>
        <v>-2000</v>
      </c>
      <c r="F10" s="12">
        <f ca="1">IF(ISERROR(MJFILE()),"―",IF(POINT(MJFILE(),3,1)=0,"",POINT(MJFILE(),3,1)+POINT(MJFILE(),3,3)))</f>
        <v>-4000</v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44141.727997685186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2019-12-01T05:59:05Z</cp:lastPrinted>
  <dcterms:created xsi:type="dcterms:W3CDTF">2019-06-06T00:02:58Z</dcterms:created>
  <dcterms:modified xsi:type="dcterms:W3CDTF">2020-11-06T09:17:40Z</dcterms:modified>
</cp:coreProperties>
</file>