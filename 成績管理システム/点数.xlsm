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"/>
    </mc:Choice>
  </mc:AlternateContent>
  <xr:revisionPtr revIDLastSave="0" documentId="13_ncr:1_{D59A6DAA-7057-4F0B-80E0-240F32F50596}" xr6:coauthVersionLast="47" xr6:coauthVersionMax="47" xr10:uidLastSave="{00000000-0000-0000-0000-000000000000}"/>
  <bookViews>
    <workbookView showHorizontalScroll="0" showVerticalScroll="0" showSheetTabs="0" xWindow="-110" yWindow="-110" windowWidth="19420" windowHeight="1222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6" i="1"/>
  <c r="E6" i="1"/>
  <c r="C6" i="1"/>
  <c r="F6" i="1"/>
  <c r="D3" i="1" l="1"/>
  <c r="C3" i="1" l="1"/>
  <c r="F8" i="1" l="1"/>
  <c r="F11" i="1"/>
  <c r="F10" i="1"/>
  <c r="F7" i="1"/>
  <c r="F5" i="1" s="1"/>
  <c r="E7" i="1"/>
  <c r="E5" i="1" s="1"/>
  <c r="E11" i="1"/>
  <c r="E10" i="1"/>
  <c r="D7" i="1"/>
  <c r="D5" i="1" s="1"/>
  <c r="D10" i="1"/>
  <c r="D11" i="1"/>
  <c r="C10" i="1"/>
  <c r="C11" i="1"/>
  <c r="C7" i="1"/>
  <c r="C5" i="1" s="1"/>
  <c r="E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<sst xmlns="http://schemas.openxmlformats.org/spreadsheetml/2006/main" count="5" uniqueCount="5">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</sst>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image" Target="../media/image3.emf"/><Relationship Id="rId1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topLeftCell="A2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東4局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4">
        <f ca="1">IFERROR(_xlfn.RANK.EQ(C$7,$C$7:$F$7),"―")</f>
        <v>1</v>
      </c>
      <c r="D5" s="14">
        <f ca="1">IFERROR(_xlfn.RANK.EQ(D$7,$C$7:$F$7),"―")</f>
        <v>4</v>
      </c>
      <c r="E5" s="14">
        <f ca="1">IFERROR(_xlfn.RANK.EQ(E$7,$C$7:$F$7),"―")</f>
        <v>2</v>
      </c>
      <c r="F5" s="15">
        <f ca="1">IFERROR(_xlfn.RANK.EQ(F$7,$C$7:$F$7),"―")</f>
        <v>3</v>
      </c>
    </row>
    <row r="6" spans="1:6" ht="103" x14ac:dyDescent="0.55000000000000004">
      <c r="B6" s="4" t="s">
        <v>2</v>
      </c>
      <c r="C6" s="16" t="str">
        <f ca="1">IF(ISERROR(MJFILE()),"―",NAME(MJFILE(),0))</f>
        <v>前田卓美</v>
      </c>
      <c r="D6" s="16" t="str">
        <f ca="1">IF(ISERROR(MJFILE()),"―",NAME(MJFILE(),1))</f>
        <v>阿部修二朗</v>
      </c>
      <c r="E6" s="16" t="str">
        <f ca="1">IF(ISERROR(MJFILE()),"―",NAME(MJFILE(),2))</f>
        <v>中村花菜</v>
      </c>
      <c r="F6" s="17" t="str">
        <f ca="1">IF(ISERROR(MJFILE()),"―",NAME(MJFILE(),3))</f>
        <v>山本悠介</v>
      </c>
    </row>
    <row r="7" spans="1:6" ht="103" x14ac:dyDescent="0.55000000000000004">
      <c r="B7" s="4" t="s">
        <v>3</v>
      </c>
      <c r="C7" s="18">
        <f ca="1">IF(ISERROR(MJFILE()),"―",POINT(MJFILE(),0,4))</f>
        <v>38800</v>
      </c>
      <c r="D7" s="18">
        <f ca="1">IF(ISERROR(MJFILE()),"―",POINT(MJFILE(),1,4))</f>
        <v>13500</v>
      </c>
      <c r="E7" s="18">
        <f ca="1">IF(ISERROR(MJFILE()),"―",POINT(MJFILE(),2,4))</f>
        <v>33600</v>
      </c>
      <c r="F7" s="19">
        <f ca="1">IF(ISERROR(MJFILE()),"―",POINT(MJFILE(),3,4))</f>
        <v>14100</v>
      </c>
    </row>
    <row r="8" spans="1:6" ht="65" thickBot="1" x14ac:dyDescent="0.6">
      <c r="B8" s="5" t="s">
        <v>4</v>
      </c>
      <c r="C8" s="20">
        <f ca="1">IF(ISERROR(MJFILE()),"―",score(MJFILE(),0))</f>
        <v>58.8</v>
      </c>
      <c r="D8" s="20">
        <f ca="1">IF(ISERROR(MJFILE()),"―",score(MJFILE(),1))</f>
        <v>-46.5</v>
      </c>
      <c r="E8" s="20">
        <f ca="1">IF(ISERROR(MJFILE()),"―",score(MJFILE(),2))</f>
        <v>13.6</v>
      </c>
      <c r="F8" s="21">
        <f ca="1">IF(ISERROR(MJFILE()),"―",score(MJFILE(),3))</f>
        <v>-25.9</v>
      </c>
    </row>
    <row r="9" spans="1:6" ht="12" customHeight="1" x14ac:dyDescent="0.55000000000000004"/>
    <row r="10" spans="1:6" ht="58.5" customHeight="1" x14ac:dyDescent="0.55000000000000004">
      <c r="C10" s="12">
        <f ca="1">IF(ISERROR(MJFILE()),"―",IF(POINT(MJFILE(),0,1)=0,"",POINT(MJFILE(),0,1)+POINT(MJFILE(),0,3)))</f>
        <v>2000</v>
      </c>
      <c r="D10" s="12">
        <f ca="1">IF(ISERROR(MJFILE()),"―",IF(POINT(MJFILE(),1,1)=0,"",POINT(MJFILE(),1,1)+POINT(MJFILE(),1,3)))</f>
        <v>-2000</v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5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9" name="Furo2">
          <controlPr defaultSize="0" autoLine="0" r:id="rId7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9" name="Furo2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5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3" r:id="rId11" name="Furo3">
          <controlPr defaultSize="0" autoLine="0" r:id="rId12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11" name="Furo3"/>
      </mc:Fallback>
    </mc:AlternateContent>
    <mc:AlternateContent xmlns:mc="http://schemas.openxmlformats.org/markup-compatibility/2006">
      <mc:Choice Requires="x14">
        <control shapeId="1244" r:id="rId13" name="Richi4">
          <controlPr defaultSize="0" autoLine="0" r:id="rId5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13" name="Richi4"/>
      </mc:Fallback>
    </mc:AlternateContent>
    <mc:AlternateContent xmlns:mc="http://schemas.openxmlformats.org/markup-compatibility/2006">
      <mc:Choice Requires="x14">
        <control shapeId="1245" r:id="rId14" name="Furo4">
          <controlPr defaultSize="0" autoLine="0" r:id="rId7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14" name="Furo4"/>
      </mc:Fallback>
    </mc:AlternateContent>
    <mc:AlternateContent xmlns:mc="http://schemas.openxmlformats.org/markup-compatibility/2006">
      <mc:Choice Requires="x14">
        <control shapeId="1026" r:id="rId15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6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7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8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46318.729386574072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cp:lastPrinted>2019-12-01T05:59:05Z</cp:lastPrinted>
  <dcterms:created xsi:type="dcterms:W3CDTF">2019-06-06T00:02:58Z</dcterms:created>
  <dcterms:modified xsi:type="dcterms:W3CDTF">2026-10-23T09:27:14Z</dcterms:modified>
</cp:coreProperties>
</file>