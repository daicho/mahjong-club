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798FB0AD-A933-40C9-B8E9-535B5B37D0E7}" xr6:coauthVersionLast="41" xr6:coauthVersionMax="41" xr10:uidLastSave="{00000000-0000-0000-0000-000000000000}"/>
  <bookViews>
    <workbookView showHorizontalScroll="0" showVerticalScroll="0" showSheetTabs="0" xWindow="-120" yWindow="-120" windowWidth="29040" windowHeight="1599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D8" i="1"/>
  <c r="F7" i="1"/>
  <c r="D6" i="1"/>
  <c r="E6" i="1"/>
  <c r="D3" i="1"/>
  <c r="C6" i="1"/>
  <c r="C11" i="1"/>
  <c r="C3" i="1"/>
  <c r="E7" i="1"/>
  <c r="D7" i="1"/>
  <c r="C7" i="1"/>
  <c r="E11" i="1"/>
  <c r="C8" i="1"/>
  <c r="E10" i="1"/>
  <c r="D10" i="1"/>
  <c r="D11" i="1"/>
  <c r="F10" i="1"/>
  <c r="F11" i="1"/>
  <c r="F6" i="1"/>
  <c r="C10" i="1"/>
  <c r="F8" i="1"/>
  <c r="E8" i="1"/>
  <c r="C5" i="1" l="1"/>
  <c r="D5" i="1"/>
  <c r="F5" i="1"/>
  <c r="E5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<sst xmlns="http://schemas.openxmlformats.org/spreadsheetml/2006/main" count="5" uniqueCount="5">
  <si>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</si>
  <si>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</si>
  <si>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</si>
  <si>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</si>
  <si>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残り時間</t>
    <rPh sb="0" eb="1">
      <t>ノコ</t>
    </rPh>
    <rPh sb="2" eb="4">
      <t>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</si>
</sst>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</cellXfs>
  <cellStyles count="1">
    <cellStyle name="標準" xfId="0" builtinId="0"/>
  </cellStyles>
  <dxfs count="3">
    <dxf>
      <font>
        <color rgb="FFF00000"/>
      </font>
    </dxf>
    <dxf>
      <font>
        <color rgb="FF0000F0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00F0"/>
      <color rgb="FF0070FF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1990725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3</xdr:row>
          <xdr:rowOff>180975</xdr:rowOff>
        </xdr:from>
        <xdr:to>
          <xdr:col>2</xdr:col>
          <xdr:colOff>1895475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2066925</xdr:colOff>
          <xdr:row>3</xdr:row>
          <xdr:rowOff>180975</xdr:rowOff>
        </xdr:from>
        <xdr:to>
          <xdr:col>2</xdr:col>
          <xdr:colOff>3800475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3</xdr:row>
          <xdr:rowOff>180975</xdr:rowOff>
        </xdr:from>
        <xdr:to>
          <xdr:col>3</xdr:col>
          <xdr:colOff>1895475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2066925</xdr:colOff>
          <xdr:row>3</xdr:row>
          <xdr:rowOff>180975</xdr:rowOff>
        </xdr:from>
        <xdr:to>
          <xdr:col>3</xdr:col>
          <xdr:colOff>3800475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</xdr:row>
          <xdr:rowOff>180975</xdr:rowOff>
        </xdr:from>
        <xdr:to>
          <xdr:col>4</xdr:col>
          <xdr:colOff>1895475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2066925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3</xdr:row>
          <xdr:rowOff>180975</xdr:rowOff>
        </xdr:from>
        <xdr:to>
          <xdr:col>5</xdr:col>
          <xdr:colOff>1895475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2066925</xdr:colOff>
          <xdr:row>3</xdr:row>
          <xdr:rowOff>180975</xdr:rowOff>
        </xdr:from>
        <xdr:to>
          <xdr:col>5</xdr:col>
          <xdr:colOff>3800475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Normal="100" workbookViewId="0"/>
  </sheetViews>
  <sheetFormatPr defaultColWidth="9" defaultRowHeight="18.75" x14ac:dyDescent="0.4"/>
  <cols>
    <col min="1" max="1" width="1" style="15" customWidth="1"/>
    <col min="2" max="2" width="19.5" style="15" bestFit="1" customWidth="1"/>
    <col min="3" max="3" width="51.75" style="15" customWidth="1"/>
    <col min="4" max="6" width="51.75" style="15" bestFit="1" customWidth="1"/>
    <col min="7" max="7" width="1" style="15" customWidth="1"/>
    <col min="8" max="16384" width="9" style="15"/>
  </cols>
  <sheetData>
    <row r="1" spans="1:6" ht="12" customHeight="1" x14ac:dyDescent="0.4">
      <c r="A1" s="23"/>
    </row>
    <row r="2" spans="1:6" ht="52.5" customHeight="1" x14ac:dyDescent="0.4">
      <c r="A2" s="14"/>
    </row>
    <row r="3" spans="1:6" ht="81" customHeight="1" x14ac:dyDescent="1.25">
      <c r="C3" s="16" t="str">
        <f ca="1">MJINFO(MJFILE(),1)&amp;MJINFO(MJFILE(),2)&amp;"局"</f>
        <v>南2局</v>
      </c>
      <c r="D3" s="17" t="str">
        <f ca="1">""&amp;MJINFO(MJFILE(),3)&amp;"本場 供託"&amp;MJINFO(MJFILE(),4)</f>
        <v>2本場 供託2</v>
      </c>
      <c r="E3" s="18" t="s">
        <v>4</v>
      </c>
      <c r="F3" s="19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0</v>
      </c>
      <c r="C5" s="6">
        <f ca="1">_xlfn.RANK.EQ(C$7,$C$7:$F$7)</f>
        <v>2</v>
      </c>
      <c r="D5" s="6">
        <f ca="1">_xlfn.RANK.EQ(D$7,$C$7:$F$7)</f>
        <v>1</v>
      </c>
      <c r="E5" s="6">
        <f ca="1">_xlfn.RANK.EQ(E$7,$C$7:$F$7)</f>
        <v>4</v>
      </c>
      <c r="F5" s="7">
        <f ca="1">_xlfn.RANK.EQ(F$7,$C$7:$F$7)</f>
        <v>3</v>
      </c>
    </row>
    <row r="6" spans="1:6" ht="103.5" x14ac:dyDescent="0.4">
      <c r="B6" s="4" t="s">
        <v>1</v>
      </c>
      <c r="C6" s="10" t="str">
        <f ca="1">NAME(MJFILE(),0)</f>
        <v>松澤亮太</v>
      </c>
      <c r="D6" s="10" t="str">
        <f ca="1">NAME(MJFILE(),1)</f>
        <v>滝沢悠人</v>
      </c>
      <c r="E6" s="10" t="str">
        <f ca="1">NAME(MJFILE(),2)</f>
        <v>大池陸斗</v>
      </c>
      <c r="F6" s="11" t="str">
        <f ca="1">NAME(MJFILE(),3)</f>
        <v>百瀬成空</v>
      </c>
    </row>
    <row r="7" spans="1:6" ht="103.5" x14ac:dyDescent="0.4">
      <c r="B7" s="4" t="s">
        <v>2</v>
      </c>
      <c r="C7" s="12">
        <f ca="1">POINT(MJFILE(),0,4)</f>
        <v>31900</v>
      </c>
      <c r="D7" s="12">
        <f ca="1">POINT(MJFILE(),1,4)</f>
        <v>54900</v>
      </c>
      <c r="E7" s="12">
        <f ca="1">POINT(MJFILE(),2,4)</f>
        <v>-1700</v>
      </c>
      <c r="F7" s="13">
        <f ca="1">POINT(MJFILE(),3,4)</f>
        <v>14900</v>
      </c>
    </row>
    <row r="8" spans="1:6" ht="65.25" thickBot="1" x14ac:dyDescent="0.45">
      <c r="B8" s="5" t="s">
        <v>3</v>
      </c>
      <c r="C8" s="8">
        <f ca="1">score(MJFILE(),0)</f>
        <v>11.9</v>
      </c>
      <c r="D8" s="8">
        <f ca="1">score(MJFILE(),1)</f>
        <v>74.900000000000006</v>
      </c>
      <c r="E8" s="8">
        <f ca="1">score(MJFILE(),2)</f>
        <v>-61.7</v>
      </c>
      <c r="F8" s="9">
        <f ca="1">score(MJFILE(),3)</f>
        <v>-25.1</v>
      </c>
    </row>
    <row r="9" spans="1:6" ht="12" customHeight="1" x14ac:dyDescent="0.4"/>
    <row r="10" spans="1:6" ht="58.5" customHeight="1" x14ac:dyDescent="0.4">
      <c r="C10" s="20" t="str">
        <f ca="1">IF(POINT(MJFILE(),0,1)=0,"",POINT(MJFILE(),0,1)+POINT(MJFILE(),0,3))</f>
        <v/>
      </c>
      <c r="D10" s="20">
        <f ca="1">IF(POINT(MJFILE(),1,1)=0,"",POINT(MJFILE(),1,1)+POINT(MJFILE(),1,3))</f>
        <v>-8600</v>
      </c>
      <c r="E10" s="20" t="str">
        <f ca="1">IF(POINT(MJFILE(),2,1)=0,"",POINT(MJFILE(),2,1)+POINT(MJFILE(),2,3))</f>
        <v/>
      </c>
      <c r="F10" s="20">
        <f ca="1">IF(POINT(MJFILE(),3,1)=0,"",POINT(MJFILE(),3,1)+POINT(MJFILE(),3,3))</f>
        <v>8600</v>
      </c>
    </row>
    <row r="11" spans="1:6" ht="51" customHeight="1" x14ac:dyDescent="0.4">
      <c r="B11" s="21"/>
      <c r="C11" s="22">
        <f ca="1">IF(POINT(MJFILE(),0,2)=0,"",POINT(MJFILE(),0,2))</f>
        <v>-1000</v>
      </c>
      <c r="D11" s="22" t="str">
        <f ca="1">IF(POINT(MJFILE(),1,2)=0,"",POINT(MJFILE(),1,2))</f>
        <v/>
      </c>
      <c r="E11" s="22" t="str">
        <f ca="1">IF(POINT(MJFILE(),2,2)=0,"",POINT(MJFILE(),2,2))</f>
        <v/>
      </c>
      <c r="F11" s="22">
        <f ca="1">IF(POINT(MJFILE(),3,2)=0,"",POINT(MJFILE(),3,2))</f>
        <v>3000</v>
      </c>
    </row>
  </sheetData>
  <sheetProtection sheet="1" selectLockedCells="1" selectUnlockedCells="1"/>
  <phoneticPr fontId="1"/>
  <conditionalFormatting sqref="C5:C8 E5:F8">
    <cfRule type="expression" dxfId="2" priority="4">
      <formula>MJINFO(MJFILE(),5)=C$6</formula>
    </cfRule>
  </conditionalFormatting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2066925</xdr:colOff>
                <xdr:row>3</xdr:row>
                <xdr:rowOff>180975</xdr:rowOff>
              </from>
              <to>
                <xdr:col>5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161925</xdr:colOff>
                <xdr:row>3</xdr:row>
                <xdr:rowOff>180975</xdr:rowOff>
              </from>
              <to>
                <xdr:col>5</xdr:col>
                <xdr:colOff>1895475</xdr:colOff>
                <xdr:row>3</xdr:row>
                <xdr:rowOff>714375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2066925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161925</xdr:colOff>
                <xdr:row>3</xdr:row>
                <xdr:rowOff>180975</xdr:rowOff>
              </from>
              <to>
                <xdr:col>4</xdr:col>
                <xdr:colOff>1895475</xdr:colOff>
                <xdr:row>3</xdr:row>
                <xdr:rowOff>714375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2066925</xdr:colOff>
                <xdr:row>3</xdr:row>
                <xdr:rowOff>180975</xdr:rowOff>
              </from>
              <to>
                <xdr:col>3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161925</xdr:colOff>
                <xdr:row>3</xdr:row>
                <xdr:rowOff>180975</xdr:rowOff>
              </from>
              <to>
                <xdr:col>3</xdr:col>
                <xdr:colOff>1895475</xdr:colOff>
                <xdr:row>3</xdr:row>
                <xdr:rowOff>714375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2066925</xdr:colOff>
                <xdr:row>3</xdr:row>
                <xdr:rowOff>180975</xdr:rowOff>
              </from>
              <to>
                <xdr:col>2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161925</xdr:colOff>
                <xdr:row>3</xdr:row>
                <xdr:rowOff>180975</xdr:rowOff>
              </from>
              <to>
                <xdr:col>2</xdr:col>
                <xdr:colOff>1895475</xdr:colOff>
                <xdr:row>3</xdr:row>
                <xdr:rowOff>714375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1952625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1990725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43801.013877314814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2019-12-01T05:59:05Z</cp:lastPrinted>
  <dcterms:created xsi:type="dcterms:W3CDTF">2019-06-06T00:02:58Z</dcterms:created>
  <dcterms:modified xsi:type="dcterms:W3CDTF">2019-12-01T15:29:08Z</dcterms:modified>
</cp:coreProperties>
</file>