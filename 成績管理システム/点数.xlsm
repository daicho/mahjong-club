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hjong-club\成績管理システム\"/>
    </mc:Choice>
  </mc:AlternateContent>
  <xr:revisionPtr revIDLastSave="0" documentId="13_ncr:1_{8D450C1C-494A-418E-93E6-799DE1E2A7CD}" xr6:coauthVersionLast="47" xr6:coauthVersionMax="47" xr10:uidLastSave="{00000000-0000-0000-0000-000000000000}"/>
  <bookViews>
    <workbookView showHorizontalScroll="0" showVerticalScroll="0" showSheetTabs="0" xWindow="-110" yWindow="-110" windowWidth="19420" windowHeight="1222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F6" i="1"/>
  <c r="E6" i="1"/>
  <c r="D3" i="1"/>
  <c r="C3" i="1"/>
  <c r="C11" i="1"/>
  <c r="C7" i="1"/>
  <c r="C10" i="1"/>
  <c r="D10" i="1"/>
  <c r="D7" i="1"/>
  <c r="D11" i="1"/>
  <c r="E10" i="1"/>
  <c r="E7" i="1"/>
  <c r="E11" i="1"/>
  <c r="F11" i="1"/>
  <c r="F7" i="1"/>
  <c r="F10" i="1"/>
  <c r="E8" i="1"/>
  <c r="E5" i="1" l="1"/>
  <c r="C5" i="1"/>
  <c r="F5" i="1"/>
  <c r="D5" i="1"/>
  <c r="F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<sst xmlns="http://schemas.openxmlformats.org/spreadsheetml/2006/main" count="5" uniqueCount="5">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</sst>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1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南2局</v>
      </c>
      <c r="D3" s="9" t="str">
        <f ca="1">IF(ISERROR(MJFILE()),"―",MJINFO(MJFILE(),3)&amp;"本場 供託"&amp;MJINFO(MJFILE(),4))</f>
        <v>2本場 供託0</v>
      </c>
      <c r="E3" s="10" t="s">
        <v>0</v>
      </c>
      <c r="F3" s="11">
        <f>Setting!A3</f>
        <v>1.4351851851851852E-3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1</v>
      </c>
      <c r="D5" s="14">
        <f ca="1">IFERROR(_xlfn.RANK.EQ(D$7,$C$7:$F$7),"―")</f>
        <v>2</v>
      </c>
      <c r="E5" s="14">
        <f ca="1">IFERROR(_xlfn.RANK.EQ(E$7,$C$7:$F$7),"―")</f>
        <v>4</v>
      </c>
      <c r="F5" s="15">
        <f ca="1">IFERROR(_xlfn.RANK.EQ(F$7,$C$7:$F$7),"―")</f>
        <v>3</v>
      </c>
    </row>
    <row r="6" spans="1:6" ht="103" x14ac:dyDescent="0.55000000000000004">
      <c r="B6" s="4" t="s">
        <v>2</v>
      </c>
      <c r="C6" s="16" t="str">
        <f ca="1">IF(ISERROR(MJFILE()),"―",NAME(MJFILE(),0))</f>
        <v>山田夏寿希</v>
      </c>
      <c r="D6" s="16" t="str">
        <f ca="1">IF(ISERROR(MJFILE()),"―",NAME(MJFILE(),1))</f>
        <v>百瀬成空</v>
      </c>
      <c r="E6" s="16" t="str">
        <f ca="1">IF(ISERROR(MJFILE()),"―",NAME(MJFILE(),2))</f>
        <v>清水遙斗</v>
      </c>
      <c r="F6" s="17" t="str">
        <f ca="1">IF(ISERROR(MJFILE()),"―",NAME(MJFILE(),3))</f>
        <v>前田卓美</v>
      </c>
    </row>
    <row r="7" spans="1:6" ht="103" x14ac:dyDescent="0.55000000000000004">
      <c r="B7" s="4" t="s">
        <v>3</v>
      </c>
      <c r="C7" s="18">
        <f ca="1">IF(ISERROR(MJFILE()),"―",POINT(MJFILE(),0,4))</f>
        <v>42600</v>
      </c>
      <c r="D7" s="18">
        <f ca="1">IF(ISERROR(MJFILE()),"―",POINT(MJFILE(),1,4))</f>
        <v>26300</v>
      </c>
      <c r="E7" s="18">
        <f ca="1">IF(ISERROR(MJFILE()),"―",POINT(MJFILE(),2,4))</f>
        <v>8300</v>
      </c>
      <c r="F7" s="19">
        <f ca="1">IF(ISERROR(MJFILE()),"―",POINT(MJFILE(),3,4))</f>
        <v>22800</v>
      </c>
    </row>
    <row r="8" spans="1:6" ht="65" thickBot="1" x14ac:dyDescent="0.6">
      <c r="B8" s="5" t="s">
        <v>4</v>
      </c>
      <c r="C8" s="20">
        <f ca="1">IF(ISERROR(MJFILE()),"―",score(MJFILE(),0))</f>
        <v>62.6</v>
      </c>
      <c r="D8" s="20">
        <f ca="1">IF(ISERROR(MJFILE()),"―",score(MJFILE(),1))</f>
        <v>6.3</v>
      </c>
      <c r="E8" s="20">
        <f ca="1">IF(ISERROR(MJFILE()),"―",score(MJFILE(),2))</f>
        <v>-51.7</v>
      </c>
      <c r="F8" s="21">
        <f ca="1">IF(ISERROR(MJFILE()),"―",score(MJFILE(),3))</f>
        <v>-17.2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-3000</v>
      </c>
      <c r="D10" s="12">
        <f ca="1">IF(ISERROR(MJFILE()),"―",IF(POINT(MJFILE(),1,1)=0,"",POINT(MJFILE(),1,1)+POINT(MJFILE(),1,3)))</f>
        <v>1000</v>
      </c>
      <c r="E10" s="12">
        <f ca="1">IF(ISERROR(MJFILE()),"―",IF(POINT(MJFILE(),2,1)=0,"",POINT(MJFILE(),2,1)+POINT(MJFILE(),2,3)))</f>
        <v>1000</v>
      </c>
      <c r="F10" s="12">
        <f ca="1">IF(ISERROR(MJFILE()),"―",IF(POINT(MJFILE(),3,1)=0,"",POINT(MJFILE(),3,1)+POINT(MJFILE(),3,3)))</f>
        <v>1000</v>
      </c>
    </row>
    <row r="11" spans="1:6" ht="51" customHeight="1" x14ac:dyDescent="0.55000000000000004">
      <c r="C11" s="13">
        <f ca="1">IF(ISERROR(MJFILE()),"―",IF(POINT(MJFILE(),0,2)=0,"",POINT(MJFILE(),0,2)))</f>
        <v>2000</v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-1000</v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7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5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3" r:id="rId11" name="Furo3">
          <controlPr defaultSize="0" autoLine="0" r:id="rId12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1" name="Furo3"/>
      </mc:Fallback>
    </mc:AlternateContent>
    <mc:AlternateContent xmlns:mc="http://schemas.openxmlformats.org/markup-compatibility/2006">
      <mc:Choice Requires="x14">
        <control shapeId="1244" r:id="rId13" name="Richi4">
          <controlPr defaultSize="0" autoLine="0" r:id="rId5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3" name="Richi4"/>
      </mc:Fallback>
    </mc:AlternateContent>
    <mc:AlternateContent xmlns:mc="http://schemas.openxmlformats.org/markup-compatibility/2006">
      <mc:Choice Requires="x14">
        <control shapeId="1245" r:id="rId14" name="Furo4">
          <controlPr defaultSize="0" autoLine="0" r:id="rId7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4" name="Furo4"/>
      </mc:Fallback>
    </mc:AlternateContent>
    <mc:AlternateContent xmlns:mc="http://schemas.openxmlformats.org/markup-compatibility/2006">
      <mc:Choice Requires="x14">
        <control shapeId="1026" r:id="rId15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6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46240.752013888887</v>
      </c>
    </row>
    <row r="2" spans="1:1" x14ac:dyDescent="0.55000000000000004">
      <c r="A2" s="2">
        <v>1.4351851851851852E-3</v>
      </c>
    </row>
    <row r="3" spans="1:1" x14ac:dyDescent="0.55000000000000004">
      <c r="A3" s="2">
        <v>1.4351851851851852E-3</v>
      </c>
    </row>
    <row r="4" spans="1:1" x14ac:dyDescent="0.55000000000000004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笠原 誠_長野</cp:lastModifiedBy>
  <cp:lastPrinted>2019-12-01T05:59:05Z</cp:lastPrinted>
  <dcterms:created xsi:type="dcterms:W3CDTF">2019-06-06T00:02:58Z</dcterms:created>
  <dcterms:modified xsi:type="dcterms:W3CDTF">2026-08-06T09:35:48Z</dcterms:modified>
</cp:coreProperties>
</file>