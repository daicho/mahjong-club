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A7094F1A-0292-4993-BB3C-D734BF2F6648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10" i="1" l="1"/>
  <c r="C7" i="1"/>
  <c r="C11" i="1"/>
  <c r="C3" i="1"/>
  <c r="D3" i="1"/>
  <c r="D7" i="1" l="1"/>
  <c r="D10" i="1"/>
  <c r="D11" i="1"/>
  <c r="F11" i="1" l="1"/>
  <c r="F10" i="1"/>
  <c r="F7" i="1"/>
  <c r="E7" i="1" l="1"/>
  <c r="E10" i="1"/>
  <c r="E11" i="1"/>
  <c r="F5" i="1" l="1"/>
  <c r="D5" i="1"/>
  <c r="E5" i="1"/>
  <c r="C5" i="1"/>
  <c r="F8" i="1"/>
  <c r="D8" i="1"/>
  <c r="C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<sst xmlns="http://schemas.openxmlformats.org/spreadsheetml/2006/main" count="5" uniqueCount="5">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</sst>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B3" sqref="B3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3</v>
      </c>
      <c r="D5" s="18">
        <f ca="1">IFERROR(_xlfn.RANK.EQ(D$7,$C$7:$F$7),"―")</f>
        <v>4</v>
      </c>
      <c r="E5" s="18">
        <f ca="1">IFERROR(_xlfn.RANK.EQ(E$7,$C$7:$F$7),"―")</f>
        <v>1</v>
      </c>
      <c r="F5" s="14">
        <f ca="1">IFERROR(_xlfn.RANK.EQ(F$7,$C$7:$F$7),"―")</f>
        <v>2</v>
      </c>
    </row>
    <row r="6" spans="1:6" ht="103.2" x14ac:dyDescent="0.45">
      <c r="B6" s="4" t="s">
        <v>2</v>
      </c>
      <c r="C6" s="19" t="str">
        <f ca="1">IF(ISERROR(MJFILE()),"―",NAME(MJFILE(),0))</f>
        <v>佐藤成</v>
      </c>
      <c r="D6" s="19" t="str">
        <f ca="1">IF(ISERROR(MJFILE()),"―",NAME(MJFILE(),1))</f>
        <v>西野修世</v>
      </c>
      <c r="E6" s="19" t="str">
        <f ca="1">IF(ISERROR(MJFILE()),"―",NAME(MJFILE(),2))</f>
        <v>所附快和</v>
      </c>
      <c r="F6" s="15" t="str">
        <f ca="1">IF(ISERROR(MJFILE()),"―",NAME(MJFILE(),3))</f>
        <v>長野柊馬</v>
      </c>
    </row>
    <row r="7" spans="1:6" ht="103.2" x14ac:dyDescent="0.45">
      <c r="B7" s="4" t="s">
        <v>3</v>
      </c>
      <c r="C7" s="20">
        <f ca="1">IF(ISERROR(MJFILE()),"―",POINT(MJFILE(),0,4))</f>
        <v>17900</v>
      </c>
      <c r="D7" s="20">
        <f ca="1">IF(ISERROR(MJFILE()),"―",POINT(MJFILE(),1,4))</f>
        <v>3600</v>
      </c>
      <c r="E7" s="20">
        <f ca="1">IF(ISERROR(MJFILE()),"―",POINT(MJFILE(),2,4))</f>
        <v>40800</v>
      </c>
      <c r="F7" s="16">
        <f ca="1">IF(ISERROR(MJFILE()),"―",POINT(MJFILE(),3,4))</f>
        <v>27700</v>
      </c>
    </row>
    <row r="8" spans="1:6" ht="65.400000000000006" thickBot="1" x14ac:dyDescent="0.5">
      <c r="B8" s="5" t="s">
        <v>4</v>
      </c>
      <c r="C8" s="21">
        <f ca="1">IF(ISERROR(MJFILE()),"―",score(MJFILE(),0))</f>
        <v>-22.1</v>
      </c>
      <c r="D8" s="21">
        <f ca="1">IF(ISERROR(MJFILE()),"―",score(MJFILE(),1))</f>
        <v>-56.4</v>
      </c>
      <c r="E8" s="21">
        <f ca="1">IF(ISERROR(MJFILE()),"―",score(MJFILE(),2))</f>
        <v>60.8</v>
      </c>
      <c r="F8" s="17">
        <f ca="1">IF(ISERROR(MJFILE()),"―",score(MJFILE(),3))</f>
        <v>7.7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-5800</v>
      </c>
      <c r="F10" s="12">
        <f ca="1">IF(ISERROR(MJFILE()),"―",IF(POINT(MJFILE(),3,1)=0,"",POINT(MJFILE(),3,1)+POINT(MJFILE(),3,3)))</f>
        <v>5800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45435.769178240742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2024-05-23T09:36:42Z</dcterms:modified>
</cp:coreProperties>
</file>