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57908284-BC91-4ACC-951F-943F259A8EF9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C6" i="1"/>
  <c r="E6" i="1"/>
  <c r="F6" i="1"/>
  <c r="C7" i="1" l="1"/>
  <c r="C11" i="1"/>
  <c r="C10" i="1"/>
  <c r="D3" i="1"/>
  <c r="C3" i="1"/>
  <c r="D7" i="1" l="1"/>
  <c r="D10" i="1"/>
  <c r="D11" i="1"/>
  <c r="F11" i="1" l="1"/>
  <c r="F10" i="1"/>
  <c r="F7" i="1"/>
  <c r="E11" i="1" l="1"/>
  <c r="E7" i="1"/>
  <c r="E10" i="1"/>
  <c r="F5" i="1" l="1"/>
  <c r="C5" i="1"/>
  <c r="D5" i="1"/>
  <c r="E5" i="1"/>
  <c r="D8" i="1"/>
  <c r="C8" i="1"/>
  <c r="F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<sst xmlns="http://schemas.openxmlformats.org/spreadsheetml/2006/main" count="5" uniqueCount="5">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</sst>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B1" sqref="B1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2.2152777777777775E-2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4">
        <f ca="1">IFERROR(_xlfn.RANK.EQ(D$7,$C$7:$F$7),"―")</f>
        <v>3</v>
      </c>
      <c r="E5" s="14">
        <f ca="1">IFERROR(_xlfn.RANK.EQ(E$7,$C$7:$F$7),"―")</f>
        <v>4</v>
      </c>
      <c r="F5" s="18">
        <f ca="1">IFERROR(_xlfn.RANK.EQ(F$7,$C$7:$F$7),"―")</f>
        <v>2</v>
      </c>
    </row>
    <row r="6" spans="1:6" ht="103.2" x14ac:dyDescent="0.45">
      <c r="B6" s="4" t="s">
        <v>2</v>
      </c>
      <c r="C6" s="15" t="str">
        <f ca="1">IF(ISERROR(MJFILE()),"―",NAME(MJFILE(),0))</f>
        <v>湯本咲蔵</v>
      </c>
      <c r="D6" s="15" t="str">
        <f ca="1">IF(ISERROR(MJFILE()),"―",NAME(MJFILE(),1))</f>
        <v>山本悠介</v>
      </c>
      <c r="E6" s="15" t="str">
        <f ca="1">IF(ISERROR(MJFILE()),"―",NAME(MJFILE(),2))</f>
        <v>中村花菜</v>
      </c>
      <c r="F6" s="19" t="str">
        <f ca="1">IF(ISERROR(MJFILE()),"―",NAME(MJFILE(),3))</f>
        <v>田名網新</v>
      </c>
    </row>
    <row r="7" spans="1:6" ht="103.2" x14ac:dyDescent="0.45">
      <c r="B7" s="4" t="s">
        <v>3</v>
      </c>
      <c r="C7" s="16">
        <f ca="1">IF(ISERROR(MJFILE()),"―",POINT(MJFILE(),0,4))</f>
        <v>32600</v>
      </c>
      <c r="D7" s="16">
        <f ca="1">IF(ISERROR(MJFILE()),"―",POINT(MJFILE(),1,4))</f>
        <v>23000</v>
      </c>
      <c r="E7" s="16">
        <f ca="1">IF(ISERROR(MJFILE()),"―",POINT(MJFILE(),2,4))</f>
        <v>14400</v>
      </c>
      <c r="F7" s="20">
        <f ca="1">IF(ISERROR(MJFILE()),"―",POINT(MJFILE(),3,4))</f>
        <v>30000</v>
      </c>
    </row>
    <row r="8" spans="1:6" ht="65.400000000000006" thickBot="1" x14ac:dyDescent="0.5">
      <c r="B8" s="5" t="s">
        <v>4</v>
      </c>
      <c r="C8" s="17">
        <f ca="1">IF(ISERROR(MJFILE()),"―",score(MJFILE(),0))</f>
        <v>52.6</v>
      </c>
      <c r="D8" s="17">
        <f ca="1">IF(ISERROR(MJFILE()),"―",score(MJFILE(),1))</f>
        <v>-17</v>
      </c>
      <c r="E8" s="17">
        <f ca="1">IF(ISERROR(MJFILE()),"―",score(MJFILE(),2))</f>
        <v>-45.6</v>
      </c>
      <c r="F8" s="21">
        <f ca="1">IF(ISERROR(MJFILE()),"―",score(MJFILE(),3))</f>
        <v>10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8600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-8600</v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>
        <f ca="1">IF(ISERROR(MJFILE()),"―",IF(POINT(MJFILE(),0,2)=0,"",POINT(MJFILE(),0,2)))</f>
        <v>1000</v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45055.743125000001</v>
      </c>
    </row>
    <row r="2" spans="1:1" x14ac:dyDescent="0.45">
      <c r="A2" s="2">
        <v>2.2152777777777775E-2</v>
      </c>
    </row>
    <row r="3" spans="1:1" x14ac:dyDescent="0.45">
      <c r="A3" s="2">
        <v>2.2152777777777775E-2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2023-05-09T08:50:06Z</dcterms:modified>
</cp:coreProperties>
</file>