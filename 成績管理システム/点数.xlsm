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ED2A8000-553A-40B8-ADF5-BF3FE93DAF11}" xr6:coauthVersionLast="41" xr6:coauthVersionMax="41" xr10:uidLastSave="{00000000-0000-0000-0000-000000000000}"/>
  <bookViews>
    <workbookView showHorizontalScroll="0" showVerticalScroll="0" showSheetTabs="0" xWindow="-108" yWindow="-108" windowWidth="23256" windowHeight="127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E6" i="1"/>
  <c r="D6" i="1"/>
  <c r="C6" i="1"/>
  <c r="F6" i="1"/>
  <c r="C11" i="1" l="1"/>
  <c r="C10" i="1"/>
  <c r="C7" i="1"/>
  <c r="D3" i="1"/>
  <c r="C3" i="1"/>
  <c r="D10" i="1" l="1"/>
  <c r="D7" i="1"/>
  <c r="D11" i="1"/>
  <c r="F7" i="1" l="1"/>
  <c r="F11" i="1"/>
  <c r="F10" i="1"/>
  <c r="E10" i="1" l="1"/>
  <c r="E11" i="1"/>
  <c r="E7" i="1"/>
  <c r="C5" i="1" l="1"/>
  <c r="D5" i="1"/>
  <c r="E5" i="1"/>
  <c r="F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<sst xmlns="http://schemas.openxmlformats.org/spreadsheetml/2006/main" count="5" uniqueCount="5">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</sst>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3" fillId="0" borderId="0" xfId="0" applyFont="1" applyBorder="1" applyAlignment="1">
      <alignment horizontal="right" vertical="center" shrinkToFit="1"/>
    </xf>
    <xf numFmtId="0" fontId="4" fillId="0" borderId="0" xfId="0" applyFont="1" applyBorder="1" applyAlignment="1">
      <alignment horizontal="left" shrinkToFit="1"/>
    </xf>
    <xf numFmtId="0" fontId="4" fillId="0" borderId="0" xfId="0" applyFont="1" applyBorder="1" applyAlignment="1">
      <alignment horizontal="right" shrinkToFit="1"/>
    </xf>
    <xf numFmtId="180" fontId="3" fillId="0" borderId="0" xfId="0" applyNumberFormat="1" applyFont="1" applyBorder="1" applyAlignment="1">
      <alignment horizontal="left" vertical="center" shrinkToFit="1"/>
    </xf>
    <xf numFmtId="178" fontId="2" fillId="0" borderId="0" xfId="0" applyNumberFormat="1" applyFont="1" applyBorder="1" applyAlignment="1">
      <alignment horizontal="center" vertical="center" shrinkToFit="1"/>
    </xf>
    <xf numFmtId="0" fontId="0" fillId="0" borderId="0" xfId="0" applyFont="1" applyBorder="1" applyAlignment="1">
      <alignment vertical="center" shrinkToFit="1"/>
    </xf>
    <xf numFmtId="178" fontId="4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1958340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1996440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</xdr:colOff>
          <xdr:row>3</xdr:row>
          <xdr:rowOff>182880</xdr:rowOff>
        </xdr:from>
        <xdr:to>
          <xdr:col>2</xdr:col>
          <xdr:colOff>1889760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2072640</xdr:colOff>
          <xdr:row>3</xdr:row>
          <xdr:rowOff>182880</xdr:rowOff>
        </xdr:from>
        <xdr:to>
          <xdr:col>3</xdr:col>
          <xdr:colOff>182880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3</xdr:row>
          <xdr:rowOff>182880</xdr:rowOff>
        </xdr:from>
        <xdr:to>
          <xdr:col>3</xdr:col>
          <xdr:colOff>1889760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2072640</xdr:colOff>
          <xdr:row>3</xdr:row>
          <xdr:rowOff>182880</xdr:rowOff>
        </xdr:from>
        <xdr:to>
          <xdr:col>4</xdr:col>
          <xdr:colOff>190500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</xdr:colOff>
          <xdr:row>3</xdr:row>
          <xdr:rowOff>182880</xdr:rowOff>
        </xdr:from>
        <xdr:to>
          <xdr:col>4</xdr:col>
          <xdr:colOff>1889760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2072640</xdr:colOff>
          <xdr:row>3</xdr:row>
          <xdr:rowOff>182880</xdr:rowOff>
        </xdr:from>
        <xdr:to>
          <xdr:col>5</xdr:col>
          <xdr:colOff>182880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</xdr:colOff>
          <xdr:row>3</xdr:row>
          <xdr:rowOff>182880</xdr:rowOff>
        </xdr:from>
        <xdr:to>
          <xdr:col>5</xdr:col>
          <xdr:colOff>1889760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2072640</xdr:colOff>
          <xdr:row>3</xdr:row>
          <xdr:rowOff>182880</xdr:rowOff>
        </xdr:from>
        <xdr:to>
          <xdr:col>7</xdr:col>
          <xdr:colOff>114300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1" zoomScaleNormal="71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>
      <c r="A1" s="15"/>
    </row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1本場 供託1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20">
        <f ca="1">IFERROR(_xlfn.RANK.EQ(C$7,$C$7:$F$7),"―")</f>
        <v>3</v>
      </c>
      <c r="D5" s="16">
        <f ca="1">IFERROR(_xlfn.RANK.EQ(D$7,$C$7:$F$7),"―")</f>
        <v>2</v>
      </c>
      <c r="E5" s="20">
        <f ca="1">IFERROR(_xlfn.RANK.EQ(E$7,$C$7:$F$7),"―")</f>
        <v>3</v>
      </c>
      <c r="F5" s="21">
        <f ca="1">IFERROR(_xlfn.RANK.EQ(F$7,$C$7:$F$7),"―")</f>
        <v>1</v>
      </c>
    </row>
    <row r="6" spans="1:6" ht="103.2" x14ac:dyDescent="0.45">
      <c r="B6" s="4" t="s">
        <v>2</v>
      </c>
      <c r="C6" s="22" t="str">
        <f ca="1">IF(ISERROR(MJFILE()),"―",NAME(MJFILE(),0))</f>
        <v>多田洋輔</v>
      </c>
      <c r="D6" s="17" t="str">
        <f ca="1">IF(ISERROR(MJFILE()),"―",NAME(MJFILE(),1))</f>
        <v>松澤亮太</v>
      </c>
      <c r="E6" s="22" t="str">
        <f ca="1">IF(ISERROR(MJFILE()),"―",NAME(MJFILE(),2))</f>
        <v>高野源太</v>
      </c>
      <c r="F6" s="23" t="str">
        <f ca="1">IF(ISERROR(MJFILE()),"―",NAME(MJFILE(),3))</f>
        <v>百瀬成空</v>
      </c>
    </row>
    <row r="7" spans="1:6" ht="103.2" x14ac:dyDescent="0.45">
      <c r="B7" s="4" t="s">
        <v>3</v>
      </c>
      <c r="C7" s="24">
        <f ca="1">IF(ISERROR(MJFILE()),"―",POINT(MJFILE(),0,4))</f>
        <v>17900</v>
      </c>
      <c r="D7" s="18">
        <f ca="1">IF(ISERROR(MJFILE()),"―",POINT(MJFILE(),1,4))</f>
        <v>27900</v>
      </c>
      <c r="E7" s="24">
        <f ca="1">IF(ISERROR(MJFILE()),"―",POINT(MJFILE(),2,4))</f>
        <v>17900</v>
      </c>
      <c r="F7" s="25">
        <f ca="1">IF(ISERROR(MJFILE()),"―",POINT(MJFILE(),3,4))</f>
        <v>35300</v>
      </c>
    </row>
    <row r="8" spans="1:6" ht="65.400000000000006" thickBot="1" x14ac:dyDescent="0.5">
      <c r="B8" s="5" t="s">
        <v>4</v>
      </c>
      <c r="C8" s="26">
        <f ca="1">IF(ISERROR(MJFILE()),"―",score(MJFILE(),0))</f>
        <v>-32.1</v>
      </c>
      <c r="D8" s="19">
        <f ca="1">IF(ISERROR(MJFILE()),"―",score(MJFILE(),1))</f>
        <v>7.9</v>
      </c>
      <c r="E8" s="26">
        <f ca="1">IF(ISERROR(MJFILE()),"―",score(MJFILE(),2))</f>
        <v>-32.1</v>
      </c>
      <c r="F8" s="27">
        <f ca="1">IF(ISERROR(MJFILE()),"―",score(MJFILE(),3))</f>
        <v>55.3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-1000</v>
      </c>
      <c r="D10" s="12">
        <f ca="1">IF(ISERROR(MJFILE()),"―",IF(POINT(MJFILE(),1,1)=0,"",POINT(MJFILE(),1,1)+POINT(MJFILE(),1,3)))</f>
        <v>3000</v>
      </c>
      <c r="E10" s="12">
        <f ca="1">IF(ISERROR(MJFILE()),"―",IF(POINT(MJFILE(),2,1)=0,"",POINT(MJFILE(),2,1)+POINT(MJFILE(),2,3)))</f>
        <v>-1000</v>
      </c>
      <c r="F10" s="12">
        <f ca="1">IF(ISERROR(MJFILE()),"―",IF(POINT(MJFILE(),3,1)=0,"",POINT(MJFILE(),3,1)+POINT(MJFILE(),3,3)))</f>
        <v>-1000</v>
      </c>
    </row>
    <row r="11" spans="1:6" ht="51" customHeight="1" x14ac:dyDescent="0.45">
      <c r="B11" s="13"/>
      <c r="C11" s="14" t="str">
        <f ca="1">IF(ISERROR(MJFILE()),"―",IF(POINT(MJFILE(),0,2)=0,"",POINT(MJFILE(),0,2)))</f>
        <v/>
      </c>
      <c r="D11" s="14">
        <f ca="1">IF(ISERROR(MJFILE()),"―",IF(POINT(MJFILE(),1,2)=0,"",POINT(MJFILE(),1,2)))</f>
        <v>-1000</v>
      </c>
      <c r="E11" s="14" t="str">
        <f ca="1">IF(ISERROR(MJFILE()),"―",IF(POINT(MJFILE(),2,2)=0,"",POINT(MJFILE(),2,2)))</f>
        <v/>
      </c>
      <c r="F11" s="14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2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  <dataValidation type="list" allowBlank="1" showInputMessage="1" sqref="F1:Y1" xr:uid="{E1AC478F-A510-49A3-98FC-8F089E25679C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167640</xdr:colOff>
                <xdr:row>3</xdr:row>
                <xdr:rowOff>182880</xdr:rowOff>
              </from>
              <to>
                <xdr:col>2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2072640</xdr:colOff>
                <xdr:row>3</xdr:row>
                <xdr:rowOff>182880</xdr:rowOff>
              </from>
              <to>
                <xdr:col>2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167640</xdr:colOff>
                <xdr:row>3</xdr:row>
                <xdr:rowOff>182880</xdr:rowOff>
              </from>
              <to>
                <xdr:col>3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2072640</xdr:colOff>
                <xdr:row>3</xdr:row>
                <xdr:rowOff>182880</xdr:rowOff>
              </from>
              <to>
                <xdr:col>3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167640</xdr:colOff>
                <xdr:row>3</xdr:row>
                <xdr:rowOff>182880</xdr:rowOff>
              </from>
              <to>
                <xdr:col>4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2072640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167640</xdr:colOff>
                <xdr:row>3</xdr:row>
                <xdr:rowOff>182880</xdr:rowOff>
              </from>
              <to>
                <xdr:col>5</xdr:col>
                <xdr:colOff>1897380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2072640</xdr:colOff>
                <xdr:row>3</xdr:row>
                <xdr:rowOff>182880</xdr:rowOff>
              </from>
              <to>
                <xdr:col>5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1958340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1996440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43840.739155092589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2019-12-01T05:59:05Z</cp:lastPrinted>
  <dcterms:created xsi:type="dcterms:W3CDTF">2019-06-06T00:02:58Z</dcterms:created>
  <dcterms:modified xsi:type="dcterms:W3CDTF">2020-01-10T09:18:57Z</dcterms:modified>
</cp:coreProperties>
</file>