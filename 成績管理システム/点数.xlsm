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6B993AC9-272C-457E-9485-867B6241A4C2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/>
  <c r="D10" i="1"/>
  <c r="D11" i="1"/>
  <c r="E7" i="1" l="1"/>
  <c r="E10" i="1"/>
  <c r="E11" i="1"/>
  <c r="F7" i="1"/>
  <c r="F5" i="1" s="1"/>
  <c r="F10" i="1"/>
  <c r="F11" i="1"/>
  <c r="E5" i="1"/>
  <c r="D5" i="1"/>
  <c r="C5" i="1"/>
  <c r="C8" i="1"/>
  <c r="E8" i="1"/>
  <c r="D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<sst xmlns="http://schemas.openxmlformats.org/spreadsheetml/2006/main" count="5" uniqueCount="5">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</sst>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>
      <selection activeCell="E10" sqref="E10"/>
    </sheetView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3.0092592592592591E-2</v>
      </c>
    </row>
    <row r="4" spans="1:6" ht="69.75" customHeight="1" thickBot="1" x14ac:dyDescent="0.45"/>
    <row r="5" spans="1:6" ht="64.5" x14ac:dyDescent="0.4">
      <c r="B5" s="3" t="s">
        <v>1</v>
      </c>
      <c r="C5" s="18">
        <f ca="1">IFERROR(_xlfn.RANK.EQ(C$7,$C$7:$F$7),"―")</f>
        <v>4</v>
      </c>
      <c r="D5" s="14">
        <f ca="1">IFERROR(_xlfn.RANK.EQ(D$7,$C$7:$F$7),"―")</f>
        <v>1</v>
      </c>
      <c r="E5" s="18">
        <f ca="1">IFERROR(_xlfn.RANK.EQ(E$7,$C$7:$F$7),"―")</f>
        <v>2</v>
      </c>
      <c r="F5" s="19">
        <f ca="1">IFERROR(_xlfn.RANK.EQ(F$7,$C$7:$F$7),"―")</f>
        <v>2</v>
      </c>
    </row>
    <row r="6" spans="1:6" ht="103.5" x14ac:dyDescent="0.4">
      <c r="B6" s="4" t="s">
        <v>2</v>
      </c>
      <c r="C6" s="20" t="str">
        <f ca="1">IF(ISERROR(MJFILE()),"―",NAME(MJFILE(),0))</f>
        <v>西沢武留</v>
      </c>
      <c r="D6" s="15" t="str">
        <f ca="1">IF(ISERROR(MJFILE()),"―",NAME(MJFILE(),1))</f>
        <v>佐藤成浩</v>
      </c>
      <c r="E6" s="20" t="str">
        <f ca="1">IF(ISERROR(MJFILE()),"―",NAME(MJFILE(),2))</f>
        <v>関谷洸佑</v>
      </c>
      <c r="F6" s="21" t="str">
        <f ca="1">IF(ISERROR(MJFILE()),"―",NAME(MJFILE(),3))</f>
        <v>中村季暉</v>
      </c>
    </row>
    <row r="7" spans="1:6" ht="103.5" x14ac:dyDescent="0.4">
      <c r="B7" s="4" t="s">
        <v>3</v>
      </c>
      <c r="C7" s="22">
        <f ca="1">IF(ISERROR(MJFILE()),"―",POINT(MJFILE(),0,4))</f>
        <v>22000</v>
      </c>
      <c r="D7" s="16">
        <f ca="1">IF(ISERROR(MJFILE()),"―",POINT(MJFILE(),1,4))</f>
        <v>30000</v>
      </c>
      <c r="E7" s="22">
        <f ca="1">IF(ISERROR(MJFILE()),"―",POINT(MJFILE(),2,4))</f>
        <v>24000</v>
      </c>
      <c r="F7" s="23">
        <f ca="1">IF(ISERROR(MJFILE()),"―",POINT(MJFILE(),3,4))</f>
        <v>24000</v>
      </c>
    </row>
    <row r="8" spans="1:6" ht="65.25" thickBot="1" x14ac:dyDescent="0.45">
      <c r="B8" s="5" t="s">
        <v>4</v>
      </c>
      <c r="C8" s="24">
        <f ca="1">IF(ISERROR(MJFILE()),"―",score(MJFILE(),0))</f>
        <v>-38</v>
      </c>
      <c r="D8" s="17">
        <f ca="1">IF(ISERROR(MJFILE()),"―",score(MJFILE(),1))</f>
        <v>50</v>
      </c>
      <c r="E8" s="24">
        <f ca="1">IF(ISERROR(MJFILE()),"―",score(MJFILE(),2))</f>
        <v>-6</v>
      </c>
      <c r="F8" s="25">
        <f ca="1">IF(ISERROR(MJFILE()),"―",score(MJFILE(),3))</f>
        <v>-6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-3000</v>
      </c>
      <c r="D10" s="12">
        <f ca="1">IF(ISERROR(MJFILE()),"―",IF(POINT(MJFILE(),1,1)=0,"",POINT(MJFILE(),1,1)+POINT(MJFILE(),1,3)))</f>
        <v>5000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-1000</v>
      </c>
    </row>
    <row r="11" spans="1:6" ht="51" customHeight="1" x14ac:dyDescent="0.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44901.737245370372</v>
      </c>
    </row>
    <row r="2" spans="1:1" x14ac:dyDescent="0.4">
      <c r="A2" s="2">
        <v>3.0092592592592591E-2</v>
      </c>
    </row>
    <row r="3" spans="1:1" x14ac:dyDescent="0.4">
      <c r="A3" s="2">
        <v>3.0092592592592591E-2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2022-12-06T08:41:38Z</dcterms:modified>
</cp:coreProperties>
</file>