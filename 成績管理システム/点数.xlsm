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63F4E6E0-82F1-48B7-8442-DABD1A3D31D8}" xr6:coauthVersionLast="41" xr6:coauthVersionMax="41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11" i="1"/>
  <c r="F10" i="1"/>
  <c r="E11" i="1"/>
  <c r="E10" i="1"/>
  <c r="D11" i="1"/>
  <c r="D10" i="1"/>
  <c r="C11" i="1"/>
  <c r="C10" i="1"/>
  <c r="C7" i="1"/>
  <c r="C8" i="1"/>
  <c r="D8" i="1"/>
  <c r="E8" i="1"/>
  <c r="E7" i="1"/>
  <c r="F8" i="1"/>
  <c r="F7" i="1"/>
  <c r="F6" i="1"/>
  <c r="E6" i="1"/>
  <c r="D6" i="1"/>
  <c r="C6" i="1"/>
  <c r="D7" i="1"/>
  <c r="C5" i="1" l="1"/>
  <c r="D5" i="1"/>
  <c r="F5" i="1"/>
  <c r="E5" i="1"/>
  <c r="D3" i="1" l="1"/>
  <c r="C3" i="1" l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<sst xmlns="http://schemas.openxmlformats.org/spreadsheetml/2006/main" count="5" uniqueCount="5">
  <si>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</si>
  <si>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</si>
  <si>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</si>
  <si>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</si>
  <si>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残り時間</t>
    <rPh sb="0" eb="1">
      <t>ノコ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</si>
</sst>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36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2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180" fontId="2" fillId="0" borderId="0" xfId="0" applyNumberFormat="1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78" fontId="3" fillId="0" borderId="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2494045</xdr:colOff>
          <xdr:row>1</xdr:row>
          <xdr:rowOff>203712</xdr:rowOff>
        </xdr:from>
        <xdr:to>
          <xdr:col>4</xdr:col>
          <xdr:colOff>5039728</xdr:colOff>
          <xdr:row>1</xdr:row>
          <xdr:rowOff>1027877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82296" rIns="54864" bIns="82296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350921</xdr:colOff>
          <xdr:row>1</xdr:row>
          <xdr:rowOff>203712</xdr:rowOff>
        </xdr:from>
        <xdr:to>
          <xdr:col>5</xdr:col>
          <xdr:colOff>2896604</xdr:colOff>
          <xdr:row>1</xdr:row>
          <xdr:rowOff>1027877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82296" rIns="54864" bIns="82296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2494045</xdr:colOff>
          <xdr:row>1</xdr:row>
          <xdr:rowOff>203712</xdr:rowOff>
        </xdr:from>
        <xdr:to>
          <xdr:col>2</xdr:col>
          <xdr:colOff>5039728</xdr:colOff>
          <xdr:row>1</xdr:row>
          <xdr:rowOff>1027877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82296" rIns="54864" bIns="82296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350921</xdr:colOff>
          <xdr:row>1</xdr:row>
          <xdr:rowOff>203712</xdr:rowOff>
        </xdr:from>
        <xdr:to>
          <xdr:col>3</xdr:col>
          <xdr:colOff>2896604</xdr:colOff>
          <xdr:row>1</xdr:row>
          <xdr:rowOff>1027877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82296" rIns="54864" bIns="82296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6" zoomScaleNormal="76" workbookViewId="0"/>
  </sheetViews>
  <sheetFormatPr defaultRowHeight="18.75" x14ac:dyDescent="0.4"/>
  <cols>
    <col min="1" max="1" width="1" style="12" customWidth="1"/>
    <col min="2" max="2" width="23.5" style="12" customWidth="1"/>
    <col min="3" max="5" width="70.625" style="12" customWidth="1"/>
    <col min="6" max="6" width="78.125" style="12" bestFit="1" customWidth="1"/>
    <col min="7" max="7" width="1" style="12" customWidth="1"/>
    <col min="8" max="16384" width="9" style="12"/>
  </cols>
  <sheetData>
    <row r="1" spans="1:6" ht="13.5" customHeight="1" x14ac:dyDescent="0.4">
      <c r="A1" s="11"/>
    </row>
    <row r="2" spans="1:6" ht="95.25" customHeight="1" x14ac:dyDescent="0.4">
      <c r="A2" s="11"/>
    </row>
    <row r="3" spans="1:6" ht="123.75" customHeight="1" x14ac:dyDescent="1.85">
      <c r="C3" s="13" t="str">
        <f ca="1">MJINFO(MJFILE(),1)&amp;MJINFO(MJFILE(),2)&amp;"局"</f>
        <v>南2局</v>
      </c>
      <c r="D3" s="14" t="str">
        <f ca="1">""&amp;MJINFO(MJFILE(),3)&amp;"本場 供託"&amp;MJINFO(MJFILE(),4)</f>
        <v>2本場 供託2</v>
      </c>
      <c r="E3" s="15" t="s">
        <v>4</v>
      </c>
      <c r="F3" s="16">
        <f>Setting!A3</f>
        <v>3.4722222222222224E-2</v>
      </c>
    </row>
    <row r="4" spans="1:6" ht="19.5" thickBot="1" x14ac:dyDescent="0.45"/>
    <row r="5" spans="1:6" ht="97.5" customHeight="1" x14ac:dyDescent="0.4">
      <c r="B5" s="20" t="s">
        <v>0</v>
      </c>
      <c r="C5" s="3">
        <f ca="1">_xlfn.RANK.EQ(C$7,$C$7:$F$7)</f>
        <v>2</v>
      </c>
      <c r="D5" s="3">
        <f ca="1">_xlfn.RANK.EQ(D$7,$C$7:$F$7)</f>
        <v>1</v>
      </c>
      <c r="E5" s="3">
        <f ca="1">_xlfn.RANK.EQ(E$7,$C$7:$F$7)</f>
        <v>4</v>
      </c>
      <c r="F5" s="4">
        <f ca="1">_xlfn.RANK.EQ(F$7,$C$7:$F$7)</f>
        <v>3</v>
      </c>
    </row>
    <row r="6" spans="1:6" ht="154.5" x14ac:dyDescent="0.4">
      <c r="B6" s="21" t="s">
        <v>1</v>
      </c>
      <c r="C6" s="1" t="str">
        <f ca="1">NAME(MJFILE(),0)</f>
        <v>松澤亮太</v>
      </c>
      <c r="D6" s="1" t="str">
        <f ca="1">NAME(MJFILE(),1)</f>
        <v>滝沢悠人</v>
      </c>
      <c r="E6" s="1" t="str">
        <f ca="1">NAME(MJFILE(),2)</f>
        <v>大池陸斗</v>
      </c>
      <c r="F6" s="2" t="str">
        <f ca="1">NAME(MJFILE(),3)</f>
        <v>百瀬成空</v>
      </c>
    </row>
    <row r="7" spans="1:6" ht="154.5" x14ac:dyDescent="0.4">
      <c r="B7" s="21" t="s">
        <v>2</v>
      </c>
      <c r="C7" s="5">
        <f ca="1">POINT(MJFILE(),0,4)</f>
        <v>31900</v>
      </c>
      <c r="D7" s="5">
        <f ca="1">POINT(MJFILE(),1,4)</f>
        <v>54900</v>
      </c>
      <c r="E7" s="5">
        <f ca="1">POINT(MJFILE(),2,4)</f>
        <v>-1700</v>
      </c>
      <c r="F7" s="6">
        <f ca="1">POINT(MJFILE(),3,4)</f>
        <v>14900</v>
      </c>
    </row>
    <row r="8" spans="1:6" ht="97.5" thickBot="1" x14ac:dyDescent="0.45">
      <c r="B8" s="22" t="s">
        <v>3</v>
      </c>
      <c r="C8" s="7">
        <f ca="1">score(MJFILE(),0)</f>
        <v>11.9</v>
      </c>
      <c r="D8" s="7">
        <f ca="1">score(MJFILE(),1)</f>
        <v>74.900000000000006</v>
      </c>
      <c r="E8" s="7">
        <f ca="1">score(MJFILE(),2)</f>
        <v>-61.7</v>
      </c>
      <c r="F8" s="8">
        <f ca="1">score(MJFILE(),3)</f>
        <v>-25.1</v>
      </c>
    </row>
    <row r="10" spans="1:6" ht="96" customHeight="1" x14ac:dyDescent="0.4">
      <c r="C10" s="17" t="str">
        <f ca="1">IF(POINT(MJFILE(),0,1)=0,"",POINT(MJFILE(),0,1)+POINT(MJFILE(),0,3))</f>
        <v/>
      </c>
      <c r="D10" s="17">
        <f ca="1">IF(POINT(MJFILE(),1,1)=0,"",POINT(MJFILE(),1,1)+POINT(MJFILE(),1,3))</f>
        <v>-8600</v>
      </c>
      <c r="E10" s="17" t="str">
        <f ca="1">IF(POINT(MJFILE(),2,1)=0,"",POINT(MJFILE(),2,1)+POINT(MJFILE(),2,3))</f>
        <v/>
      </c>
      <c r="F10" s="17">
        <f ca="1">IF(POINT(MJFILE(),3,1)=0,"",POINT(MJFILE(),3,1)+POINT(MJFILE(),3,3))</f>
        <v>8600</v>
      </c>
    </row>
    <row r="11" spans="1:6" ht="75.75" customHeight="1" x14ac:dyDescent="0.4">
      <c r="B11" s="18"/>
      <c r="C11" s="19">
        <f ca="1">IF(POINT(MJFILE(),0,2)=0,"",POINT(MJFILE(),0,2))</f>
        <v>-1000</v>
      </c>
      <c r="D11" s="19" t="str">
        <f ca="1">IF(POINT(MJFILE(),1,2)=0,"",POINT(MJFILE(),1,2))</f>
        <v/>
      </c>
      <c r="E11" s="19" t="str">
        <f ca="1">IF(POINT(MJFILE(),2,2)=0,"",POINT(MJFILE(),2,2))</f>
        <v/>
      </c>
      <c r="F11" s="19">
        <f ca="1">IF(POINT(MJFILE(),3,2)=0,"",POINT(MJFILE(),3,2))</f>
        <v>3000</v>
      </c>
    </row>
  </sheetData>
  <sheetProtection sheet="1" scenarios="1"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1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Timer">
              <controlPr defaultSize="0" print="0" autoFill="0" autoPict="0" macro="[0]!TimerSwitch">
                <anchor moveWithCells="1">
                  <from>
                    <xdr:col>4</xdr:col>
                    <xdr:colOff>2495550</xdr:colOff>
                    <xdr:row>1</xdr:row>
                    <xdr:rowOff>200025</xdr:rowOff>
                  </from>
                  <to>
                    <xdr:col>4</xdr:col>
                    <xdr:colOff>5038725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Reset">
              <controlPr defaultSize="0" print="0" autoFill="0" autoPict="0" macro="[0]!TimerReset">
                <anchor moveWithCells="1">
                  <from>
                    <xdr:col>5</xdr:col>
                    <xdr:colOff>352425</xdr:colOff>
                    <xdr:row>1</xdr:row>
                    <xdr:rowOff>200025</xdr:rowOff>
                  </from>
                  <to>
                    <xdr:col>5</xdr:col>
                    <xdr:colOff>2895600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InputRecord">
              <controlPr defaultSize="0" print="0" autoFill="0" autoPict="0" macro="[0]!InputRecord">
                <anchor moveWithCells="1">
                  <from>
                    <xdr:col>2</xdr:col>
                    <xdr:colOff>2495550</xdr:colOff>
                    <xdr:row>1</xdr:row>
                    <xdr:rowOff>200025</xdr:rowOff>
                  </from>
                  <to>
                    <xdr:col>2</xdr:col>
                    <xdr:colOff>5038725</xdr:colOff>
                    <xdr:row>1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FullScreen">
              <controlPr defaultSize="0" print="0" autoFill="0" autoPict="0" macro="[0]!FullScreen">
                <anchor moveWithCells="1">
                  <from>
                    <xdr:col>3</xdr:col>
                    <xdr:colOff>352425</xdr:colOff>
                    <xdr:row>1</xdr:row>
                    <xdr:rowOff>200025</xdr:rowOff>
                  </from>
                  <to>
                    <xdr:col>3</xdr:col>
                    <xdr:colOff>2895600</xdr:colOff>
                    <xdr:row>1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1" width="19.5" bestFit="1" customWidth="1"/>
  </cols>
  <sheetData>
    <row r="1" spans="1:1" x14ac:dyDescent="0.4">
      <c r="A1" s="9">
        <v>43798.667175925926</v>
      </c>
    </row>
    <row r="2" spans="1:1" x14ac:dyDescent="0.4">
      <c r="A2" s="10">
        <v>3.4722222222222224E-2</v>
      </c>
    </row>
    <row r="3" spans="1:1" x14ac:dyDescent="0.4">
      <c r="A3" s="10">
        <v>3.4722222222222224E-2</v>
      </c>
    </row>
    <row r="4" spans="1:1" x14ac:dyDescent="0.4">
      <c r="A4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2019-11-29T07:00:52Z</dcterms:modified>
</cp:coreProperties>
</file>