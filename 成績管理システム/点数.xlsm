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FFC14D3-0947-4421-99C3-CC399ABA46D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D7" i="1" l="1"/>
  <c r="D10" i="1"/>
  <c r="D11" i="1"/>
  <c r="C7" i="1" l="1"/>
  <c r="C11" i="1"/>
  <c r="C10" i="1"/>
  <c r="F7" i="1"/>
  <c r="F10" i="1"/>
  <c r="F11" i="1"/>
  <c r="E10" i="1" l="1"/>
  <c r="E11" i="1"/>
  <c r="E7" i="1"/>
  <c r="F5" i="1" l="1"/>
  <c r="C5" i="1"/>
  <c r="E5" i="1"/>
  <c r="D5" i="1"/>
  <c r="F8" i="1"/>
  <c r="D8" i="1"/>
  <c r="E8" i="1"/>
  <c r="C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<sst xmlns="http://schemas.openxmlformats.org/spreadsheetml/2006/main" count="5" uniqueCount="5">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</sst>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2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佐藤成浩</v>
      </c>
      <c r="D6" s="15" t="str">
        <f ca="1">IF(ISERROR(MJFILE()),"―",NAME(MJFILE(),1))</f>
        <v>清水遙斗</v>
      </c>
      <c r="E6" s="15" t="str">
        <f ca="1">IF(ISERROR(MJFILE()),"―",NAME(MJFILE(),2))</f>
        <v>大石瑛司</v>
      </c>
      <c r="F6" s="19" t="str">
        <f ca="1">IF(ISERROR(MJFILE()),"―",NAME(MJFILE(),3))</f>
        <v>笠原誠</v>
      </c>
    </row>
    <row r="7" spans="1:6" ht="103" x14ac:dyDescent="0.55000000000000004">
      <c r="B7" s="4" t="s">
        <v>3</v>
      </c>
      <c r="C7" s="16">
        <f ca="1">IF(ISERROR(MJFILE()),"―",POINT(MJFILE(),0,4))</f>
        <v>16000</v>
      </c>
      <c r="D7" s="16">
        <f ca="1">IF(ISERROR(MJFILE()),"―",POINT(MJFILE(),1,4))</f>
        <v>27100</v>
      </c>
      <c r="E7" s="16">
        <f ca="1">IF(ISERROR(MJFILE()),"―",POINT(MJFILE(),2,4))</f>
        <v>11500</v>
      </c>
      <c r="F7" s="20">
        <f ca="1">IF(ISERROR(MJFILE()),"―",POINT(MJFILE(),3,4))</f>
        <v>45400</v>
      </c>
    </row>
    <row r="8" spans="1:6" ht="65" thickBot="1" x14ac:dyDescent="0.6">
      <c r="B8" s="5" t="s">
        <v>4</v>
      </c>
      <c r="C8" s="17">
        <f ca="1">IF(ISERROR(MJFILE()),"―",score(MJFILE(),0))</f>
        <v>-24</v>
      </c>
      <c r="D8" s="17">
        <f ca="1">IF(ISERROR(MJFILE()),"―",score(MJFILE(),1))</f>
        <v>7.1</v>
      </c>
      <c r="E8" s="17">
        <f ca="1">IF(ISERROR(MJFILE()),"―",score(MJFILE(),2))</f>
        <v>-48.5</v>
      </c>
      <c r="F8" s="21">
        <f ca="1">IF(ISERROR(MJFILE()),"―",score(MJFILE(),3))</f>
        <v>65.400000000000006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-12000</v>
      </c>
      <c r="F10" s="12">
        <f ca="1">IF(ISERROR(MJFILE()),"―",IF(POINT(MJFILE(),3,1)=0,"",POINT(MJFILE(),3,1)+POINT(MJFILE(),3,3)))</f>
        <v>12000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45961.730115740742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2025-10-31T09:21:48Z</dcterms:modified>
</cp:coreProperties>
</file>