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qooch\Documents\mahjong\MahjongClub\mahjong-club\成績管理システム\"/>
    </mc:Choice>
  </mc:AlternateContent>
  <xr:revisionPtr revIDLastSave="0" documentId="13_ncr:1_{5969778F-0E99-4BCC-8549-4B78BCC032C6}" xr6:coauthVersionLast="47" xr6:coauthVersionMax="47" xr10:uidLastSave="{00000000-0000-0000-0000-000000000000}"/>
  <bookViews>
    <workbookView showHorizontalScroll="0" showVerticalScroll="0" showSheetTabs="0" xWindow="-120" yWindow="-120" windowWidth="20730" windowHeight="11160" xr2:uid="{104DD447-7576-4543-B2BB-CF60142807AB}"/>
  </bookViews>
  <sheets>
    <sheet name="Main" sheetId="1" r:id="rId1"/>
    <sheet name="Setting" sheetId="3" state="hidden" r:id="rId2"/>
  </sheets>
  <functionGroups builtInGroupCount="19"/>
  <definedNames>
    <definedName name="LeftTime">Setting!$A$3</definedName>
    <definedName name="SetTime">Setting!$A$2</definedName>
    <definedName name="StartTime">Setting!$A$1</definedName>
    <definedName name="TimerStatus">Setting!$A$4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" i="1" l="1"/>
  <c r="C3" i="1"/>
  <c r="D6" i="1"/>
  <c r="D7" i="1"/>
  <c r="D10" i="1"/>
  <c r="D11" i="1"/>
  <c r="C11" i="1"/>
  <c r="D3" i="1"/>
  <c r="E6" i="1"/>
  <c r="E7" i="1"/>
  <c r="E10" i="1"/>
  <c r="E11" i="1"/>
  <c r="C7" i="1"/>
  <c r="C10" i="1"/>
  <c r="F6" i="1"/>
  <c r="F7" i="1"/>
  <c r="F10" i="1"/>
  <c r="F11" i="1"/>
  <c r="C6" i="1"/>
  <c r="F5" i="1" l="1"/>
  <c r="C5" i="1"/>
  <c r="E5" i="1"/>
  <c r="D5" i="1"/>
  <c r="E8" i="1"/>
  <c r="D8" i="1"/>
  <c r="F8" i="1"/>
  <c r="C8" i="1"/>
</calcChain>
</file>

<file path=xl/sharedStrings.xml><?xml version="1.0" encoding="utf-8"?>
<sst xmlns="http://schemas.openxmlformats.org/spreadsheetml/2006/main" count="5" uniqueCount="5">
  <si>
    <t>残り時間</t>
  </si>
  <si>
    <t>順位</t>
  </si>
  <si>
    <t>名前</t>
  </si>
  <si>
    <t>点数</t>
  </si>
  <si>
    <t>スコア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</si>
</sst>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&quot;位&quot;"/>
    <numFmt numFmtId="177" formatCode="\+0.0;\-0.0;\±0"/>
    <numFmt numFmtId="178" formatCode="\+0;\-0;0"/>
    <numFmt numFmtId="179" formatCode="yyyy/m/d\ h:mm:ss"/>
    <numFmt numFmtId="180" formatCode="[mm]:ss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64"/>
      <color theme="1"/>
      <name val="游ゴシック"/>
      <family val="2"/>
      <charset val="128"/>
      <scheme val="minor"/>
    </font>
    <font>
      <sz val="40"/>
      <color theme="1"/>
      <name val="游ゴシック"/>
      <family val="2"/>
      <charset val="128"/>
      <scheme val="minor"/>
    </font>
    <font>
      <sz val="32"/>
      <color theme="1"/>
      <name val="游ゴシック"/>
      <family val="2"/>
      <charset val="128"/>
      <scheme val="minor"/>
    </font>
    <font>
      <sz val="32"/>
      <color theme="1"/>
      <name val="游ゴシック"/>
      <family val="3"/>
      <charset val="128"/>
      <scheme val="minor"/>
    </font>
    <font>
      <sz val="24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4">
    <xf numFmtId="0" fontId="0" fillId="0" borderId="0" xfId="0">
      <alignment vertical="center"/>
    </xf>
    <xf numFmtId="179" fontId="0" fillId="0" borderId="0" xfId="0" applyNumberFormat="1">
      <alignment vertical="center"/>
    </xf>
    <xf numFmtId="180" fontId="0" fillId="0" borderId="0" xfId="0" applyNumberFormat="1">
      <alignment vertical="center"/>
    </xf>
    <xf numFmtId="0" fontId="5" fillId="0" borderId="7" xfId="0" applyFont="1" applyBorder="1" applyAlignment="1">
      <alignment horizontal="center" vertical="center" shrinkToFit="1"/>
    </xf>
    <xf numFmtId="0" fontId="6" fillId="0" borderId="8" xfId="0" applyFont="1" applyBorder="1" applyAlignment="1">
      <alignment horizontal="center" vertical="center" shrinkToFit="1"/>
    </xf>
    <xf numFmtId="0" fontId="6" fillId="0" borderId="9" xfId="0" applyFont="1" applyBorder="1" applyAlignment="1">
      <alignment horizontal="center" vertical="center" shrinkToFit="1"/>
    </xf>
    <xf numFmtId="22" fontId="0" fillId="0" borderId="0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3" fillId="0" borderId="0" xfId="0" applyFont="1" applyBorder="1" applyAlignment="1">
      <alignment horizontal="right" vertical="center" shrinkToFit="1"/>
    </xf>
    <xf numFmtId="0" fontId="4" fillId="0" borderId="0" xfId="0" applyFont="1" applyBorder="1" applyAlignment="1">
      <alignment horizontal="left" shrinkToFit="1"/>
    </xf>
    <xf numFmtId="0" fontId="4" fillId="0" borderId="0" xfId="0" applyFont="1" applyBorder="1" applyAlignment="1">
      <alignment horizontal="right" shrinkToFit="1"/>
    </xf>
    <xf numFmtId="180" fontId="3" fillId="0" borderId="0" xfId="0" applyNumberFormat="1" applyFont="1" applyBorder="1" applyAlignment="1">
      <alignment horizontal="left" vertical="center" shrinkToFit="1"/>
    </xf>
    <xf numFmtId="178" fontId="2" fillId="0" borderId="0" xfId="0" applyNumberFormat="1" applyFont="1" applyBorder="1" applyAlignment="1">
      <alignment horizontal="center" vertical="center" shrinkToFit="1"/>
    </xf>
    <xf numFmtId="0" fontId="0" fillId="0" borderId="0" xfId="0" applyFont="1" applyBorder="1" applyAlignment="1">
      <alignment vertical="center" shrinkToFit="1"/>
    </xf>
    <xf numFmtId="178" fontId="4" fillId="0" borderId="0" xfId="0" applyNumberFormat="1" applyFont="1" applyBorder="1" applyAlignment="1">
      <alignment horizontal="center" vertical="center" shrinkToFit="1"/>
    </xf>
    <xf numFmtId="0" fontId="0" fillId="0" borderId="0" xfId="0" applyNumberFormat="1" applyBorder="1" applyAlignment="1">
      <alignment vertical="center" shrinkToFit="1"/>
    </xf>
    <xf numFmtId="176" fontId="4" fillId="0" borderId="2" xfId="0" applyNumberFormat="1" applyFont="1" applyFill="1" applyBorder="1" applyAlignment="1">
      <alignment horizontal="center" vertical="center" shrinkToFit="1"/>
    </xf>
    <xf numFmtId="176" fontId="4" fillId="0" borderId="3" xfId="0" applyNumberFormat="1" applyFont="1" applyFill="1" applyBorder="1" applyAlignment="1">
      <alignment horizontal="center" vertical="center" shrinkToFit="1"/>
    </xf>
    <xf numFmtId="0" fontId="3" fillId="0" borderId="1" xfId="0" applyFont="1" applyFill="1" applyBorder="1" applyAlignment="1">
      <alignment horizontal="center" vertical="center" shrinkToFit="1"/>
    </xf>
    <xf numFmtId="0" fontId="3" fillId="0" borderId="4" xfId="0" applyFont="1" applyFill="1" applyBorder="1" applyAlignment="1">
      <alignment horizontal="center" vertical="center" shrinkToFit="1"/>
    </xf>
    <xf numFmtId="1" fontId="3" fillId="0" borderId="1" xfId="0" applyNumberFormat="1" applyFont="1" applyFill="1" applyBorder="1" applyAlignment="1">
      <alignment horizontal="center" vertical="center" shrinkToFit="1"/>
    </xf>
    <xf numFmtId="1" fontId="3" fillId="0" borderId="4" xfId="0" applyNumberFormat="1" applyFont="1" applyFill="1" applyBorder="1" applyAlignment="1">
      <alignment horizontal="center" vertical="center" shrinkToFit="1"/>
    </xf>
    <xf numFmtId="177" fontId="4" fillId="0" borderId="5" xfId="0" applyNumberFormat="1" applyFont="1" applyFill="1" applyBorder="1" applyAlignment="1">
      <alignment horizontal="center" vertical="center" shrinkToFit="1"/>
    </xf>
    <xf numFmtId="177" fontId="4" fillId="0" borderId="6" xfId="0" applyNumberFormat="1" applyFont="1" applyFill="1" applyBorder="1" applyAlignment="1">
      <alignment horizontal="center" vertical="center" shrinkToFit="1"/>
    </xf>
  </cellXfs>
  <cellStyles count="1">
    <cellStyle name="標準" xfId="0" builtinId="0"/>
  </cellStyles>
  <dxfs count="2">
    <dxf>
      <font>
        <color rgb="FFF00000"/>
      </font>
    </dxf>
    <dxf>
      <font>
        <color rgb="FF0070FF"/>
      </font>
    </dxf>
  </dxfs>
  <tableStyles count="0" defaultTableStyle="TableStyleMedium2" defaultPivotStyle="PivotStyleLight16"/>
  <colors>
    <mruColors>
      <color rgb="FF0070FF"/>
      <color rgb="FF33CCCC"/>
      <color rgb="FF0066CC"/>
      <color rgb="FF0000F0"/>
      <color rgb="FFF00000"/>
      <color rgb="FFFF0000"/>
      <color rgb="FF00B05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6.emf"/><Relationship Id="rId7" Type="http://schemas.openxmlformats.org/officeDocument/2006/relationships/image" Target="../media/image2.emf"/><Relationship Id="rId2" Type="http://schemas.openxmlformats.org/officeDocument/2006/relationships/image" Target="../media/image7.emf"/><Relationship Id="rId1" Type="http://schemas.openxmlformats.org/officeDocument/2006/relationships/image" Target="../media/image8.emf"/><Relationship Id="rId6" Type="http://schemas.openxmlformats.org/officeDocument/2006/relationships/image" Target="../media/image3.emf"/><Relationship Id="rId5" Type="http://schemas.openxmlformats.org/officeDocument/2006/relationships/image" Target="../media/image4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1962150</xdr:colOff>
          <xdr:row>1</xdr:row>
          <xdr:rowOff>19050</xdr:rowOff>
        </xdr:from>
        <xdr:to>
          <xdr:col>4</xdr:col>
          <xdr:colOff>3695700</xdr:colOff>
          <xdr:row>1</xdr:row>
          <xdr:rowOff>533400</xdr:rowOff>
        </xdr:to>
        <xdr:sp macro="" textlink="">
          <xdr:nvSpPr>
            <xdr:cNvPr id="1026" name="Timer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77724" rIns="54864" bIns="77724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スタート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247650</xdr:colOff>
          <xdr:row>1</xdr:row>
          <xdr:rowOff>19050</xdr:rowOff>
        </xdr:from>
        <xdr:to>
          <xdr:col>5</xdr:col>
          <xdr:colOff>2000250</xdr:colOff>
          <xdr:row>1</xdr:row>
          <xdr:rowOff>533400</xdr:rowOff>
        </xdr:to>
        <xdr:sp macro="" textlink="">
          <xdr:nvSpPr>
            <xdr:cNvPr id="1031" name="Rese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77724" rIns="54864" bIns="77724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1943100</xdr:colOff>
          <xdr:row>1</xdr:row>
          <xdr:rowOff>19050</xdr:rowOff>
        </xdr:from>
        <xdr:to>
          <xdr:col>2</xdr:col>
          <xdr:colOff>3686175</xdr:colOff>
          <xdr:row>1</xdr:row>
          <xdr:rowOff>533400</xdr:rowOff>
        </xdr:to>
        <xdr:sp macro="" textlink="">
          <xdr:nvSpPr>
            <xdr:cNvPr id="1033" name="InputRecord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77724" rIns="54864" bIns="77724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記録入力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247650</xdr:colOff>
          <xdr:row>1</xdr:row>
          <xdr:rowOff>19050</xdr:rowOff>
        </xdr:from>
        <xdr:to>
          <xdr:col>3</xdr:col>
          <xdr:colOff>1981200</xdr:colOff>
          <xdr:row>1</xdr:row>
          <xdr:rowOff>533400</xdr:rowOff>
        </xdr:to>
        <xdr:sp macro="" textlink="">
          <xdr:nvSpPr>
            <xdr:cNvPr id="1034" name="FullScree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77724" rIns="54864" bIns="77724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画面調整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171450</xdr:colOff>
          <xdr:row>3</xdr:row>
          <xdr:rowOff>180975</xdr:rowOff>
        </xdr:from>
        <xdr:to>
          <xdr:col>2</xdr:col>
          <xdr:colOff>1905000</xdr:colOff>
          <xdr:row>3</xdr:row>
          <xdr:rowOff>714375</xdr:rowOff>
        </xdr:to>
        <xdr:sp macro="" textlink="">
          <xdr:nvSpPr>
            <xdr:cNvPr id="1238" name="Richi1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0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2076450</xdr:colOff>
          <xdr:row>3</xdr:row>
          <xdr:rowOff>180975</xdr:rowOff>
        </xdr:from>
        <xdr:to>
          <xdr:col>2</xdr:col>
          <xdr:colOff>3810000</xdr:colOff>
          <xdr:row>3</xdr:row>
          <xdr:rowOff>714375</xdr:rowOff>
        </xdr:to>
        <xdr:sp macro="" textlink="">
          <xdr:nvSpPr>
            <xdr:cNvPr id="1239" name="Furo1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0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171450</xdr:colOff>
          <xdr:row>3</xdr:row>
          <xdr:rowOff>180975</xdr:rowOff>
        </xdr:from>
        <xdr:to>
          <xdr:col>3</xdr:col>
          <xdr:colOff>1905000</xdr:colOff>
          <xdr:row>3</xdr:row>
          <xdr:rowOff>714375</xdr:rowOff>
        </xdr:to>
        <xdr:sp macro="" textlink="">
          <xdr:nvSpPr>
            <xdr:cNvPr id="1240" name="Richi2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0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2076450</xdr:colOff>
          <xdr:row>3</xdr:row>
          <xdr:rowOff>180975</xdr:rowOff>
        </xdr:from>
        <xdr:to>
          <xdr:col>3</xdr:col>
          <xdr:colOff>3810000</xdr:colOff>
          <xdr:row>3</xdr:row>
          <xdr:rowOff>714375</xdr:rowOff>
        </xdr:to>
        <xdr:sp macro="" textlink="">
          <xdr:nvSpPr>
            <xdr:cNvPr id="1241" name="Furo2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0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171450</xdr:colOff>
          <xdr:row>3</xdr:row>
          <xdr:rowOff>180975</xdr:rowOff>
        </xdr:from>
        <xdr:to>
          <xdr:col>4</xdr:col>
          <xdr:colOff>1905000</xdr:colOff>
          <xdr:row>3</xdr:row>
          <xdr:rowOff>714375</xdr:rowOff>
        </xdr:to>
        <xdr:sp macro="" textlink="">
          <xdr:nvSpPr>
            <xdr:cNvPr id="1242" name="Richi3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0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2076450</xdr:colOff>
          <xdr:row>3</xdr:row>
          <xdr:rowOff>180975</xdr:rowOff>
        </xdr:from>
        <xdr:to>
          <xdr:col>4</xdr:col>
          <xdr:colOff>3800475</xdr:colOff>
          <xdr:row>3</xdr:row>
          <xdr:rowOff>714375</xdr:rowOff>
        </xdr:to>
        <xdr:sp macro="" textlink="">
          <xdr:nvSpPr>
            <xdr:cNvPr id="1243" name="Furo3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0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171450</xdr:colOff>
          <xdr:row>3</xdr:row>
          <xdr:rowOff>180975</xdr:rowOff>
        </xdr:from>
        <xdr:to>
          <xdr:col>5</xdr:col>
          <xdr:colOff>1905000</xdr:colOff>
          <xdr:row>3</xdr:row>
          <xdr:rowOff>714375</xdr:rowOff>
        </xdr:to>
        <xdr:sp macro="" textlink="">
          <xdr:nvSpPr>
            <xdr:cNvPr id="1244" name="Richi4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0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2076450</xdr:colOff>
          <xdr:row>3</xdr:row>
          <xdr:rowOff>180975</xdr:rowOff>
        </xdr:from>
        <xdr:to>
          <xdr:col>5</xdr:col>
          <xdr:colOff>3810000</xdr:colOff>
          <xdr:row>3</xdr:row>
          <xdr:rowOff>714375</xdr:rowOff>
        </xdr:to>
        <xdr:sp macro="" textlink="">
          <xdr:nvSpPr>
            <xdr:cNvPr id="1245" name="Furo4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0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2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ctrlProp" Target="../ctrlProps/ctrlProp4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A1:F11"/>
  <sheetViews>
    <sheetView showGridLines="0" showRowColHeaders="0" tabSelected="1" zoomScale="74" zoomScaleNormal="74" workbookViewId="0"/>
  </sheetViews>
  <sheetFormatPr defaultColWidth="9" defaultRowHeight="18.75" x14ac:dyDescent="0.4"/>
  <cols>
    <col min="1" max="1" width="1" style="7" customWidth="1"/>
    <col min="2" max="2" width="19.5" style="7" bestFit="1" customWidth="1"/>
    <col min="3" max="3" width="51.75" style="7" customWidth="1"/>
    <col min="4" max="6" width="51.75" style="7" bestFit="1" customWidth="1"/>
    <col min="7" max="7" width="1" style="7" customWidth="1"/>
    <col min="8" max="16384" width="9" style="7"/>
  </cols>
  <sheetData>
    <row r="1" spans="1:6" ht="12" customHeight="1" x14ac:dyDescent="0.4">
      <c r="A1" s="15"/>
    </row>
    <row r="2" spans="1:6" ht="52.5" customHeight="1" x14ac:dyDescent="0.4">
      <c r="A2" s="6"/>
    </row>
    <row r="3" spans="1:6" ht="81" customHeight="1" x14ac:dyDescent="1.25">
      <c r="C3" s="8" t="e">
        <f ca="1">IF(ISERROR(MJFILE()),"―",MJINFO(MJFILE(),1)&amp;MJINFO(MJFILE(),2)&amp;"局")</f>
        <v>#VALUE!</v>
      </c>
      <c r="D3" s="9" t="str">
        <f ca="1">IF(ISERROR(MJFILE()),"―",MJINFO(MJFILE(),3)&amp;"本場 供託"&amp;MJINFO(MJFILE(),4))</f>
        <v>0本場 供託0</v>
      </c>
      <c r="E3" s="10" t="s">
        <v>0</v>
      </c>
      <c r="F3" s="11">
        <f>Setting!A3</f>
        <v>3.4722222222222224E-2</v>
      </c>
    </row>
    <row r="4" spans="1:6" ht="69.75" customHeight="1" thickBot="1" x14ac:dyDescent="0.45"/>
    <row r="5" spans="1:6" ht="64.5" x14ac:dyDescent="0.4">
      <c r="B5" s="3" t="s">
        <v>1</v>
      </c>
      <c r="C5" s="16">
        <f ca="1">IFERROR(_xlfn.RANK.EQ(C$7,$C$7:$F$7),"―")</f>
        <v>2</v>
      </c>
      <c r="D5" s="16">
        <f ca="1">IFERROR(_xlfn.RANK.EQ(D$7,$C$7:$F$7),"―")</f>
        <v>4</v>
      </c>
      <c r="E5" s="16">
        <f ca="1">IFERROR(_xlfn.RANK.EQ(E$7,$C$7:$F$7),"―")</f>
        <v>3</v>
      </c>
      <c r="F5" s="17">
        <f ca="1">IFERROR(_xlfn.RANK.EQ(F$7,$C$7:$F$7),"―")</f>
        <v>1</v>
      </c>
    </row>
    <row r="6" spans="1:6" ht="103.5" x14ac:dyDescent="0.4">
      <c r="B6" s="4" t="s">
        <v>2</v>
      </c>
      <c r="C6" s="18" t="str">
        <f ca="1">IF(ISERROR(MJFILE()),"―",NAME(MJFILE(),0))</f>
        <v>柳澤颯吾</v>
      </c>
      <c r="D6" s="18" t="str">
        <f ca="1">IF(ISERROR(MJFILE()),"―",NAME(MJFILE(),1))</f>
        <v>関谷洸佑</v>
      </c>
      <c r="E6" s="18" t="str">
        <f ca="1">IF(ISERROR(MJFILE()),"―",NAME(MJFILE(),2))</f>
        <v>巻島夢樹</v>
      </c>
      <c r="F6" s="19" t="str">
        <f ca="1">IF(ISERROR(MJFILE()),"―",NAME(MJFILE(),3))</f>
        <v>佐藤成浩</v>
      </c>
    </row>
    <row r="7" spans="1:6" ht="103.5" x14ac:dyDescent="0.4">
      <c r="B7" s="4" t="s">
        <v>3</v>
      </c>
      <c r="C7" s="20">
        <f ca="1">IF(ISERROR(MJFILE()),"―",POINT(MJFILE(),0,4))</f>
        <v>28200</v>
      </c>
      <c r="D7" s="20">
        <f ca="1">IF(ISERROR(MJFILE()),"―",POINT(MJFILE(),1,4))</f>
        <v>19100</v>
      </c>
      <c r="E7" s="20">
        <f ca="1">IF(ISERROR(MJFILE()),"―",POINT(MJFILE(),2,4))</f>
        <v>20000</v>
      </c>
      <c r="F7" s="21">
        <f ca="1">IF(ISERROR(MJFILE()),"―",POINT(MJFILE(),3,4))</f>
        <v>32700</v>
      </c>
    </row>
    <row r="8" spans="1:6" ht="65.25" thickBot="1" x14ac:dyDescent="0.45">
      <c r="B8" s="5" t="s">
        <v>4</v>
      </c>
      <c r="C8" s="22">
        <f ca="1">IF(ISERROR(MJFILE()),"―",score(MJFILE(),0))</f>
        <v>8.1999999999999993</v>
      </c>
      <c r="D8" s="22">
        <f ca="1">IF(ISERROR(MJFILE()),"―",score(MJFILE(),1))</f>
        <v>-40.9</v>
      </c>
      <c r="E8" s="22">
        <f ca="1">IF(ISERROR(MJFILE()),"―",score(MJFILE(),2))</f>
        <v>-20</v>
      </c>
      <c r="F8" s="23">
        <f ca="1">IF(ISERROR(MJFILE()),"―",score(MJFILE(),3))</f>
        <v>52.7</v>
      </c>
    </row>
    <row r="9" spans="1:6" ht="12" customHeight="1" x14ac:dyDescent="0.4"/>
    <row r="10" spans="1:6" ht="58.5" customHeight="1" x14ac:dyDescent="0.4">
      <c r="C10" s="12">
        <f ca="1">IF(ISERROR(MJFILE()),"―",IF(POINT(MJFILE(),0,1)=0,"",POINT(MJFILE(),0,1)+POINT(MJFILE(),0,3)))</f>
        <v>-1000</v>
      </c>
      <c r="D10" s="12">
        <f ca="1">IF(ISERROR(MJFILE()),"―",IF(POINT(MJFILE(),1,1)=0,"",POINT(MJFILE(),1,1)+POINT(MJFILE(),1,3)))</f>
        <v>-2000</v>
      </c>
      <c r="E10" s="12">
        <f ca="1">IF(ISERROR(MJFILE()),"―",IF(POINT(MJFILE(),2,1)=0,"",POINT(MJFILE(),2,1)+POINT(MJFILE(),2,3)))</f>
        <v>-1000</v>
      </c>
      <c r="F10" s="12">
        <f ca="1">IF(ISERROR(MJFILE()),"―",IF(POINT(MJFILE(),3,1)=0,"",POINT(MJFILE(),3,1)+POINT(MJFILE(),3,3)))</f>
        <v>4000</v>
      </c>
    </row>
    <row r="11" spans="1:6" ht="51" customHeight="1" x14ac:dyDescent="0.4">
      <c r="B11" s="13"/>
      <c r="C11" s="14" t="str">
        <f ca="1">IF(ISERROR(MJFILE()),"―",IF(POINT(MJFILE(),0,2)=0,"",POINT(MJFILE(),0,2)))</f>
        <v/>
      </c>
      <c r="D11" s="14" t="str">
        <f ca="1">IF(ISERROR(MJFILE()),"―",IF(POINT(MJFILE(),1,2)=0,"",POINT(MJFILE(),1,2)))</f>
        <v/>
      </c>
      <c r="E11" s="14" t="str">
        <f ca="1">IF(ISERROR(MJFILE()),"―",IF(POINT(MJFILE(),2,2)=0,"",POINT(MJFILE(),2,2)))</f>
        <v/>
      </c>
      <c r="F11" s="14" t="str">
        <f ca="1">IF(ISERROR(MJFILE()),"―",IF(POINT(MJFILE(),3,2)=0,"",POINT(MJFILE(),3,2)))</f>
        <v/>
      </c>
    </row>
  </sheetData>
  <sheetProtection sheet="1" scenarios="1" selectLockedCells="1" selectUnlockedCells="1"/>
  <phoneticPr fontId="1"/>
  <conditionalFormatting sqref="C10:F11">
    <cfRule type="cellIs" dxfId="1" priority="1" operator="greaterThan">
      <formula>0</formula>
    </cfRule>
    <cfRule type="cellIs" dxfId="0" priority="2" operator="lessThan">
      <formula>0</formula>
    </cfRule>
  </conditionalFormatting>
  <dataValidations disablePrompts="1" count="2">
    <dataValidation type="list" allowBlank="1" showInputMessage="1" sqref="F2:Y2" xr:uid="{2E421CE9-58B4-432F-90B5-F7A3923D0009}">
      <formula1>"松澤亮太,滝沢悠人,大池陸斗,百瀬成空,佐藤成浩,依田幸憲,保谷一貴,高野源太,"</formula1>
    </dataValidation>
    <dataValidation type="list" allowBlank="1" showInputMessage="1" sqref="F1:Y1" xr:uid="{E1AC478F-A510-49A3-98FC-8F089E25679C}">
      <formula1>"福澤大地,大池陸斗,小林嶺,佃佳佑,蒲生麗,山﨑柊,上條友暉,北沢蓮太郎,髙橋桜,滝沢悠人,松澤亮太,矢ヶ崎健,依田幸憲,高野源太,多田洋輔,角田創,木角有希,近藤隼,鷲野翼,石澤巧望,岩崎凌汰,松澤大地,水澤良平,小林郁斗,佐藤成浩,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45" r:id="rId4" name="Furo4">
          <controlPr defaultSize="0" autoLine="0" r:id="rId5">
            <anchor moveWithCells="1">
              <from>
                <xdr:col>5</xdr:col>
                <xdr:colOff>2076450</xdr:colOff>
                <xdr:row>3</xdr:row>
                <xdr:rowOff>180975</xdr:rowOff>
              </from>
              <to>
                <xdr:col>5</xdr:col>
                <xdr:colOff>3810000</xdr:colOff>
                <xdr:row>3</xdr:row>
                <xdr:rowOff>714375</xdr:rowOff>
              </to>
            </anchor>
          </controlPr>
        </control>
      </mc:Choice>
      <mc:Fallback>
        <control shapeId="1245" r:id="rId4" name="Furo4"/>
      </mc:Fallback>
    </mc:AlternateContent>
    <mc:AlternateContent xmlns:mc="http://schemas.openxmlformats.org/markup-compatibility/2006">
      <mc:Choice Requires="x14">
        <control shapeId="1244" r:id="rId6" name="Richi4">
          <controlPr defaultSize="0" autoLine="0" r:id="rId7">
            <anchor moveWithCells="1">
              <from>
                <xdr:col>5</xdr:col>
                <xdr:colOff>171450</xdr:colOff>
                <xdr:row>3</xdr:row>
                <xdr:rowOff>180975</xdr:rowOff>
              </from>
              <to>
                <xdr:col>5</xdr:col>
                <xdr:colOff>1905000</xdr:colOff>
                <xdr:row>3</xdr:row>
                <xdr:rowOff>714375</xdr:rowOff>
              </to>
            </anchor>
          </controlPr>
        </control>
      </mc:Choice>
      <mc:Fallback>
        <control shapeId="1244" r:id="rId6" name="Richi4"/>
      </mc:Fallback>
    </mc:AlternateContent>
    <mc:AlternateContent xmlns:mc="http://schemas.openxmlformats.org/markup-compatibility/2006">
      <mc:Choice Requires="x14">
        <control shapeId="1243" r:id="rId8" name="Furo3">
          <controlPr defaultSize="0" autoLine="0" r:id="rId9">
            <anchor moveWithCells="1">
              <from>
                <xdr:col>4</xdr:col>
                <xdr:colOff>2076450</xdr:colOff>
                <xdr:row>3</xdr:row>
                <xdr:rowOff>180975</xdr:rowOff>
              </from>
              <to>
                <xdr:col>4</xdr:col>
                <xdr:colOff>3800475</xdr:colOff>
                <xdr:row>3</xdr:row>
                <xdr:rowOff>714375</xdr:rowOff>
              </to>
            </anchor>
          </controlPr>
        </control>
      </mc:Choice>
      <mc:Fallback>
        <control shapeId="1243" r:id="rId8" name="Furo3"/>
      </mc:Fallback>
    </mc:AlternateContent>
    <mc:AlternateContent xmlns:mc="http://schemas.openxmlformats.org/markup-compatibility/2006">
      <mc:Choice Requires="x14">
        <control shapeId="1242" r:id="rId10" name="Richi3">
          <controlPr defaultSize="0" autoLine="0" r:id="rId11">
            <anchor moveWithCells="1">
              <from>
                <xdr:col>4</xdr:col>
                <xdr:colOff>171450</xdr:colOff>
                <xdr:row>3</xdr:row>
                <xdr:rowOff>180975</xdr:rowOff>
              </from>
              <to>
                <xdr:col>4</xdr:col>
                <xdr:colOff>1905000</xdr:colOff>
                <xdr:row>3</xdr:row>
                <xdr:rowOff>714375</xdr:rowOff>
              </to>
            </anchor>
          </controlPr>
        </control>
      </mc:Choice>
      <mc:Fallback>
        <control shapeId="1242" r:id="rId10" name="Richi3"/>
      </mc:Fallback>
    </mc:AlternateContent>
    <mc:AlternateContent xmlns:mc="http://schemas.openxmlformats.org/markup-compatibility/2006">
      <mc:Choice Requires="x14">
        <control shapeId="1241" r:id="rId12" name="Furo2">
          <controlPr defaultSize="0" autoLine="0" r:id="rId13">
            <anchor moveWithCells="1">
              <from>
                <xdr:col>3</xdr:col>
                <xdr:colOff>2076450</xdr:colOff>
                <xdr:row>3</xdr:row>
                <xdr:rowOff>180975</xdr:rowOff>
              </from>
              <to>
                <xdr:col>3</xdr:col>
                <xdr:colOff>3810000</xdr:colOff>
                <xdr:row>3</xdr:row>
                <xdr:rowOff>714375</xdr:rowOff>
              </to>
            </anchor>
          </controlPr>
        </control>
      </mc:Choice>
      <mc:Fallback>
        <control shapeId="1241" r:id="rId12" name="Furo2"/>
      </mc:Fallback>
    </mc:AlternateContent>
    <mc:AlternateContent xmlns:mc="http://schemas.openxmlformats.org/markup-compatibility/2006">
      <mc:Choice Requires="x14">
        <control shapeId="1240" r:id="rId14" name="Richi2">
          <controlPr defaultSize="0" autoLine="0" r:id="rId15">
            <anchor moveWithCells="1">
              <from>
                <xdr:col>3</xdr:col>
                <xdr:colOff>171450</xdr:colOff>
                <xdr:row>3</xdr:row>
                <xdr:rowOff>180975</xdr:rowOff>
              </from>
              <to>
                <xdr:col>3</xdr:col>
                <xdr:colOff>1905000</xdr:colOff>
                <xdr:row>3</xdr:row>
                <xdr:rowOff>714375</xdr:rowOff>
              </to>
            </anchor>
          </controlPr>
        </control>
      </mc:Choice>
      <mc:Fallback>
        <control shapeId="1240" r:id="rId14" name="Richi2"/>
      </mc:Fallback>
    </mc:AlternateContent>
    <mc:AlternateContent xmlns:mc="http://schemas.openxmlformats.org/markup-compatibility/2006">
      <mc:Choice Requires="x14">
        <control shapeId="1239" r:id="rId16" name="Furo1">
          <controlPr defaultSize="0" autoLine="0" r:id="rId17">
            <anchor moveWithCells="1">
              <from>
                <xdr:col>2</xdr:col>
                <xdr:colOff>2076450</xdr:colOff>
                <xdr:row>3</xdr:row>
                <xdr:rowOff>180975</xdr:rowOff>
              </from>
              <to>
                <xdr:col>2</xdr:col>
                <xdr:colOff>3810000</xdr:colOff>
                <xdr:row>3</xdr:row>
                <xdr:rowOff>714375</xdr:rowOff>
              </to>
            </anchor>
          </controlPr>
        </control>
      </mc:Choice>
      <mc:Fallback>
        <control shapeId="1239" r:id="rId16" name="Furo1"/>
      </mc:Fallback>
    </mc:AlternateContent>
    <mc:AlternateContent xmlns:mc="http://schemas.openxmlformats.org/markup-compatibility/2006">
      <mc:Choice Requires="x14">
        <control shapeId="1238" r:id="rId18" name="Richi1">
          <controlPr defaultSize="0" autoLine="0" r:id="rId19">
            <anchor moveWithCells="1">
              <from>
                <xdr:col>2</xdr:col>
                <xdr:colOff>171450</xdr:colOff>
                <xdr:row>3</xdr:row>
                <xdr:rowOff>180975</xdr:rowOff>
              </from>
              <to>
                <xdr:col>2</xdr:col>
                <xdr:colOff>1905000</xdr:colOff>
                <xdr:row>3</xdr:row>
                <xdr:rowOff>714375</xdr:rowOff>
              </to>
            </anchor>
          </controlPr>
        </control>
      </mc:Choice>
      <mc:Fallback>
        <control shapeId="1238" r:id="rId18" name="Richi1"/>
      </mc:Fallback>
    </mc:AlternateContent>
    <mc:AlternateContent xmlns:mc="http://schemas.openxmlformats.org/markup-compatibility/2006">
      <mc:Choice Requires="x14">
        <control shapeId="1026" r:id="rId20" name="Timer">
          <controlPr defaultSize="0" print="0" autoFill="0" autoPict="0" macro="[0]!TimerSwitch">
            <anchor>
              <from>
                <xdr:col>4</xdr:col>
                <xdr:colOff>1962150</xdr:colOff>
                <xdr:row>1</xdr:row>
                <xdr:rowOff>19050</xdr:rowOff>
              </from>
              <to>
                <xdr:col>4</xdr:col>
                <xdr:colOff>3695700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21" name="Reset">
          <controlPr defaultSize="0" print="0" autoFill="0" autoPict="0" macro="[0]!TimerReset">
            <anchor>
              <from>
                <xdr:col>5</xdr:col>
                <xdr:colOff>247650</xdr:colOff>
                <xdr:row>1</xdr:row>
                <xdr:rowOff>19050</xdr:rowOff>
              </from>
              <to>
                <xdr:col>5</xdr:col>
                <xdr:colOff>2000250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22" name="InputRecord">
          <controlPr defaultSize="0" print="0" autoFill="0" autoPict="0" macro="[0]!InputRecord">
            <anchor>
              <from>
                <xdr:col>2</xdr:col>
                <xdr:colOff>1943100</xdr:colOff>
                <xdr:row>1</xdr:row>
                <xdr:rowOff>19050</xdr:rowOff>
              </from>
              <to>
                <xdr:col>2</xdr:col>
                <xdr:colOff>3686175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23" name="FullScreen">
          <controlPr defaultSize="0" print="0" autoFill="0" autoPict="0" macro="[0]!FullScreen">
            <anchor>
              <from>
                <xdr:col>3</xdr:col>
                <xdr:colOff>247650</xdr:colOff>
                <xdr:row>1</xdr:row>
                <xdr:rowOff>19050</xdr:rowOff>
              </from>
              <to>
                <xdr:col>3</xdr:col>
                <xdr:colOff>1981200</xdr:colOff>
                <xdr:row>1</xdr:row>
                <xdr:rowOff>533400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AB6C9A-B1ED-45B6-899F-82C0DB0B6794}">
  <sheetPr codeName="Sheet2"/>
  <dimension ref="A1:A4"/>
  <sheetViews>
    <sheetView workbookViewId="0"/>
  </sheetViews>
  <sheetFormatPr defaultRowHeight="18.75" x14ac:dyDescent="0.4"/>
  <cols>
    <col min="1" max="2" width="20.625" customWidth="1"/>
  </cols>
  <sheetData>
    <row r="1" spans="1:1" x14ac:dyDescent="0.4">
      <c r="A1" s="1">
        <v>44532.753182870372</v>
      </c>
    </row>
    <row r="2" spans="1:1" x14ac:dyDescent="0.4">
      <c r="A2" s="2">
        <v>3.4722222222222224E-2</v>
      </c>
    </row>
    <row r="3" spans="1:1" x14ac:dyDescent="0.4">
      <c r="A3" s="2">
        <v>3.4722222222222224E-2</v>
      </c>
    </row>
    <row r="4" spans="1:1" x14ac:dyDescent="0.4">
      <c r="A4" t="b">
        <v>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4</vt:i4>
      </vt:variant>
    </vt:vector>
  </HeadingPairs>
  <TitlesOfParts>
    <vt:vector size="6" baseType="lpstr">
      <vt:lpstr>Main</vt:lpstr>
      <vt:lpstr>Setting</vt:lpstr>
      <vt:lpstr>LeftTime</vt:lpstr>
      <vt:lpstr>SetTime</vt:lpstr>
      <vt:lpstr>StartTime</vt:lpstr>
      <vt:lpstr>TimerStatus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Suga I2</cp:lastModifiedBy>
  <cp:lastPrinted>2019-12-01T05:59:05Z</cp:lastPrinted>
  <dcterms:created xsi:type="dcterms:W3CDTF">2019-06-06T00:02:58Z</dcterms:created>
  <dcterms:modified xsi:type="dcterms:W3CDTF">2021-12-02T09:39:18Z</dcterms:modified>
</cp:coreProperties>
</file>