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-club\成績管理システム\"/>
    </mc:Choice>
  </mc:AlternateContent>
  <xr:revisionPtr revIDLastSave="0" documentId="13_ncr:1_{951535CA-65E4-48C0-B22C-6848F1E384E7}" xr6:coauthVersionLast="47" xr6:coauthVersionMax="47" xr10:uidLastSave="{00000000-0000-0000-0000-000000000000}"/>
  <bookViews>
    <workbookView showHorizontalScroll="0" showVerticalScroll="0" showSheetTabs="0" xWindow="-120" yWindow="-120" windowWidth="20730" windowHeight="1116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E6" i="1"/>
  <c r="F6" i="1"/>
  <c r="D3" i="1" l="1"/>
  <c r="C3" i="1"/>
  <c r="C7" i="1" l="1"/>
  <c r="C10" i="1"/>
  <c r="C11" i="1"/>
  <c r="D7" i="1" l="1"/>
  <c r="D10" i="1"/>
  <c r="D11" i="1"/>
  <c r="F7" i="1" l="1"/>
  <c r="F10" i="1"/>
  <c r="F11" i="1"/>
  <c r="E7" i="1" l="1"/>
  <c r="E10" i="1"/>
  <c r="E11" i="1"/>
  <c r="F8" i="1"/>
  <c r="E8" i="1"/>
  <c r="C8" i="1"/>
  <c r="D8" i="1"/>
  <c r="F5" i="1" l="1"/>
  <c r="E5" i="1"/>
  <c r="D5" i="1"/>
  <c r="C5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<sst xmlns="http://schemas.openxmlformats.org/spreadsheetml/2006/main" count="5" uniqueCount="5">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</sst>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1962150</xdr:colOff>
          <xdr:row>1</xdr:row>
          <xdr:rowOff>19050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</xdr:row>
          <xdr:rowOff>19050</xdr:rowOff>
        </xdr:from>
        <xdr:to>
          <xdr:col>5</xdr:col>
          <xdr:colOff>2000250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19050</xdr:rowOff>
        </xdr:from>
        <xdr:to>
          <xdr:col>2</xdr:col>
          <xdr:colOff>3686175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247650</xdr:colOff>
          <xdr:row>1</xdr:row>
          <xdr:rowOff>19050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</xdr:row>
          <xdr:rowOff>180975</xdr:rowOff>
        </xdr:from>
        <xdr:to>
          <xdr:col>2</xdr:col>
          <xdr:colOff>1905000</xdr:colOff>
          <xdr:row>3</xdr:row>
          <xdr:rowOff>714375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2076450</xdr:colOff>
          <xdr:row>3</xdr:row>
          <xdr:rowOff>180975</xdr:rowOff>
        </xdr:from>
        <xdr:to>
          <xdr:col>2</xdr:col>
          <xdr:colOff>3810000</xdr:colOff>
          <xdr:row>3</xdr:row>
          <xdr:rowOff>714375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3</xdr:row>
          <xdr:rowOff>180975</xdr:rowOff>
        </xdr:from>
        <xdr:to>
          <xdr:col>3</xdr:col>
          <xdr:colOff>1905000</xdr:colOff>
          <xdr:row>3</xdr:row>
          <xdr:rowOff>714375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2076450</xdr:colOff>
          <xdr:row>3</xdr:row>
          <xdr:rowOff>180975</xdr:rowOff>
        </xdr:from>
        <xdr:to>
          <xdr:col>3</xdr:col>
          <xdr:colOff>3810000</xdr:colOff>
          <xdr:row>3</xdr:row>
          <xdr:rowOff>714375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3</xdr:row>
          <xdr:rowOff>180975</xdr:rowOff>
        </xdr:from>
        <xdr:to>
          <xdr:col>4</xdr:col>
          <xdr:colOff>1905000</xdr:colOff>
          <xdr:row>3</xdr:row>
          <xdr:rowOff>714375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2076450</xdr:colOff>
          <xdr:row>3</xdr:row>
          <xdr:rowOff>180975</xdr:rowOff>
        </xdr:from>
        <xdr:to>
          <xdr:col>4</xdr:col>
          <xdr:colOff>3800475</xdr:colOff>
          <xdr:row>3</xdr:row>
          <xdr:rowOff>714375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3</xdr:row>
          <xdr:rowOff>180975</xdr:rowOff>
        </xdr:from>
        <xdr:to>
          <xdr:col>5</xdr:col>
          <xdr:colOff>1905000</xdr:colOff>
          <xdr:row>3</xdr:row>
          <xdr:rowOff>714375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2076450</xdr:colOff>
          <xdr:row>3</xdr:row>
          <xdr:rowOff>180975</xdr:rowOff>
        </xdr:from>
        <xdr:to>
          <xdr:col>5</xdr:col>
          <xdr:colOff>3810000</xdr:colOff>
          <xdr:row>3</xdr:row>
          <xdr:rowOff>714375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4" zoomScaleNormal="74" workbookViewId="0">
      <selection activeCell="E2" sqref="E2"/>
    </sheetView>
  </sheetViews>
  <sheetFormatPr defaultColWidth="9" defaultRowHeight="18.75" x14ac:dyDescent="0.4"/>
  <cols>
    <col min="1" max="1" width="1" style="7" customWidth="1"/>
    <col min="2" max="2" width="19.5" style="7" bestFit="1" customWidth="1"/>
    <col min="3" max="3" width="51.75" style="7" customWidth="1"/>
    <col min="4" max="6" width="51.75" style="7" bestFit="1" customWidth="1"/>
    <col min="7" max="7" width="1" style="7" customWidth="1"/>
    <col min="8" max="16384" width="9" style="7"/>
  </cols>
  <sheetData>
    <row r="1" spans="1:6" ht="12" customHeight="1" x14ac:dyDescent="0.4"/>
    <row r="2" spans="1:6" ht="52.5" customHeight="1" x14ac:dyDescent="0.4">
      <c r="A2" s="6"/>
    </row>
    <row r="3" spans="1:6" ht="81" customHeight="1" x14ac:dyDescent="1.25">
      <c r="C3" s="8" t="str">
        <f ca="1">IF(ISERROR(MJFILE()),"―",MJINFO(MJFILE(),1)&amp;MJINFO(MJFILE(),2)&amp;"局")</f>
        <v>南2局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1.9791666666666668E-3</v>
      </c>
    </row>
    <row r="4" spans="1:6" ht="69.75" customHeight="1" thickBot="1" x14ac:dyDescent="0.45"/>
    <row r="5" spans="1:6" ht="64.5" x14ac:dyDescent="0.4">
      <c r="B5" s="3" t="s">
        <v>1</v>
      </c>
      <c r="C5" s="14">
        <f ca="1">IFERROR(_xlfn.RANK.EQ(C$7,$C$7:$F$7),"―")</f>
        <v>4</v>
      </c>
      <c r="D5" s="22">
        <f ca="1">IFERROR(_xlfn.RANK.EQ(D$7,$C$7:$F$7),"―")</f>
        <v>1</v>
      </c>
      <c r="E5" s="14">
        <f ca="1">IFERROR(_xlfn.RANK.EQ(E$7,$C$7:$F$7),"―")</f>
        <v>2</v>
      </c>
      <c r="F5" s="15">
        <f ca="1">IFERROR(_xlfn.RANK.EQ(F$7,$C$7:$F$7),"―")</f>
        <v>3</v>
      </c>
    </row>
    <row r="6" spans="1:6" ht="103.5" x14ac:dyDescent="0.4">
      <c r="B6" s="4" t="s">
        <v>2</v>
      </c>
      <c r="C6" s="16" t="str">
        <f ca="1">IF(ISERROR(MJFILE()),"―",NAME(MJFILE(),0))</f>
        <v>中村花菜</v>
      </c>
      <c r="D6" s="23" t="str">
        <f ca="1">IF(ISERROR(MJFILE()),"―",NAME(MJFILE(),1))</f>
        <v>宮澤七星</v>
      </c>
      <c r="E6" s="16" t="str">
        <f ca="1">IF(ISERROR(MJFILE()),"―",NAME(MJFILE(),2))</f>
        <v>中村季暉</v>
      </c>
      <c r="F6" s="17" t="str">
        <f ca="1">IF(ISERROR(MJFILE()),"―",NAME(MJFILE(),3))</f>
        <v>佐藤成浩</v>
      </c>
    </row>
    <row r="7" spans="1:6" ht="103.5" x14ac:dyDescent="0.4">
      <c r="B7" s="4" t="s">
        <v>3</v>
      </c>
      <c r="C7" s="18">
        <f ca="1">IF(ISERROR(MJFILE()),"―",POINT(MJFILE(),0,4))</f>
        <v>-1500</v>
      </c>
      <c r="D7" s="24">
        <f ca="1">IF(ISERROR(MJFILE()),"―",POINT(MJFILE(),1,4))</f>
        <v>37500</v>
      </c>
      <c r="E7" s="18">
        <f ca="1">IF(ISERROR(MJFILE()),"―",POINT(MJFILE(),2,4))</f>
        <v>36700</v>
      </c>
      <c r="F7" s="19">
        <f ca="1">IF(ISERROR(MJFILE()),"―",POINT(MJFILE(),3,4))</f>
        <v>27300</v>
      </c>
    </row>
    <row r="8" spans="1:6" ht="65.25" thickBot="1" x14ac:dyDescent="0.45">
      <c r="B8" s="5" t="s">
        <v>4</v>
      </c>
      <c r="C8" s="20">
        <f ca="1">IF(ISERROR(MJFILE()),"―",score(MJFILE(),0))</f>
        <v>-61.5</v>
      </c>
      <c r="D8" s="25">
        <f ca="1">IF(ISERROR(MJFILE()),"―",score(MJFILE(),1))</f>
        <v>57.5</v>
      </c>
      <c r="E8" s="20">
        <f ca="1">IF(ISERROR(MJFILE()),"―",score(MJFILE(),2))</f>
        <v>16.7</v>
      </c>
      <c r="F8" s="21">
        <f ca="1">IF(ISERROR(MJFILE()),"―",score(MJFILE(),3))</f>
        <v>-12.7</v>
      </c>
    </row>
    <row r="9" spans="1:6" ht="12" customHeight="1" x14ac:dyDescent="0.4"/>
    <row r="10" spans="1:6" ht="58.5" customHeight="1" x14ac:dyDescent="0.4">
      <c r="C10" s="12">
        <f ca="1">IF(ISERROR(MJFILE()),"―",IF(POINT(MJFILE(),0,1)=0,"",POINT(MJFILE(),0,1)+POINT(MJFILE(),0,3)))</f>
        <v>-1300</v>
      </c>
      <c r="D10" s="12">
        <f ca="1">IF(ISERROR(MJFILE()),"―",IF(POINT(MJFILE(),1,1)=0,"",POINT(MJFILE(),1,1)+POINT(MJFILE(),1,3)))</f>
        <v>2700</v>
      </c>
      <c r="E10" s="12">
        <f ca="1">IF(ISERROR(MJFILE()),"―",IF(POINT(MJFILE(),2,1)=0,"",POINT(MJFILE(),2,1)+POINT(MJFILE(),2,3)))</f>
        <v>-700</v>
      </c>
      <c r="F10" s="12">
        <f ca="1">IF(ISERROR(MJFILE()),"―",IF(POINT(MJFILE(),3,1)=0,"",POINT(MJFILE(),3,1)+POINT(MJFILE(),3,3)))</f>
        <v>-700</v>
      </c>
    </row>
    <row r="11" spans="1:6" ht="51" customHeight="1" x14ac:dyDescent="0.4">
      <c r="C11" s="13" t="str">
        <f ca="1">IF(ISERROR(MJFILE()),"―",IF(POINT(MJFILE(),0,2)=0,"",POINT(MJFILE(),0,2)))</f>
        <v/>
      </c>
      <c r="D11" s="13">
        <f ca="1">IF(ISERROR(MJFILE()),"―",IF(POINT(MJFILE(),1,2)=0,"",POINT(MJFILE(),1,2)))</f>
        <v>1000</v>
      </c>
      <c r="E11" s="13" t="str">
        <f ca="1">IF(ISERROR(MJFILE()),"―",IF(POINT(MJFILE(),2,2)=0,"",POINT(MJFILE(),2,2)))</f>
        <v/>
      </c>
      <c r="F11" s="13">
        <f ca="1">IF(ISERROR(MJFILE()),"―",IF(POINT(MJFILE(),3,2)=0,"",POINT(MJFILE(),3,2)))</f>
        <v>-1000</v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171450</xdr:colOff>
                <xdr:row>3</xdr:row>
                <xdr:rowOff>180975</xdr:rowOff>
              </from>
              <to>
                <xdr:col>2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2076450</xdr:colOff>
                <xdr:row>3</xdr:row>
                <xdr:rowOff>180975</xdr:rowOff>
              </from>
              <to>
                <xdr:col>2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171450</xdr:colOff>
                <xdr:row>3</xdr:row>
                <xdr:rowOff>180975</xdr:rowOff>
              </from>
              <to>
                <xdr:col>3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2076450</xdr:colOff>
                <xdr:row>3</xdr:row>
                <xdr:rowOff>180975</xdr:rowOff>
              </from>
              <to>
                <xdr:col>3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171450</xdr:colOff>
                <xdr:row>3</xdr:row>
                <xdr:rowOff>180975</xdr:rowOff>
              </from>
              <to>
                <xdr:col>4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2076450</xdr:colOff>
                <xdr:row>3</xdr:row>
                <xdr:rowOff>180975</xdr:rowOff>
              </from>
              <to>
                <xdr:col>4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171450</xdr:colOff>
                <xdr:row>3</xdr:row>
                <xdr:rowOff>180975</xdr:rowOff>
              </from>
              <to>
                <xdr:col>5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2076450</xdr:colOff>
                <xdr:row>3</xdr:row>
                <xdr:rowOff>180975</xdr:rowOff>
              </from>
              <to>
                <xdr:col>5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1962150</xdr:colOff>
                <xdr:row>1</xdr:row>
                <xdr:rowOff>19050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247650</xdr:colOff>
                <xdr:row>1</xdr:row>
                <xdr:rowOff>19050</xdr:rowOff>
              </from>
              <to>
                <xdr:col>5</xdr:col>
                <xdr:colOff>2000250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19050</xdr:rowOff>
              </from>
              <to>
                <xdr:col>2</xdr:col>
                <xdr:colOff>3686175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247650</xdr:colOff>
                <xdr:row>1</xdr:row>
                <xdr:rowOff>19050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.75" x14ac:dyDescent="0.4"/>
  <cols>
    <col min="1" max="2" width="20.625" customWidth="1"/>
  </cols>
  <sheetData>
    <row r="1" spans="1:1" x14ac:dyDescent="0.4">
      <c r="A1" s="1">
        <v>44938.774861111109</v>
      </c>
    </row>
    <row r="2" spans="1:1" x14ac:dyDescent="0.4">
      <c r="A2" s="2">
        <v>1.9791666666666668E-3</v>
      </c>
    </row>
    <row r="3" spans="1:1" x14ac:dyDescent="0.4">
      <c r="A3" s="2">
        <v>1.9791666666666668E-3</v>
      </c>
    </row>
    <row r="4" spans="1:1" x14ac:dyDescent="0.4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cp:lastPrinted>2019-12-01T05:59:05Z</cp:lastPrinted>
  <dcterms:created xsi:type="dcterms:W3CDTF">2019-06-06T00:02:58Z</dcterms:created>
  <dcterms:modified xsi:type="dcterms:W3CDTF">2023-01-12T09:35:48Z</dcterms:modified>
</cp:coreProperties>
</file>