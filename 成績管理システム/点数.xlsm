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E4F78C40-D76E-45F9-8DBC-43BD060E1969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F6" i="1"/>
  <c r="C6" i="1"/>
  <c r="D6" i="1"/>
  <c r="E6" i="1"/>
  <c r="C3" i="1" l="1"/>
  <c r="C11" i="1"/>
  <c r="C10" i="1"/>
  <c r="C7" i="1"/>
  <c r="D3" i="1"/>
  <c r="D11" i="1" l="1"/>
  <c r="D10" i="1"/>
  <c r="D7" i="1"/>
  <c r="F11" i="1" l="1"/>
  <c r="F7" i="1"/>
  <c r="F10" i="1"/>
  <c r="E11" i="1" l="1"/>
  <c r="E10" i="1"/>
  <c r="E7" i="1"/>
  <c r="E5" i="1" l="1"/>
  <c r="D5" i="1"/>
  <c r="C5" i="1"/>
  <c r="F5" i="1"/>
  <c r="F8" i="1"/>
  <c r="E8" i="1"/>
  <c r="C8" i="1"/>
  <c r="D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<sst xmlns="http://schemas.openxmlformats.org/spreadsheetml/2006/main" count="5" uniqueCount="5">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</sst>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ストップ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3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0" zoomScaleNormal="70" workbookViewId="0"/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東1局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6"/>
    <row r="5" spans="1:6" ht="64.5" x14ac:dyDescent="0.55000000000000004">
      <c r="B5" s="3" t="s">
        <v>1</v>
      </c>
      <c r="C5" s="14">
        <f ca="1">IFERROR(_xlfn.RANK.EQ(C$7,$C$7:$F$7),"―")</f>
        <v>1</v>
      </c>
      <c r="D5" s="18">
        <f ca="1">IFERROR(_xlfn.RANK.EQ(D$7,$C$7:$F$7),"―")</f>
        <v>1</v>
      </c>
      <c r="E5" s="18">
        <f ca="1">IFERROR(_xlfn.RANK.EQ(E$7,$C$7:$F$7),"―")</f>
        <v>1</v>
      </c>
      <c r="F5" s="19">
        <f ca="1">IFERROR(_xlfn.RANK.EQ(F$7,$C$7:$F$7),"―")</f>
        <v>1</v>
      </c>
    </row>
    <row r="6" spans="1:6" ht="103" x14ac:dyDescent="0.55000000000000004">
      <c r="B6" s="4" t="s">
        <v>2</v>
      </c>
      <c r="C6" s="15" t="str">
        <f ca="1">IF(ISERROR(MJFILE()),"―",NAME(MJFILE(),0))</f>
        <v>塩入悠</v>
      </c>
      <c r="D6" s="20" t="str">
        <f ca="1">IF(ISERROR(MJFILE()),"―",NAME(MJFILE(),1))</f>
        <v>清水常緑</v>
      </c>
      <c r="E6" s="20" t="str">
        <f ca="1">IF(ISERROR(MJFILE()),"―",NAME(MJFILE(),2))</f>
        <v>長野柊馬</v>
      </c>
      <c r="F6" s="21" t="str">
        <f ca="1">IF(ISERROR(MJFILE()),"―",NAME(MJFILE(),3))</f>
        <v>所附快和</v>
      </c>
    </row>
    <row r="7" spans="1:6" ht="103" x14ac:dyDescent="0.55000000000000004">
      <c r="B7" s="4" t="s">
        <v>3</v>
      </c>
      <c r="C7" s="16">
        <f ca="1">IF(ISERROR(MJFILE()),"―",POINT(MJFILE(),0,4))</f>
        <v>25000</v>
      </c>
      <c r="D7" s="22">
        <f ca="1">IF(ISERROR(MJFILE()),"―",POINT(MJFILE(),1,4))</f>
        <v>25000</v>
      </c>
      <c r="E7" s="22">
        <f ca="1">IF(ISERROR(MJFILE()),"―",POINT(MJFILE(),2,4))</f>
        <v>25000</v>
      </c>
      <c r="F7" s="23">
        <f ca="1">IF(ISERROR(MJFILE()),"―",POINT(MJFILE(),3,4))</f>
        <v>25000</v>
      </c>
    </row>
    <row r="8" spans="1:6" ht="65" thickBot="1" x14ac:dyDescent="0.6">
      <c r="B8" s="5" t="s">
        <v>4</v>
      </c>
      <c r="C8" s="17">
        <f ca="1">IF(ISERROR(MJFILE()),"―",score(MJFILE(),0))</f>
        <v>0</v>
      </c>
      <c r="D8" s="24">
        <f ca="1">IF(ISERROR(MJFILE()),"―",score(MJFILE(),1))</f>
        <v>0</v>
      </c>
      <c r="E8" s="24">
        <f ca="1">IF(ISERROR(MJFILE()),"―",score(MJFILE(),2))</f>
        <v>0</v>
      </c>
      <c r="F8" s="25">
        <f ca="1">IF(ISERROR(MJFILE()),"―",score(MJFILE(),3))</f>
        <v>0</v>
      </c>
    </row>
    <row r="9" spans="1:6" ht="12" customHeight="1" x14ac:dyDescent="0.55000000000000004"/>
    <row r="10" spans="1:6" ht="58.5" customHeight="1" x14ac:dyDescent="0.55000000000000004">
      <c r="C10" s="12" t="str">
        <f ca="1">IF(ISERROR(MJFILE()),"―",IF(POINT(MJFILE(),0,1)=0,"",POINT(MJFILE(),0,1)+POINT(MJFILE(),0,3)))</f>
        <v/>
      </c>
      <c r="D10" s="12" t="str">
        <f ca="1">IF(ISERROR(MJFILE()),"―",IF(POINT(MJFILE(),1,1)=0,"",POINT(MJFILE(),1,1)+POINT(MJFILE(),1,3)))</f>
        <v/>
      </c>
      <c r="E10" s="12" t="str">
        <f ca="1">IF(ISERROR(MJFILE()),"―",IF(POINT(MJFILE(),2,1)=0,"",POINT(MJFILE(),2,1)+POINT(MJFILE(),2,3)))</f>
        <v/>
      </c>
      <c r="F10" s="12" t="str">
        <f ca="1">IF(ISERROR(MJFILE()),"―",IF(POINT(MJFILE(),3,1)=0,"",POINT(MJFILE(),3,1)+POINT(MJFILE(),3,3)))</f>
        <v/>
      </c>
    </row>
    <row r="11" spans="1:6" ht="51" customHeight="1" x14ac:dyDescent="0.55000000000000004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11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2" name="Richi3">
          <controlPr defaultSize="0" autoLine="0" r:id="rId13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2" name="Richi3"/>
      </mc:Fallback>
    </mc:AlternateContent>
    <mc:AlternateContent xmlns:mc="http://schemas.openxmlformats.org/markup-compatibility/2006">
      <mc:Choice Requires="x14">
        <control shapeId="1243" r:id="rId14" name="Furo3">
          <controlPr defaultSize="0" autoLine="0" r:id="rId15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14" name="Furo3"/>
      </mc:Fallback>
    </mc:AlternateContent>
    <mc:AlternateContent xmlns:mc="http://schemas.openxmlformats.org/markup-compatibility/2006">
      <mc:Choice Requires="x14">
        <control shapeId="1244" r:id="rId16" name="Richi4">
          <controlPr defaultSize="0" autoLine="0" r:id="rId17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16" name="Richi4"/>
      </mc:Fallback>
    </mc:AlternateContent>
    <mc:AlternateContent xmlns:mc="http://schemas.openxmlformats.org/markup-compatibility/2006">
      <mc:Choice Requires="x14">
        <control shapeId="1245" r:id="rId18" name="Furo4">
          <controlPr defaultSize="0" autoLine="0" r:id="rId11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18" name="Furo4"/>
      </mc:Fallback>
    </mc:AlternateContent>
    <mc:AlternateContent xmlns:mc="http://schemas.openxmlformats.org/markup-compatibility/2006">
      <mc:Choice Requires="x14">
        <control shapeId="1026" r:id="rId19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0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1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2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45499.74113425926</v>
      </c>
    </row>
    <row r="2" spans="1:1" x14ac:dyDescent="0.55000000000000004">
      <c r="A2" s="2">
        <v>3.4722222222222224E-2</v>
      </c>
    </row>
    <row r="3" spans="1:1" x14ac:dyDescent="0.55000000000000004">
      <c r="A3" s="2">
        <v>3.4722222222222224E-2</v>
      </c>
    </row>
    <row r="4" spans="1:1" x14ac:dyDescent="0.55000000000000004">
      <c r="A4" t="b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2019-12-01T05:59:05Z</cp:lastPrinted>
  <dcterms:created xsi:type="dcterms:W3CDTF">2019-06-06T00:02:58Z</dcterms:created>
  <dcterms:modified xsi:type="dcterms:W3CDTF">2024-07-26T08:47:14Z</dcterms:modified>
</cp:coreProperties>
</file>