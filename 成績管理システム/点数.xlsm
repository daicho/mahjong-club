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36FCAB54-D301-4892-82EF-3A7A6318101A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C3" i="1" l="1"/>
  <c r="C11" i="1"/>
  <c r="C10" i="1"/>
  <c r="C7" i="1"/>
  <c r="D3" i="1"/>
  <c r="D10" i="1" l="1"/>
  <c r="D11" i="1"/>
  <c r="D7" i="1"/>
  <c r="F11" i="1" l="1"/>
  <c r="F7" i="1"/>
  <c r="F10" i="1"/>
  <c r="E7" i="1" l="1"/>
  <c r="E10" i="1"/>
  <c r="E11" i="1"/>
  <c r="E5" i="1" l="1"/>
  <c r="C5" i="1"/>
  <c r="D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<sst xmlns="http://schemas.openxmlformats.org/spreadsheetml/2006/main" count="5" uniqueCount="5">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</sst>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2本場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1</v>
      </c>
      <c r="D5" s="18">
        <f ca="1">IFERROR(_xlfn.RANK.EQ(D$7,$C$7:$F$7),"―")</f>
        <v>3</v>
      </c>
      <c r="E5" s="18">
        <f ca="1">IFERROR(_xlfn.RANK.EQ(E$7,$C$7:$F$7),"―")</f>
        <v>4</v>
      </c>
      <c r="F5" s="14">
        <f ca="1">IFERROR(_xlfn.RANK.EQ(F$7,$C$7:$F$7),"―")</f>
        <v>2</v>
      </c>
    </row>
    <row r="6" spans="1:6" ht="103" x14ac:dyDescent="0.55000000000000004">
      <c r="B6" s="4" t="s">
        <v>2</v>
      </c>
      <c r="C6" s="19" t="str">
        <f ca="1">IF(ISERROR(MJFILE()),"―",NAME(MJFILE(),0))</f>
        <v>佐藤成浩</v>
      </c>
      <c r="D6" s="19" t="str">
        <f ca="1">IF(ISERROR(MJFILE()),"―",NAME(MJFILE(),1))</f>
        <v>高橋英将</v>
      </c>
      <c r="E6" s="19" t="str">
        <f ca="1">IF(ISERROR(MJFILE()),"―",NAME(MJFILE(),2))</f>
        <v>山崎暖斗</v>
      </c>
      <c r="F6" s="15" t="str">
        <f ca="1">IF(ISERROR(MJFILE()),"―",NAME(MJFILE(),3))</f>
        <v>山本悠介</v>
      </c>
    </row>
    <row r="7" spans="1:6" ht="103" x14ac:dyDescent="0.55000000000000004">
      <c r="B7" s="4" t="s">
        <v>3</v>
      </c>
      <c r="C7" s="20">
        <f ca="1">IF(ISERROR(MJFILE()),"―",POINT(MJFILE(),0,4))</f>
        <v>33500</v>
      </c>
      <c r="D7" s="20">
        <f ca="1">IF(ISERROR(MJFILE()),"―",POINT(MJFILE(),1,4))</f>
        <v>18400</v>
      </c>
      <c r="E7" s="20">
        <f ca="1">IF(ISERROR(MJFILE()),"―",POINT(MJFILE(),2,4))</f>
        <v>16500</v>
      </c>
      <c r="F7" s="16">
        <f ca="1">IF(ISERROR(MJFILE()),"―",POINT(MJFILE(),3,4))</f>
        <v>30600</v>
      </c>
    </row>
    <row r="8" spans="1:6" ht="65" thickBot="1" x14ac:dyDescent="0.6">
      <c r="B8" s="5" t="s">
        <v>4</v>
      </c>
      <c r="C8" s="21">
        <f ca="1">IF(ISERROR(MJFILE()),"―",score(MJFILE(),0))</f>
        <v>53.5</v>
      </c>
      <c r="D8" s="21">
        <f ca="1">IF(ISERROR(MJFILE()),"―",score(MJFILE(),1))</f>
        <v>-21.6</v>
      </c>
      <c r="E8" s="21">
        <f ca="1">IF(ISERROR(MJFILE()),"―",score(MJFILE(),2))</f>
        <v>-43.5</v>
      </c>
      <c r="F8" s="17">
        <f ca="1">IF(ISERROR(MJFILE()),"―",score(MJFILE(),3))</f>
        <v>10.6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-1500</v>
      </c>
      <c r="D10" s="12">
        <f ca="1">IF(ISERROR(MJFILE()),"―",IF(POINT(MJFILE(),1,1)=0,"",POINT(MJFILE(),1,1)+POINT(MJFILE(),1,3)))</f>
        <v>-1500</v>
      </c>
      <c r="E10" s="12">
        <f ca="1">IF(ISERROR(MJFILE()),"―",IF(POINT(MJFILE(),2,1)=0,"",POINT(MJFILE(),2,1)+POINT(MJFILE(),2,3)))</f>
        <v>1500</v>
      </c>
      <c r="F10" s="12">
        <f ca="1">IF(ISERROR(MJFILE()),"―",IF(POINT(MJFILE(),3,1)=0,"",POINT(MJFILE(),3,1)+POINT(MJFILE(),3,3)))</f>
        <v>1500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13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4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4" name="Furo1"/>
      </mc:Fallback>
    </mc:AlternateContent>
    <mc:AlternateContent xmlns:mc="http://schemas.openxmlformats.org/markup-compatibility/2006">
      <mc:Choice Requires="x14">
        <control shapeId="1238" r:id="rId15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5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45835.69159722222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2025-06-27T08:28:34Z</dcterms:modified>
</cp:coreProperties>
</file>