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E7A4320C-761C-4D43-BF24-155BB7EF35F1}" xr6:coauthVersionLast="47" xr6:coauthVersionMax="47" xr10:uidLastSave="{00000000-0000-0000-0000-000000000000}"/>
  <bookViews>
    <workbookView showHorizontalScroll="0" showVerticalScroll="0" showSheetTabs="0" xWindow="-110" yWindow="-110" windowWidth="19420" windowHeight="122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10" i="1"/>
  <c r="E7" i="1"/>
  <c r="D11" i="1"/>
  <c r="D6" i="1"/>
  <c r="D10" i="1"/>
  <c r="C11" i="1"/>
  <c r="F10" i="1"/>
  <c r="E10" i="1"/>
  <c r="F11" i="1"/>
  <c r="E6" i="1"/>
  <c r="D7" i="1"/>
  <c r="E11" i="1"/>
  <c r="C7" i="1"/>
  <c r="C6" i="1"/>
  <c r="F7" i="1"/>
  <c r="F6" i="1"/>
  <c r="E5" i="1" l="1"/>
  <c r="D5" i="1"/>
  <c r="C5" i="1"/>
  <c r="F5" i="1"/>
  <c r="C8" i="1"/>
  <c r="D8" i="1"/>
  <c r="E8" i="1"/>
  <c r="F8" i="1"/>
  <c r="C3" i="1" l="1"/>
  <c r="D3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<sst xmlns="http://schemas.openxmlformats.org/spreadsheetml/2006/main" count="5" uniqueCount="5">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</sst>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8">
        <f ca="1">IFERROR(_xlfn.RANK.EQ(D$7,$C$7:$F$7),"―")</f>
        <v>1</v>
      </c>
      <c r="E5" s="18">
        <f ca="1">IFERROR(_xlfn.RANK.EQ(E$7,$C$7:$F$7),"―")</f>
        <v>1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15" t="str">
        <f ca="1">IF(ISERROR(MJFILE()),"―",NAME(MJFILE(),0))</f>
        <v>笠原誠</v>
      </c>
      <c r="D6" s="20" t="str">
        <f ca="1">IF(ISERROR(MJFILE()),"―",NAME(MJFILE(),1))</f>
        <v>清水遙斗</v>
      </c>
      <c r="E6" s="20" t="str">
        <f ca="1">IF(ISERROR(MJFILE()),"―",NAME(MJFILE(),2))</f>
        <v>高山晶</v>
      </c>
      <c r="F6" s="21" t="str">
        <f ca="1">IF(ISERROR(MJFILE()),"―",NAME(MJFILE(),3))</f>
        <v>山田夏寿希</v>
      </c>
    </row>
    <row r="7" spans="1:6" ht="103" x14ac:dyDescent="0.55000000000000004">
      <c r="B7" s="4" t="s">
        <v>3</v>
      </c>
      <c r="C7" s="16">
        <f ca="1">IF(ISERROR(MJFILE()),"―",POINT(MJFILE(),0,4))</f>
        <v>25000</v>
      </c>
      <c r="D7" s="22">
        <f ca="1">IF(ISERROR(MJFILE()),"―",POINT(MJFILE(),1,4))</f>
        <v>25000</v>
      </c>
      <c r="E7" s="22">
        <f ca="1">IF(ISERROR(MJFILE()),"―",POINT(MJFILE(),2,4))</f>
        <v>25000</v>
      </c>
      <c r="F7" s="23">
        <f ca="1">IF(ISERROR(MJFILE()),"―",POINT(MJFILE(),3,4))</f>
        <v>25000</v>
      </c>
    </row>
    <row r="8" spans="1:6" ht="65" thickBot="1" x14ac:dyDescent="0.6">
      <c r="B8" s="5" t="s">
        <v>4</v>
      </c>
      <c r="C8" s="17">
        <f ca="1">IF(ISERROR(MJFILE()),"―",score(MJFILE(),0))</f>
        <v>0</v>
      </c>
      <c r="D8" s="24">
        <f ca="1">IF(ISERROR(MJFILE()),"―",score(MJFILE(),1))</f>
        <v>0</v>
      </c>
      <c r="E8" s="24">
        <f ca="1">IF(ISERROR(MJFILE()),"―",score(MJFILE(),2))</f>
        <v>0</v>
      </c>
      <c r="F8" s="25">
        <f ca="1">IF(ISERROR(MJFILE()),"―",score(MJFILE(),3))</f>
        <v>0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7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3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3" name="Furo1"/>
      </mc:Fallback>
    </mc:AlternateContent>
    <mc:AlternateContent xmlns:mc="http://schemas.openxmlformats.org/markup-compatibility/2006">
      <mc:Choice Requires="x14">
        <control shapeId="1238" r:id="rId14" name="Richi1">
          <controlPr defaultSize="0" autoLine="0" r:id="rId7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4" name="Richi1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46310.734212962961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2019-12-01T05:59:05Z</cp:lastPrinted>
  <dcterms:created xsi:type="dcterms:W3CDTF">2019-06-06T00:02:58Z</dcterms:created>
  <dcterms:modified xsi:type="dcterms:W3CDTF">2026-10-15T14:28:34Z</dcterms:modified>
</cp:coreProperties>
</file>