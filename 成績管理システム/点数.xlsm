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54739A27-3F29-4EF5-B2EE-1D276D10CE79}" xr6:coauthVersionLast="41" xr6:coauthVersionMax="41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  <sheet name="Setting" sheetId="3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C6" i="1"/>
  <c r="F6" i="1"/>
  <c r="D8" i="1"/>
  <c r="D7" i="1"/>
  <c r="D10" i="1"/>
  <c r="E8" i="1"/>
  <c r="E6" i="1"/>
  <c r="D6" i="1"/>
  <c r="E11" i="1"/>
  <c r="F10" i="1"/>
  <c r="C11" i="1"/>
  <c r="C10" i="1"/>
  <c r="F11" i="1"/>
  <c r="E10" i="1"/>
  <c r="C7" i="1"/>
  <c r="F8" i="1"/>
  <c r="C8" i="1"/>
  <c r="F7" i="1"/>
  <c r="D11" i="1"/>
  <c r="E7" i="1"/>
  <c r="C5" i="1" l="1"/>
  <c r="D5" i="1"/>
  <c r="F5" i="1"/>
  <c r="E5" i="1"/>
  <c r="D3" i="1"/>
  <c r="C3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<sst xmlns="http://schemas.openxmlformats.org/spreadsheetml/2006/main" count="5" uniqueCount="5">
  <si>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</si>
  <si>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</si>
  <si>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</si>
  <si>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</si>
  <si>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残り時間</t>
    <rPh sb="0" eb="1">
      <t>ノコ</t>
    </rPh>
    <rPh sb="2" eb="4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</si>
</sst>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72"/>
      <color theme="1"/>
      <name val="游ゴシック"/>
      <family val="2"/>
      <charset val="128"/>
      <scheme val="minor"/>
    </font>
    <font>
      <sz val="36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22" fontId="0" fillId="0" borderId="0" xfId="0" applyNumberFormat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right" vertic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right"/>
    </xf>
    <xf numFmtId="180" fontId="2" fillId="0" borderId="0" xfId="0" applyNumberFormat="1" applyFont="1" applyBorder="1" applyAlignment="1">
      <alignment horizontal="left" vertical="center"/>
    </xf>
    <xf numFmtId="178" fontId="5" fillId="0" borderId="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178" fontId="3" fillId="0" borderId="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shrinkToFit="1"/>
    </xf>
    <xf numFmtId="0" fontId="4" fillId="0" borderId="8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shrinkToFit="1"/>
    </xf>
  </cellXfs>
  <cellStyles count="1">
    <cellStyle name="標準" xfId="0" builtinId="0"/>
  </cellStyles>
  <dxfs count="3">
    <dxf>
      <font>
        <color rgb="FFF00000"/>
      </font>
    </dxf>
    <dxf>
      <font>
        <color rgb="FF0000F0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00F0"/>
      <color rgb="FF0070FF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2495550</xdr:colOff>
          <xdr:row>1</xdr:row>
          <xdr:rowOff>200025</xdr:rowOff>
        </xdr:from>
        <xdr:to>
          <xdr:col>4</xdr:col>
          <xdr:colOff>5038725</xdr:colOff>
          <xdr:row>1</xdr:row>
          <xdr:rowOff>1028700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</xdr:row>
          <xdr:rowOff>200025</xdr:rowOff>
        </xdr:from>
        <xdr:to>
          <xdr:col>5</xdr:col>
          <xdr:colOff>2895600</xdr:colOff>
          <xdr:row>1</xdr:row>
          <xdr:rowOff>1028700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2495550</xdr:colOff>
          <xdr:row>1</xdr:row>
          <xdr:rowOff>200025</xdr:rowOff>
        </xdr:from>
        <xdr:to>
          <xdr:col>2</xdr:col>
          <xdr:colOff>5038725</xdr:colOff>
          <xdr:row>1</xdr:row>
          <xdr:rowOff>1028700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1</xdr:row>
          <xdr:rowOff>200025</xdr:rowOff>
        </xdr:from>
        <xdr:to>
          <xdr:col>3</xdr:col>
          <xdr:colOff>2895600</xdr:colOff>
          <xdr:row>1</xdr:row>
          <xdr:rowOff>1028700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tabSelected="1" zoomScale="76" zoomScaleNormal="76" workbookViewId="0"/>
  </sheetViews>
  <sheetFormatPr defaultRowHeight="18.75" x14ac:dyDescent="0.4"/>
  <cols>
    <col min="1" max="1" width="1" style="12" customWidth="1"/>
    <col min="2" max="2" width="23.5" style="12" customWidth="1"/>
    <col min="3" max="5" width="70.625" style="12" customWidth="1"/>
    <col min="6" max="6" width="78.125" style="12" bestFit="1" customWidth="1"/>
    <col min="7" max="7" width="1" style="12" customWidth="1"/>
    <col min="8" max="16384" width="9" style="12"/>
  </cols>
  <sheetData>
    <row r="1" spans="1:6" ht="13.5" customHeight="1" x14ac:dyDescent="0.4">
      <c r="A1" s="11"/>
    </row>
    <row r="2" spans="1:6" ht="95.25" customHeight="1" x14ac:dyDescent="0.4">
      <c r="A2" s="11"/>
    </row>
    <row r="3" spans="1:6" ht="123.75" customHeight="1" x14ac:dyDescent="1.85">
      <c r="C3" s="13" t="e">
        <f>MJINFO(MJFILE(),1)&amp;MJINFO(MJFILE(),2)&amp;"局"</f>
        <v>#VALUE!</v>
      </c>
      <c r="D3" s="14" t="e">
        <f>""&amp;MJINFO(MJFILE(),3)&amp;"本場 供託"&amp;MJINFO(MJFILE(),4)</f>
        <v>#VALUE!</v>
      </c>
      <c r="E3" s="15" t="s">
        <v>4</v>
      </c>
      <c r="F3" s="16">
        <f>Setting!A3</f>
        <v>5.7870370370370366E-5</v>
      </c>
    </row>
    <row r="4" spans="1:6" ht="19.5" thickBot="1" x14ac:dyDescent="0.45"/>
    <row r="5" spans="1:6" ht="97.5" customHeight="1" x14ac:dyDescent="0.4">
      <c r="B5" s="20" t="s">
        <v>0</v>
      </c>
      <c r="C5" s="3" t="e">
        <f>_xlfn.RANK.EQ(C$7,$C$7:$F$7)</f>
        <v>#VALUE!</v>
      </c>
      <c r="D5" s="3" t="e">
        <f>_xlfn.RANK.EQ(D$7,$C$7:$F$7)</f>
        <v>#VALUE!</v>
      </c>
      <c r="E5" s="3" t="e">
        <f>_xlfn.RANK.EQ(E$7,$C$7:$F$7)</f>
        <v>#VALUE!</v>
      </c>
      <c r="F5" s="4" t="e">
        <f>_xlfn.RANK.EQ(F$7,$C$7:$F$7)</f>
        <v>#VALUE!</v>
      </c>
    </row>
    <row r="6" spans="1:6" ht="154.5" x14ac:dyDescent="0.4">
      <c r="B6" s="21" t="s">
        <v>1</v>
      </c>
      <c r="C6" s="1" t="e">
        <f>NAME(MJFILE(),0)</f>
        <v>#VALUE!</v>
      </c>
      <c r="D6" s="1" t="e">
        <f>NAME(MJFILE(),1)</f>
        <v>#VALUE!</v>
      </c>
      <c r="E6" s="1" t="e">
        <f>NAME(MJFILE(),2)</f>
        <v>#VALUE!</v>
      </c>
      <c r="F6" s="2" t="e">
        <f>NAME(MJFILE(),3)</f>
        <v>#VALUE!</v>
      </c>
    </row>
    <row r="7" spans="1:6" ht="154.5" x14ac:dyDescent="0.4">
      <c r="B7" s="21" t="s">
        <v>2</v>
      </c>
      <c r="C7" s="5" t="e">
        <f>POINT(MJFILE(),0,4)</f>
        <v>#VALUE!</v>
      </c>
      <c r="D7" s="5" t="e">
        <f>POINT(MJFILE(),1,4)</f>
        <v>#VALUE!</v>
      </c>
      <c r="E7" s="5" t="e">
        <f>POINT(MJFILE(),2,4)</f>
        <v>#VALUE!</v>
      </c>
      <c r="F7" s="6" t="e">
        <f>POINT(MJFILE(),3,4)</f>
        <v>#VALUE!</v>
      </c>
    </row>
    <row r="8" spans="1:6" ht="97.5" thickBot="1" x14ac:dyDescent="0.45">
      <c r="B8" s="22" t="s">
        <v>3</v>
      </c>
      <c r="C8" s="7" t="e">
        <f>score(MJFILE(),0)</f>
        <v>#VALUE!</v>
      </c>
      <c r="D8" s="7" t="e">
        <f>score(MJFILE(),1)</f>
        <v>#VALUE!</v>
      </c>
      <c r="E8" s="7" t="e">
        <f>score(MJFILE(),2)</f>
        <v>#VALUE!</v>
      </c>
      <c r="F8" s="8" t="e">
        <f>score(MJFILE(),3)</f>
        <v>#VALUE!</v>
      </c>
    </row>
    <row r="10" spans="1:6" ht="96" customHeight="1" x14ac:dyDescent="0.4">
      <c r="C10" s="17" t="e">
        <f>IF(POINT(MJFILE(),0,1)=0,"",POINT(MJFILE(),0,1)+POINT(MJFILE(),0,3))</f>
        <v>#VALUE!</v>
      </c>
      <c r="D10" s="17" t="e">
        <f>IF(POINT(MJFILE(),1,1)=0,"",POINT(MJFILE(),1,1)+POINT(MJFILE(),1,3))</f>
        <v>#VALUE!</v>
      </c>
      <c r="E10" s="17" t="e">
        <f>IF(POINT(MJFILE(),2,1)=0,"",POINT(MJFILE(),2,1)+POINT(MJFILE(),2,3))</f>
        <v>#VALUE!</v>
      </c>
      <c r="F10" s="17" t="e">
        <f>IF(POINT(MJFILE(),3,1)=0,"",POINT(MJFILE(),3,1)+POINT(MJFILE(),3,3))</f>
        <v>#VALUE!</v>
      </c>
    </row>
    <row r="11" spans="1:6" ht="75.75" customHeight="1" x14ac:dyDescent="0.4">
      <c r="B11" s="18"/>
      <c r="C11" s="19" t="e">
        <f>IF(POINT(MJFILE(),0,2)=0,"",POINT(MJFILE(),0,2))</f>
        <v>#VALUE!</v>
      </c>
      <c r="D11" s="19" t="e">
        <f>IF(POINT(MJFILE(),1,2)=0,"",POINT(MJFILE(),1,2))</f>
        <v>#VALUE!</v>
      </c>
      <c r="E11" s="19" t="e">
        <f>IF(POINT(MJFILE(),2,2)=0,"",POINT(MJFILE(),2,2))</f>
        <v>#VALUE!</v>
      </c>
      <c r="F11" s="19" t="e">
        <f>IF(POINT(MJFILE(),3,2)=0,"",POINT(MJFILE(),3,2))</f>
        <v>#VALUE!</v>
      </c>
    </row>
  </sheetData>
  <sheetProtection sheet="1" scenarios="1" selectLockedCells="1" selectUnlockedCells="1"/>
  <phoneticPr fontId="1"/>
  <conditionalFormatting sqref="C5:C8 E5:F8">
    <cfRule type="expression" dxfId="2" priority="4">
      <formula>MJINFO(MJFILE(),5)=C$6</formula>
    </cfRule>
  </conditionalFormatting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1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Timer">
              <controlPr defaultSize="0" print="0" autoFill="0" autoPict="0" macro="[0]!TimerSwitch">
                <anchor moveWithCells="1">
                  <from>
                    <xdr:col>4</xdr:col>
                    <xdr:colOff>2495550</xdr:colOff>
                    <xdr:row>1</xdr:row>
                    <xdr:rowOff>200025</xdr:rowOff>
                  </from>
                  <to>
                    <xdr:col>4</xdr:col>
                    <xdr:colOff>5038725</xdr:colOff>
                    <xdr:row>1</xdr:row>
                    <xdr:rowOff>1028700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Reset">
              <controlPr defaultSize="0" print="0" autoFill="0" autoPict="0" macro="[0]!TimerReset">
                <anchor moveWithCells="1">
                  <from>
                    <xdr:col>5</xdr:col>
                    <xdr:colOff>352425</xdr:colOff>
                    <xdr:row>1</xdr:row>
                    <xdr:rowOff>200025</xdr:rowOff>
                  </from>
                  <to>
                    <xdr:col>5</xdr:col>
                    <xdr:colOff>2895600</xdr:colOff>
                    <xdr:row>1</xdr:row>
                    <xdr:rowOff>1028700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InputRecord">
              <controlPr defaultSize="0" print="0" autoFill="0" autoPict="0" macro="[0]!InputRecord">
                <anchor moveWithCells="1">
                  <from>
                    <xdr:col>2</xdr:col>
                    <xdr:colOff>2495550</xdr:colOff>
                    <xdr:row>1</xdr:row>
                    <xdr:rowOff>200025</xdr:rowOff>
                  </from>
                  <to>
                    <xdr:col>2</xdr:col>
                    <xdr:colOff>5038725</xdr:colOff>
                    <xdr:row>1</xdr:row>
                    <xdr:rowOff>1028700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FullScreen">
              <controlPr defaultSize="0" print="0" autoFill="0" autoPict="0" macro="[0]!FullScreen">
                <anchor moveWithCells="1">
                  <from>
                    <xdr:col>3</xdr:col>
                    <xdr:colOff>352425</xdr:colOff>
                    <xdr:row>1</xdr:row>
                    <xdr:rowOff>200025</xdr:rowOff>
                  </from>
                  <to>
                    <xdr:col>3</xdr:col>
                    <xdr:colOff>2895600</xdr:colOff>
                    <xdr:row>1</xdr:row>
                    <xdr:rowOff>1028700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1" width="19.5" bestFit="1" customWidth="1"/>
  </cols>
  <sheetData>
    <row r="1" spans="1:1" x14ac:dyDescent="0.4">
      <c r="A1" s="9">
        <v>43798.738935185182</v>
      </c>
    </row>
    <row r="2" spans="1:1" x14ac:dyDescent="0.4">
      <c r="A2" s="10">
        <v>5.7870370370370366E-5</v>
      </c>
    </row>
    <row r="3" spans="1:1" x14ac:dyDescent="0.4">
      <c r="A3" s="10">
        <v>5.7870370370370366E-5</v>
      </c>
    </row>
    <row r="4" spans="1:1" x14ac:dyDescent="0.4">
      <c r="A4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2019-11-29T08:44:29Z</dcterms:modified>
</cp:coreProperties>
</file>