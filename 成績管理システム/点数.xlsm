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06820342-741F-4615-AE57-AA29EFA6E9B5}" xr6:coauthVersionLast="41" xr6:coauthVersionMax="41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F6" i="1"/>
  <c r="D6" i="1"/>
  <c r="C3" i="1" l="1"/>
  <c r="D3" i="1"/>
  <c r="C10" i="1"/>
  <c r="C7" i="1"/>
  <c r="C11" i="1"/>
  <c r="D11" i="1" l="1"/>
  <c r="D10" i="1"/>
  <c r="D7" i="1"/>
  <c r="F7" i="1" l="1"/>
  <c r="F10" i="1"/>
  <c r="F11" i="1"/>
  <c r="E11" i="1" l="1"/>
  <c r="E7" i="1"/>
  <c r="E10" i="1"/>
  <c r="E5" i="1" l="1"/>
  <c r="D5" i="1"/>
  <c r="C5" i="1"/>
  <c r="F5" i="1"/>
  <c r="F8" i="1"/>
  <c r="D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<sst xmlns="http://schemas.openxmlformats.org/spreadsheetml/2006/main" count="5" uniqueCount="5">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</sst>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1950720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1988820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3</xdr:row>
          <xdr:rowOff>182880</xdr:rowOff>
        </xdr:from>
        <xdr:to>
          <xdr:col>2</xdr:col>
          <xdr:colOff>1889760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2065020</xdr:colOff>
          <xdr:row>3</xdr:row>
          <xdr:rowOff>182880</xdr:rowOff>
        </xdr:from>
        <xdr:to>
          <xdr:col>2</xdr:col>
          <xdr:colOff>3794760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3</xdr:row>
          <xdr:rowOff>182880</xdr:rowOff>
        </xdr:from>
        <xdr:to>
          <xdr:col>3</xdr:col>
          <xdr:colOff>1889760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2065020</xdr:colOff>
          <xdr:row>3</xdr:row>
          <xdr:rowOff>182880</xdr:rowOff>
        </xdr:from>
        <xdr:to>
          <xdr:col>3</xdr:col>
          <xdr:colOff>3794760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3</xdr:row>
          <xdr:rowOff>182880</xdr:rowOff>
        </xdr:from>
        <xdr:to>
          <xdr:col>4</xdr:col>
          <xdr:colOff>1889760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2065020</xdr:colOff>
          <xdr:row>3</xdr:row>
          <xdr:rowOff>182880</xdr:rowOff>
        </xdr:from>
        <xdr:to>
          <xdr:col>4</xdr:col>
          <xdr:colOff>3794760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3</xdr:row>
          <xdr:rowOff>182880</xdr:rowOff>
        </xdr:from>
        <xdr:to>
          <xdr:col>5</xdr:col>
          <xdr:colOff>1889760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2065020</xdr:colOff>
          <xdr:row>3</xdr:row>
          <xdr:rowOff>182880</xdr:rowOff>
        </xdr:from>
        <xdr:to>
          <xdr:col>5</xdr:col>
          <xdr:colOff>3794760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東2局</v>
      </c>
      <c r="D3" s="9" t="str">
        <f ca="1">IF(ISERROR(MJFILE()),"―",MJINFO(MJFILE(),3)&amp;"本場 供託"&amp;MJINFO(MJFILE(),4))</f>
        <v>4本場 供託2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0">
        <f ca="1">IFERROR(_xlfn.RANK.EQ(C$7,$C$7:$F$7),"―")</f>
        <v>1</v>
      </c>
      <c r="D5" s="16">
        <f ca="1">IFERROR(_xlfn.RANK.EQ(D$7,$C$7:$F$7),"―")</f>
        <v>2</v>
      </c>
      <c r="E5" s="20">
        <f ca="1">IFERROR(_xlfn.RANK.EQ(E$7,$C$7:$F$7),"―")</f>
        <v>2</v>
      </c>
      <c r="F5" s="21">
        <f ca="1">IFERROR(_xlfn.RANK.EQ(F$7,$C$7:$F$7),"―")</f>
        <v>2</v>
      </c>
    </row>
    <row r="6" spans="1:6" ht="103.2" x14ac:dyDescent="0.45">
      <c r="B6" s="4" t="s">
        <v>2</v>
      </c>
      <c r="C6" s="22" t="str">
        <f ca="1">IF(ISERROR(MJFILE()),"―",NAME(MJFILE(),0))</f>
        <v>a</v>
      </c>
      <c r="D6" s="17" t="str">
        <f ca="1">IF(ISERROR(MJFILE()),"―",NAME(MJFILE(),1))</f>
        <v>b</v>
      </c>
      <c r="E6" s="22" t="str">
        <f ca="1">IF(ISERROR(MJFILE()),"―",NAME(MJFILE(),2))</f>
        <v>c</v>
      </c>
      <c r="F6" s="23" t="str">
        <f ca="1">IF(ISERROR(MJFILE()),"―",NAME(MJFILE(),3))</f>
        <v>d</v>
      </c>
    </row>
    <row r="7" spans="1:6" ht="103.2" x14ac:dyDescent="0.45">
      <c r="B7" s="4" t="s">
        <v>3</v>
      </c>
      <c r="C7" s="24">
        <f ca="1">IF(ISERROR(MJFILE()),"―",POINT(MJFILE(),0,4))</f>
        <v>27500</v>
      </c>
      <c r="D7" s="18">
        <f ca="1">IF(ISERROR(MJFILE()),"―",POINT(MJFILE(),1,4))</f>
        <v>23500</v>
      </c>
      <c r="E7" s="24">
        <f ca="1">IF(ISERROR(MJFILE()),"―",POINT(MJFILE(),2,4))</f>
        <v>23500</v>
      </c>
      <c r="F7" s="25">
        <f ca="1">IF(ISERROR(MJFILE()),"―",POINT(MJFILE(),3,4))</f>
        <v>23500</v>
      </c>
    </row>
    <row r="8" spans="1:6" ht="65.400000000000006" thickBot="1" x14ac:dyDescent="0.5">
      <c r="B8" s="5" t="s">
        <v>4</v>
      </c>
      <c r="C8" s="26">
        <f ca="1">IF(ISERROR(MJFILE()),"―",score(MJFILE(),0))</f>
        <v>47.5</v>
      </c>
      <c r="D8" s="19">
        <f ca="1">IF(ISERROR(MJFILE()),"―",score(MJFILE(),1))</f>
        <v>-16.5</v>
      </c>
      <c r="E8" s="26">
        <f ca="1">IF(ISERROR(MJFILE()),"―",score(MJFILE(),2))</f>
        <v>-16.5</v>
      </c>
      <c r="F8" s="27">
        <f ca="1">IF(ISERROR(MJFILE()),"―",score(MJFILE(),3))</f>
        <v>-16.5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-3000</v>
      </c>
      <c r="D10" s="12">
        <f ca="1">IF(ISERROR(MJFILE()),"―",IF(POINT(MJFILE(),1,1)=0,"",POINT(MJFILE(),1,1)+POINT(MJFILE(),1,3)))</f>
        <v>1000</v>
      </c>
      <c r="E10" s="12">
        <f ca="1">IF(ISERROR(MJFILE()),"―",IF(POINT(MJFILE(),2,1)=0,"",POINT(MJFILE(),2,1)+POINT(MJFILE(),2,3)))</f>
        <v>1000</v>
      </c>
      <c r="F10" s="12">
        <f ca="1">IF(ISERROR(MJFILE()),"―",IF(POINT(MJFILE(),3,1)=0,"",POINT(MJFILE(),3,1)+POINT(MJFILE(),3,3)))</f>
        <v>1000</v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2065020</xdr:colOff>
                <xdr:row>3</xdr:row>
                <xdr:rowOff>182880</xdr:rowOff>
              </from>
              <to>
                <xdr:col>5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160020</xdr:colOff>
                <xdr:row>3</xdr:row>
                <xdr:rowOff>182880</xdr:rowOff>
              </from>
              <to>
                <xdr:col>5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2065020</xdr:colOff>
                <xdr:row>3</xdr:row>
                <xdr:rowOff>182880</xdr:rowOff>
              </from>
              <to>
                <xdr:col>4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160020</xdr:colOff>
                <xdr:row>3</xdr:row>
                <xdr:rowOff>182880</xdr:rowOff>
              </from>
              <to>
                <xdr:col>4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2065020</xdr:colOff>
                <xdr:row>3</xdr:row>
                <xdr:rowOff>182880</xdr:rowOff>
              </from>
              <to>
                <xdr:col>3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160020</xdr:colOff>
                <xdr:row>3</xdr:row>
                <xdr:rowOff>182880</xdr:rowOff>
              </from>
              <to>
                <xdr:col>3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2065020</xdr:colOff>
                <xdr:row>3</xdr:row>
                <xdr:rowOff>182880</xdr:rowOff>
              </from>
              <to>
                <xdr:col>2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160020</xdr:colOff>
                <xdr:row>3</xdr:row>
                <xdr:rowOff>182880</xdr:rowOff>
              </from>
              <to>
                <xdr:col>2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1950720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1988820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43805.747546296298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2019-12-19T08:25:29Z</dcterms:modified>
</cp:coreProperties>
</file>