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A5F6133B-6023-490C-B6FB-8ABC4F27EAEC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D6" i="1"/>
  <c r="E6" i="1"/>
  <c r="C6" i="1"/>
  <c r="C3" i="1" l="1"/>
  <c r="C11" i="1"/>
  <c r="C10" i="1"/>
  <c r="C7" i="1"/>
  <c r="D3" i="1"/>
  <c r="D7" i="1" l="1"/>
  <c r="D10" i="1"/>
  <c r="D11" i="1"/>
  <c r="F10" i="1" l="1"/>
  <c r="F7" i="1"/>
  <c r="F11" i="1"/>
  <c r="E11" i="1" l="1"/>
  <c r="E7" i="1"/>
  <c r="E10" i="1"/>
  <c r="E5" i="1" l="1"/>
  <c r="F5" i="1"/>
  <c r="D5" i="1"/>
  <c r="C5" i="1"/>
  <c r="F8" i="1"/>
  <c r="E8" i="1"/>
  <c r="C8" i="1"/>
  <c r="D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<sst xmlns="http://schemas.openxmlformats.org/spreadsheetml/2006/main" count="5" uniqueCount="5">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</sst>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4</v>
      </c>
      <c r="D5" s="14">
        <f ca="1">IFERROR(_xlfn.RANK.EQ(D$7,$C$7:$F$7),"―")</f>
        <v>2</v>
      </c>
      <c r="E5" s="18">
        <f ca="1">IFERROR(_xlfn.RANK.EQ(E$7,$C$7:$F$7),"―")</f>
        <v>1</v>
      </c>
      <c r="F5" s="19">
        <f ca="1">IFERROR(_xlfn.RANK.EQ(F$7,$C$7:$F$7),"―")</f>
        <v>3</v>
      </c>
    </row>
    <row r="6" spans="1:6" ht="103.2" x14ac:dyDescent="0.45">
      <c r="B6" s="4" t="s">
        <v>2</v>
      </c>
      <c r="C6" s="20" t="str">
        <f ca="1">IF(ISERROR(MJFILE()),"―",NAME(MJFILE(),0))</f>
        <v>長野柊馬</v>
      </c>
      <c r="D6" s="15" t="str">
        <f ca="1">IF(ISERROR(MJFILE()),"―",NAME(MJFILE(),1))</f>
        <v>塩入悠</v>
      </c>
      <c r="E6" s="20" t="str">
        <f ca="1">IF(ISERROR(MJFILE()),"―",NAME(MJFILE(),2))</f>
        <v>清水常緑</v>
      </c>
      <c r="F6" s="21" t="str">
        <f ca="1">IF(ISERROR(MJFILE()),"―",NAME(MJFILE(),3))</f>
        <v>中村季暉</v>
      </c>
    </row>
    <row r="7" spans="1:6" ht="103.2" x14ac:dyDescent="0.45">
      <c r="B7" s="4" t="s">
        <v>3</v>
      </c>
      <c r="C7" s="22">
        <f ca="1">IF(ISERROR(MJFILE()),"―",POINT(MJFILE(),0,4))</f>
        <v>18000</v>
      </c>
      <c r="D7" s="16">
        <f ca="1">IF(ISERROR(MJFILE()),"―",POINT(MJFILE(),1,4))</f>
        <v>26300</v>
      </c>
      <c r="E7" s="22">
        <f ca="1">IF(ISERROR(MJFILE()),"―",POINT(MJFILE(),2,4))</f>
        <v>30000</v>
      </c>
      <c r="F7" s="23">
        <f ca="1">IF(ISERROR(MJFILE()),"―",POINT(MJFILE(),3,4))</f>
        <v>25700</v>
      </c>
    </row>
    <row r="8" spans="1:6" ht="65.400000000000006" thickBot="1" x14ac:dyDescent="0.5">
      <c r="B8" s="5" t="s">
        <v>4</v>
      </c>
      <c r="C8" s="24">
        <f ca="1">IF(ISERROR(MJFILE()),"―",score(MJFILE(),0))</f>
        <v>-42</v>
      </c>
      <c r="D8" s="17">
        <f ca="1">IF(ISERROR(MJFILE()),"―",score(MJFILE(),1))</f>
        <v>6.3</v>
      </c>
      <c r="E8" s="24">
        <f ca="1">IF(ISERROR(MJFILE()),"―",score(MJFILE(),2))</f>
        <v>50</v>
      </c>
      <c r="F8" s="25">
        <f ca="1">IF(ISERROR(MJFILE()),"―",score(MJFILE(),3))</f>
        <v>-14.3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-3000</v>
      </c>
      <c r="D10" s="12">
        <f ca="1">IF(ISERROR(MJFILE()),"―",IF(POINT(MJFILE(),1,1)=0,"",POINT(MJFILE(),1,1)+POINT(MJFILE(),1,3)))</f>
        <v>-6000</v>
      </c>
      <c r="E10" s="12">
        <f ca="1">IF(ISERROR(MJFILE()),"―",IF(POINT(MJFILE(),2,1)=0,"",POINT(MJFILE(),2,1)+POINT(MJFILE(),2,3)))</f>
        <v>12000</v>
      </c>
      <c r="F10" s="12">
        <f ca="1">IF(ISERROR(MJFILE()),"―",IF(POINT(MJFILE(),3,1)=0,"",POINT(MJFILE(),3,1)+POINT(MJFILE(),3,3)))</f>
        <v>-3000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>
        <f ca="1">IF(ISERROR(MJFILE()),"―",IF(POINT(MJFILE(),1,2)=0,"",POINT(MJFILE(),1,2)))</f>
        <v>-1000</v>
      </c>
      <c r="E11" s="13">
        <f ca="1">IF(ISERROR(MJFILE()),"―",IF(POINT(MJFILE(),2,2)=0,"",POINT(MJFILE(),2,2)))</f>
        <v>1000</v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5" r:id="rId4" name="Furo4">
          <controlPr defaultSize="0" autoLine="0" r:id="rId5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4" name="Furo4"/>
      </mc:Fallback>
    </mc:AlternateContent>
    <mc:AlternateContent xmlns:mc="http://schemas.openxmlformats.org/markup-compatibility/2006">
      <mc:Choice Requires="x14">
        <control shapeId="1244" r:id="rId6" name="Richi4">
          <controlPr defaultSize="0" autoLine="0" r:id="rId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6" name="Richi4"/>
      </mc:Fallback>
    </mc:AlternateContent>
    <mc:AlternateContent xmlns:mc="http://schemas.openxmlformats.org/markup-compatibility/2006">
      <mc:Choice Requires="x14">
        <control shapeId="1243" r:id="rId8" name="Furo3">
          <controlPr defaultSize="0" autoLine="0" r:id="rId9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8" name="Furo3"/>
      </mc:Fallback>
    </mc:AlternateContent>
    <mc:AlternateContent xmlns:mc="http://schemas.openxmlformats.org/markup-compatibility/2006">
      <mc:Choice Requires="x14">
        <control shapeId="1242" r:id="rId10" name="Richi3">
          <controlPr defaultSize="0" autoLine="0" r:id="rId11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0" name="Richi3"/>
      </mc:Fallback>
    </mc:AlternateContent>
    <mc:AlternateContent xmlns:mc="http://schemas.openxmlformats.org/markup-compatibility/2006">
      <mc:Choice Requires="x14">
        <control shapeId="1241" r:id="rId12" name="Furo2">
          <controlPr defaultSize="0" autoLine="0" r:id="rId13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2" name="Furo2"/>
      </mc:Fallback>
    </mc:AlternateContent>
    <mc:AlternateContent xmlns:mc="http://schemas.openxmlformats.org/markup-compatibility/2006">
      <mc:Choice Requires="x14">
        <control shapeId="1240" r:id="rId14" name="Richi2">
          <controlPr defaultSize="0" autoLine="0" r:id="rId15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14" name="Richi2"/>
      </mc:Fallback>
    </mc:AlternateContent>
    <mc:AlternateContent xmlns:mc="http://schemas.openxmlformats.org/markup-compatibility/2006">
      <mc:Choice Requires="x14">
        <control shapeId="1239" r:id="rId16" name="Furo1">
          <controlPr defaultSize="0" autoLine="0" r:id="rId1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16" name="Furo1"/>
      </mc:Fallback>
    </mc:AlternateContent>
    <mc:AlternateContent xmlns:mc="http://schemas.openxmlformats.org/markup-compatibility/2006">
      <mc:Choice Requires="x14">
        <control shapeId="1238" r:id="rId18" name="Richi1">
          <controlPr defaultSize="0" autoLine="0" r:id="rId19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18" name="Richi1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45216.736956018518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2023-10-17T09:18:52Z</dcterms:modified>
</cp:coreProperties>
</file>