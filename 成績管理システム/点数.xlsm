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0350B286-D246-4FD2-AA12-4FE592E9B0A4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E6" i="1"/>
  <c r="F6" i="1"/>
  <c r="D6" i="1"/>
  <c r="C6" i="1"/>
  <c r="C3" i="1" l="1"/>
  <c r="C11" i="1"/>
  <c r="C10" i="1"/>
  <c r="C7" i="1"/>
  <c r="D3" i="1"/>
  <c r="D10" i="1" l="1"/>
  <c r="D7" i="1"/>
  <c r="D11" i="1"/>
  <c r="F11" i="1" l="1"/>
  <c r="F7" i="1"/>
  <c r="F10" i="1"/>
  <c r="E10" i="1" l="1"/>
  <c r="E7" i="1"/>
  <c r="E11" i="1"/>
  <c r="D5" i="1" l="1"/>
  <c r="E5" i="1"/>
  <c r="C5" i="1"/>
  <c r="F5" i="1"/>
  <c r="E8" i="1"/>
  <c r="F8" i="1"/>
  <c r="C8" i="1"/>
  <c r="D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<sst xmlns="http://schemas.openxmlformats.org/spreadsheetml/2006/main" count="5" uniqueCount="5">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</sst>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1968500</xdr:colOff>
          <xdr:row>1</xdr:row>
          <xdr:rowOff>25400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254000</xdr:colOff>
          <xdr:row>1</xdr:row>
          <xdr:rowOff>25400</xdr:rowOff>
        </xdr:from>
        <xdr:to>
          <xdr:col>5</xdr:col>
          <xdr:colOff>2006600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25400</xdr:rowOff>
        </xdr:from>
        <xdr:to>
          <xdr:col>2</xdr:col>
          <xdr:colOff>3689350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254000</xdr:colOff>
          <xdr:row>1</xdr:row>
          <xdr:rowOff>25400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177800</xdr:colOff>
          <xdr:row>3</xdr:row>
          <xdr:rowOff>184150</xdr:rowOff>
        </xdr:from>
        <xdr:to>
          <xdr:col>2</xdr:col>
          <xdr:colOff>1905000</xdr:colOff>
          <xdr:row>3</xdr:row>
          <xdr:rowOff>717550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2082800</xdr:colOff>
          <xdr:row>3</xdr:row>
          <xdr:rowOff>184150</xdr:rowOff>
        </xdr:from>
        <xdr:to>
          <xdr:col>2</xdr:col>
          <xdr:colOff>3810000</xdr:colOff>
          <xdr:row>3</xdr:row>
          <xdr:rowOff>717550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177800</xdr:colOff>
          <xdr:row>3</xdr:row>
          <xdr:rowOff>184150</xdr:rowOff>
        </xdr:from>
        <xdr:to>
          <xdr:col>3</xdr:col>
          <xdr:colOff>1905000</xdr:colOff>
          <xdr:row>3</xdr:row>
          <xdr:rowOff>717550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2082800</xdr:colOff>
          <xdr:row>3</xdr:row>
          <xdr:rowOff>184150</xdr:rowOff>
        </xdr:from>
        <xdr:to>
          <xdr:col>3</xdr:col>
          <xdr:colOff>3810000</xdr:colOff>
          <xdr:row>3</xdr:row>
          <xdr:rowOff>717550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177800</xdr:colOff>
          <xdr:row>3</xdr:row>
          <xdr:rowOff>184150</xdr:rowOff>
        </xdr:from>
        <xdr:to>
          <xdr:col>4</xdr:col>
          <xdr:colOff>1905000</xdr:colOff>
          <xdr:row>3</xdr:row>
          <xdr:rowOff>717550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2082800</xdr:colOff>
          <xdr:row>3</xdr:row>
          <xdr:rowOff>184150</xdr:rowOff>
        </xdr:from>
        <xdr:to>
          <xdr:col>4</xdr:col>
          <xdr:colOff>3803650</xdr:colOff>
          <xdr:row>3</xdr:row>
          <xdr:rowOff>717550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177800</xdr:colOff>
          <xdr:row>3</xdr:row>
          <xdr:rowOff>184150</xdr:rowOff>
        </xdr:from>
        <xdr:to>
          <xdr:col>5</xdr:col>
          <xdr:colOff>1905000</xdr:colOff>
          <xdr:row>3</xdr:row>
          <xdr:rowOff>717550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2082800</xdr:colOff>
          <xdr:row>3</xdr:row>
          <xdr:rowOff>184150</xdr:rowOff>
        </xdr:from>
        <xdr:to>
          <xdr:col>5</xdr:col>
          <xdr:colOff>3810000</xdr:colOff>
          <xdr:row>3</xdr:row>
          <xdr:rowOff>717550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4.emf"/><Relationship Id="rId18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6.xml"/><Relationship Id="rId17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8.xml"/><Relationship Id="rId20" Type="http://schemas.openxmlformats.org/officeDocument/2006/relationships/ctrlProp" Target="../ctrlProps/ctrlProp4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1.emf"/><Relationship Id="rId15" Type="http://schemas.openxmlformats.org/officeDocument/2006/relationships/image" Target="../media/image5.emf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70" zoomScaleNormal="70" workbookViewId="0"/>
  </sheetViews>
  <sheetFormatPr defaultColWidth="9" defaultRowHeight="18" x14ac:dyDescent="0.55000000000000004"/>
  <cols>
    <col min="1" max="1" width="1" style="7" customWidth="1"/>
    <col min="2" max="2" width="19.5" style="7" bestFit="1" customWidth="1"/>
    <col min="3" max="3" width="51.6640625" style="7" customWidth="1"/>
    <col min="4" max="6" width="51.6640625" style="7" bestFit="1" customWidth="1"/>
    <col min="7" max="7" width="1" style="7" customWidth="1"/>
    <col min="8" max="16384" width="9" style="7"/>
  </cols>
  <sheetData>
    <row r="1" spans="1:6" ht="12" customHeight="1" x14ac:dyDescent="0.55000000000000004"/>
    <row r="2" spans="1:6" ht="52.5" customHeight="1" x14ac:dyDescent="0.55000000000000004">
      <c r="A2" s="6"/>
    </row>
    <row r="3" spans="1:6" ht="81" customHeight="1" x14ac:dyDescent="1.85">
      <c r="C3" s="8" t="str">
        <f ca="1">IF(ISERROR(MJFILE()),"―",MJINFO(MJFILE(),1)&amp;MJINFO(MJFILE(),2)&amp;"局")</f>
        <v>南2局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6"/>
    <row r="5" spans="1:6" ht="64.5" x14ac:dyDescent="0.55000000000000004">
      <c r="B5" s="3" t="s">
        <v>1</v>
      </c>
      <c r="C5" s="18">
        <f ca="1">IFERROR(_xlfn.RANK.EQ(C$7,$C$7:$F$7),"―")</f>
        <v>3</v>
      </c>
      <c r="D5" s="14">
        <f ca="1">IFERROR(_xlfn.RANK.EQ(D$7,$C$7:$F$7),"―")</f>
        <v>2</v>
      </c>
      <c r="E5" s="18">
        <f ca="1">IFERROR(_xlfn.RANK.EQ(E$7,$C$7:$F$7),"―")</f>
        <v>4</v>
      </c>
      <c r="F5" s="19">
        <f ca="1">IFERROR(_xlfn.RANK.EQ(F$7,$C$7:$F$7),"―")</f>
        <v>1</v>
      </c>
    </row>
    <row r="6" spans="1:6" ht="103" x14ac:dyDescent="0.55000000000000004">
      <c r="B6" s="4" t="s">
        <v>2</v>
      </c>
      <c r="C6" s="20" t="str">
        <f ca="1">IF(ISERROR(MJFILE()),"―",NAME(MJFILE(),0))</f>
        <v>佐藤成浩</v>
      </c>
      <c r="D6" s="15" t="str">
        <f ca="1">IF(ISERROR(MJFILE()),"―",NAME(MJFILE(),1))</f>
        <v>佐藤成</v>
      </c>
      <c r="E6" s="20" t="str">
        <f ca="1">IF(ISERROR(MJFILE()),"―",NAME(MJFILE(),2))</f>
        <v>西野修世</v>
      </c>
      <c r="F6" s="21" t="str">
        <f ca="1">IF(ISERROR(MJFILE()),"―",NAME(MJFILE(),3))</f>
        <v>長野柊馬</v>
      </c>
    </row>
    <row r="7" spans="1:6" ht="103" x14ac:dyDescent="0.55000000000000004">
      <c r="B7" s="4" t="s">
        <v>3</v>
      </c>
      <c r="C7" s="22">
        <f ca="1">IF(ISERROR(MJFILE()),"―",POINT(MJFILE(),0,4))</f>
        <v>22900</v>
      </c>
      <c r="D7" s="16">
        <f ca="1">IF(ISERROR(MJFILE()),"―",POINT(MJFILE(),1,4))</f>
        <v>27900</v>
      </c>
      <c r="E7" s="22">
        <f ca="1">IF(ISERROR(MJFILE()),"―",POINT(MJFILE(),2,4))</f>
        <v>4500</v>
      </c>
      <c r="F7" s="23">
        <f ca="1">IF(ISERROR(MJFILE()),"―",POINT(MJFILE(),3,4))</f>
        <v>44700</v>
      </c>
    </row>
    <row r="8" spans="1:6" ht="65" thickBot="1" x14ac:dyDescent="0.6">
      <c r="B8" s="5" t="s">
        <v>4</v>
      </c>
      <c r="C8" s="24">
        <f ca="1">IF(ISERROR(MJFILE()),"―",score(MJFILE(),0))</f>
        <v>-17.100000000000001</v>
      </c>
      <c r="D8" s="17">
        <f ca="1">IF(ISERROR(MJFILE()),"―",score(MJFILE(),1))</f>
        <v>7.9</v>
      </c>
      <c r="E8" s="24">
        <f ca="1">IF(ISERROR(MJFILE()),"―",score(MJFILE(),2))</f>
        <v>-55.5</v>
      </c>
      <c r="F8" s="25">
        <f ca="1">IF(ISERROR(MJFILE()),"―",score(MJFILE(),3))</f>
        <v>64.7</v>
      </c>
    </row>
    <row r="9" spans="1:6" ht="12" customHeight="1" x14ac:dyDescent="0.55000000000000004"/>
    <row r="10" spans="1:6" ht="58.5" customHeight="1" x14ac:dyDescent="0.55000000000000004">
      <c r="C10" s="12">
        <f ca="1">IF(ISERROR(MJFILE()),"―",IF(POINT(MJFILE(),0,1)=0,"",POINT(MJFILE(),0,1)+POINT(MJFILE(),0,3)))</f>
        <v>-8600</v>
      </c>
      <c r="D10" s="12">
        <f ca="1">IF(ISERROR(MJFILE()),"―",IF(POINT(MJFILE(),1,1)=0,"",POINT(MJFILE(),1,1)+POINT(MJFILE(),1,3)))</f>
        <v>8600</v>
      </c>
      <c r="E10" s="12" t="str">
        <f ca="1">IF(ISERROR(MJFILE()),"―",IF(POINT(MJFILE(),2,1)=0,"",POINT(MJFILE(),2,1)+POINT(MJFILE(),2,3)))</f>
        <v/>
      </c>
      <c r="F10" s="12" t="str">
        <f ca="1">IF(ISERROR(MJFILE()),"―",IF(POINT(MJFILE(),3,1)=0,"",POINT(MJFILE(),3,1)+POINT(MJFILE(),3,3)))</f>
        <v/>
      </c>
    </row>
    <row r="11" spans="1:6" ht="51" customHeight="1" x14ac:dyDescent="0.55000000000000004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8" r:id="rId4" name="Richi1">
          <controlPr defaultSize="0" autoLine="0" r:id="rId5">
            <anchor moveWithCells="1">
              <from>
                <xdr:col>2</xdr:col>
                <xdr:colOff>177800</xdr:colOff>
                <xdr:row>3</xdr:row>
                <xdr:rowOff>184150</xdr:rowOff>
              </from>
              <to>
                <xdr:col>2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38" r:id="rId4" name="Richi1"/>
      </mc:Fallback>
    </mc:AlternateContent>
    <mc:AlternateContent xmlns:mc="http://schemas.openxmlformats.org/markup-compatibility/2006">
      <mc:Choice Requires="x14">
        <control shapeId="1239" r:id="rId6" name="Furo1">
          <controlPr defaultSize="0" autoLine="0" r:id="rId7">
            <anchor moveWithCells="1">
              <from>
                <xdr:col>2</xdr:col>
                <xdr:colOff>2082800</xdr:colOff>
                <xdr:row>3</xdr:row>
                <xdr:rowOff>184150</xdr:rowOff>
              </from>
              <to>
                <xdr:col>2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39" r:id="rId6" name="Furo1"/>
      </mc:Fallback>
    </mc:AlternateContent>
    <mc:AlternateContent xmlns:mc="http://schemas.openxmlformats.org/markup-compatibility/2006">
      <mc:Choice Requires="x14">
        <control shapeId="1240" r:id="rId8" name="Richi2">
          <controlPr defaultSize="0" autoLine="0" r:id="rId9">
            <anchor moveWithCells="1">
              <from>
                <xdr:col>3</xdr:col>
                <xdr:colOff>177800</xdr:colOff>
                <xdr:row>3</xdr:row>
                <xdr:rowOff>184150</xdr:rowOff>
              </from>
              <to>
                <xdr:col>3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0" r:id="rId8" name="Richi2"/>
      </mc:Fallback>
    </mc:AlternateContent>
    <mc:AlternateContent xmlns:mc="http://schemas.openxmlformats.org/markup-compatibility/2006">
      <mc:Choice Requires="x14">
        <control shapeId="1241" r:id="rId10" name="Furo2">
          <controlPr defaultSize="0" autoLine="0" r:id="rId7">
            <anchor moveWithCells="1">
              <from>
                <xdr:col>3</xdr:col>
                <xdr:colOff>2082800</xdr:colOff>
                <xdr:row>3</xdr:row>
                <xdr:rowOff>184150</xdr:rowOff>
              </from>
              <to>
                <xdr:col>3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1" r:id="rId10" name="Furo2"/>
      </mc:Fallback>
    </mc:AlternateContent>
    <mc:AlternateContent xmlns:mc="http://schemas.openxmlformats.org/markup-compatibility/2006">
      <mc:Choice Requires="x14">
        <control shapeId="1242" r:id="rId11" name="Richi3">
          <controlPr defaultSize="0" autoLine="0" r:id="rId5">
            <anchor moveWithCells="1">
              <from>
                <xdr:col>4</xdr:col>
                <xdr:colOff>177800</xdr:colOff>
                <xdr:row>3</xdr:row>
                <xdr:rowOff>184150</xdr:rowOff>
              </from>
              <to>
                <xdr:col>4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2" r:id="rId11" name="Richi3"/>
      </mc:Fallback>
    </mc:AlternateContent>
    <mc:AlternateContent xmlns:mc="http://schemas.openxmlformats.org/markup-compatibility/2006">
      <mc:Choice Requires="x14">
        <control shapeId="1243" r:id="rId12" name="Furo3">
          <controlPr defaultSize="0" autoLine="0" r:id="rId13">
            <anchor moveWithCells="1">
              <from>
                <xdr:col>4</xdr:col>
                <xdr:colOff>2082800</xdr:colOff>
                <xdr:row>3</xdr:row>
                <xdr:rowOff>184150</xdr:rowOff>
              </from>
              <to>
                <xdr:col>4</xdr:col>
                <xdr:colOff>3803650</xdr:colOff>
                <xdr:row>3</xdr:row>
                <xdr:rowOff>717550</xdr:rowOff>
              </to>
            </anchor>
          </controlPr>
        </control>
      </mc:Choice>
      <mc:Fallback>
        <control shapeId="1243" r:id="rId12" name="Furo3"/>
      </mc:Fallback>
    </mc:AlternateContent>
    <mc:AlternateContent xmlns:mc="http://schemas.openxmlformats.org/markup-compatibility/2006">
      <mc:Choice Requires="x14">
        <control shapeId="1244" r:id="rId14" name="Richi4">
          <controlPr defaultSize="0" autoLine="0" r:id="rId15">
            <anchor moveWithCells="1">
              <from>
                <xdr:col>5</xdr:col>
                <xdr:colOff>177800</xdr:colOff>
                <xdr:row>3</xdr:row>
                <xdr:rowOff>184150</xdr:rowOff>
              </from>
              <to>
                <xdr:col>5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4" r:id="rId14" name="Richi4"/>
      </mc:Fallback>
    </mc:AlternateContent>
    <mc:AlternateContent xmlns:mc="http://schemas.openxmlformats.org/markup-compatibility/2006">
      <mc:Choice Requires="x14">
        <control shapeId="1245" r:id="rId16" name="Furo4">
          <controlPr defaultSize="0" autoLine="0" r:id="rId7">
            <anchor moveWithCells="1">
              <from>
                <xdr:col>5</xdr:col>
                <xdr:colOff>2082800</xdr:colOff>
                <xdr:row>3</xdr:row>
                <xdr:rowOff>184150</xdr:rowOff>
              </from>
              <to>
                <xdr:col>5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5" r:id="rId16" name="Furo4"/>
      </mc:Fallback>
    </mc:AlternateContent>
    <mc:AlternateContent xmlns:mc="http://schemas.openxmlformats.org/markup-compatibility/2006">
      <mc:Choice Requires="x14">
        <control shapeId="1026" r:id="rId17" name="Timer">
          <controlPr defaultSize="0" print="0" autoFill="0" autoPict="0" macro="[0]!TimerSwitch">
            <anchor>
              <from>
                <xdr:col>4</xdr:col>
                <xdr:colOff>1968500</xdr:colOff>
                <xdr:row>1</xdr:row>
                <xdr:rowOff>25400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8" name="Reset">
          <controlPr defaultSize="0" print="0" autoFill="0" autoPict="0" macro="[0]!TimerReset">
            <anchor>
              <from>
                <xdr:col>5</xdr:col>
                <xdr:colOff>254000</xdr:colOff>
                <xdr:row>1</xdr:row>
                <xdr:rowOff>25400</xdr:rowOff>
              </from>
              <to>
                <xdr:col>5</xdr:col>
                <xdr:colOff>2006600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9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25400</xdr:rowOff>
              </from>
              <to>
                <xdr:col>2</xdr:col>
                <xdr:colOff>3689350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0" name="FullScreen">
          <controlPr defaultSize="0" print="0" autoFill="0" autoPict="0" macro="[0]!FullScreen">
            <anchor>
              <from>
                <xdr:col>3</xdr:col>
                <xdr:colOff>254000</xdr:colOff>
                <xdr:row>1</xdr:row>
                <xdr:rowOff>25400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55000000000000004"/>
  <cols>
    <col min="1" max="2" width="20.58203125" customWidth="1"/>
  </cols>
  <sheetData>
    <row r="1" spans="1:1" x14ac:dyDescent="0.55000000000000004">
      <c r="A1" s="1">
        <v>45666.729571759257</v>
      </c>
    </row>
    <row r="2" spans="1:1" x14ac:dyDescent="0.55000000000000004">
      <c r="A2" s="2">
        <v>3.4722222222222224E-2</v>
      </c>
    </row>
    <row r="3" spans="1:1" x14ac:dyDescent="0.55000000000000004">
      <c r="A3" s="2">
        <v>3.4722222222222224E-2</v>
      </c>
    </row>
    <row r="4" spans="1:1" x14ac:dyDescent="0.55000000000000004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山本悠介_長野</cp:lastModifiedBy>
  <cp:lastPrinted>2019-12-01T05:59:05Z</cp:lastPrinted>
  <dcterms:created xsi:type="dcterms:W3CDTF">2019-06-06T00:02:58Z</dcterms:created>
  <dcterms:modified xsi:type="dcterms:W3CDTF">2025-01-09T09:21:07Z</dcterms:modified>
</cp:coreProperties>
</file>