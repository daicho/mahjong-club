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B491C0F4-6F16-4452-9F2B-19FD4DCD7978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C11" i="1"/>
  <c r="C10" i="1"/>
  <c r="C7" i="1"/>
  <c r="D3" i="1"/>
  <c r="C3" i="1"/>
  <c r="D11" i="1"/>
  <c r="D10" i="1"/>
  <c r="D7" i="1"/>
  <c r="F7" i="1"/>
  <c r="F10" i="1"/>
  <c r="F11" i="1"/>
  <c r="E11" i="1"/>
  <c r="E7" i="1"/>
  <c r="E10" i="1"/>
  <c r="E8" i="1"/>
  <c r="F8" i="1"/>
  <c r="C8" i="1"/>
  <c r="D8" i="1"/>
  <c r="E5" i="1" l="1"/>
  <c r="F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<sst xmlns="http://schemas.openxmlformats.org/spreadsheetml/2006/main" count="5" uniqueCount="5">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</sst>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>
      <selection activeCell="C2" sqref="C2"/>
    </sheetView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>IF(ISERROR(MJFILE()),"―",MJINFO(MJFILE(),1)&amp;MJINFO(MJFILE(),2)&amp;"局")</f>
        <v>―</v>
      </c>
      <c r="D3" s="9" t="str">
        <f>IF(ISERROR(MJFILE()),"―",MJINFO(MJFILE(),3)&amp;"本場 供託"&amp;MJINFO(MJFILE(),4))</f>
        <v>―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 t="str">
        <f>IFERROR(_xlfn.RANK.EQ(C$7,$C$7:$F$7),"―")</f>
        <v>―</v>
      </c>
      <c r="D5" s="14" t="str">
        <f>IFERROR(_xlfn.RANK.EQ(D$7,$C$7:$F$7),"―")</f>
        <v>―</v>
      </c>
      <c r="E5" s="14" t="str">
        <f>IFERROR(_xlfn.RANK.EQ(E$7,$C$7:$F$7),"―")</f>
        <v>―</v>
      </c>
      <c r="F5" s="15" t="str">
        <f>IFERROR(_xlfn.RANK.EQ(F$7,$C$7:$F$7),"―")</f>
        <v>―</v>
      </c>
    </row>
    <row r="6" spans="1:6" ht="103.2" x14ac:dyDescent="0.45">
      <c r="B6" s="4" t="s">
        <v>2</v>
      </c>
      <c r="C6" s="16" t="str">
        <f>IF(ISERROR(MJFILE()),"―",NAME(MJFILE(),0))</f>
        <v>―</v>
      </c>
      <c r="D6" s="16" t="str">
        <f>IF(ISERROR(MJFILE()),"―",NAME(MJFILE(),1))</f>
        <v>―</v>
      </c>
      <c r="E6" s="16" t="str">
        <f>IF(ISERROR(MJFILE()),"―",NAME(MJFILE(),2))</f>
        <v>―</v>
      </c>
      <c r="F6" s="17" t="str">
        <f>IF(ISERROR(MJFILE()),"―",NAME(MJFILE(),3))</f>
        <v>―</v>
      </c>
    </row>
    <row r="7" spans="1:6" ht="103.2" x14ac:dyDescent="0.45">
      <c r="B7" s="4" t="s">
        <v>3</v>
      </c>
      <c r="C7" s="18" t="str">
        <f>IF(ISERROR(MJFILE()),"―",POINT(MJFILE(),0,4))</f>
        <v>―</v>
      </c>
      <c r="D7" s="18" t="str">
        <f>IF(ISERROR(MJFILE()),"―",POINT(MJFILE(),1,4))</f>
        <v>―</v>
      </c>
      <c r="E7" s="18" t="str">
        <f>IF(ISERROR(MJFILE()),"―",POINT(MJFILE(),2,4))</f>
        <v>―</v>
      </c>
      <c r="F7" s="19" t="str">
        <f>IF(ISERROR(MJFILE()),"―",POINT(MJFILE(),3,4))</f>
        <v>―</v>
      </c>
    </row>
    <row r="8" spans="1:6" ht="65.400000000000006" thickBot="1" x14ac:dyDescent="0.5">
      <c r="B8" s="5" t="s">
        <v>4</v>
      </c>
      <c r="C8" s="20" t="str">
        <f>IF(ISERROR(MJFILE()),"―",score(MJFILE(),0))</f>
        <v>―</v>
      </c>
      <c r="D8" s="20" t="str">
        <f>IF(ISERROR(MJFILE()),"―",score(MJFILE(),1))</f>
        <v>―</v>
      </c>
      <c r="E8" s="20" t="str">
        <f>IF(ISERROR(MJFILE()),"―",score(MJFILE(),2))</f>
        <v>―</v>
      </c>
      <c r="F8" s="21" t="str">
        <f>IF(ISERROR(MJFILE()),"―",score(MJFILE(),3))</f>
        <v>―</v>
      </c>
    </row>
    <row r="9" spans="1:6" ht="12" customHeight="1" x14ac:dyDescent="0.45"/>
    <row r="10" spans="1:6" ht="58.5" customHeight="1" x14ac:dyDescent="0.45">
      <c r="C10" s="12" t="str">
        <f>IF(ISERROR(MJFILE()),"―",IF(POINT(MJFILE(),0,1)=0,"",POINT(MJFILE(),0,1)+POINT(MJFILE(),0,3)))</f>
        <v>―</v>
      </c>
      <c r="D10" s="12" t="str">
        <f>IF(ISERROR(MJFILE()),"―",IF(POINT(MJFILE(),1,1)=0,"",POINT(MJFILE(),1,1)+POINT(MJFILE(),1,3)))</f>
        <v>―</v>
      </c>
      <c r="E10" s="12" t="str">
        <f>IF(ISERROR(MJFILE()),"―",IF(POINT(MJFILE(),2,1)=0,"",POINT(MJFILE(),2,1)+POINT(MJFILE(),2,3)))</f>
        <v>―</v>
      </c>
      <c r="F10" s="12" t="str">
        <f>IF(ISERROR(MJFILE()),"―",IF(POINT(MJFILE(),3,1)=0,"",POINT(MJFILE(),3,1)+POINT(MJFILE(),3,3)))</f>
        <v>―</v>
      </c>
    </row>
    <row r="11" spans="1:6" ht="51" customHeight="1" x14ac:dyDescent="0.45">
      <c r="C11" s="13" t="str">
        <f>IF(ISERROR(MJFILE()),"―",IF(POINT(MJFILE(),0,2)=0,"",POINT(MJFILE(),0,2)))</f>
        <v>―</v>
      </c>
      <c r="D11" s="13" t="str">
        <f>IF(ISERROR(MJFILE()),"―",IF(POINT(MJFILE(),1,2)=0,"",POINT(MJFILE(),1,2)))</f>
        <v>―</v>
      </c>
      <c r="E11" s="13" t="str">
        <f>IF(ISERROR(MJFILE()),"―",IF(POINT(MJFILE(),2,2)=0,"",POINT(MJFILE(),2,2)))</f>
        <v>―</v>
      </c>
      <c r="F11" s="13" t="str">
        <f>IF(ISERROR(MJFILE()),"―",IF(POINT(MJFILE(),3,2)=0,"",POINT(MJFILE(),3,2)))</f>
        <v>―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45204.771736111114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2019-12-01T05:59:05Z</cp:lastPrinted>
  <dcterms:created xsi:type="dcterms:W3CDTF">2019-06-06T00:02:58Z</dcterms:created>
  <dcterms:modified xsi:type="dcterms:W3CDTF">2023-10-05T09:46:35Z</dcterms:modified>
</cp:coreProperties>
</file>