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Club\mahjong-club\成績管理システム\"/>
    </mc:Choice>
  </mc:AlternateContent>
  <xr:revisionPtr revIDLastSave="0" documentId="13_ncr:1_{1258AB8C-731F-4363-B88D-772C8E2E78D2}" xr6:coauthVersionLast="46" xr6:coauthVersionMax="46" xr10:uidLastSave="{00000000-0000-0000-0000-000000000000}"/>
  <bookViews>
    <workbookView showHorizontalScroll="0" showVerticalScroll="0" showSheetTabs="0" xWindow="-120" yWindow="-120" windowWidth="29040" windowHeight="1584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E6" i="1"/>
  <c r="C6" i="1"/>
  <c r="D6" i="1"/>
  <c r="F6" i="1"/>
  <c r="F11" i="1" l="1"/>
  <c r="D8" i="1"/>
  <c r="C7" i="1"/>
  <c r="F10" i="1"/>
  <c r="C11" i="1"/>
  <c r="C10" i="1"/>
  <c r="E11" i="1"/>
  <c r="E10" i="1"/>
  <c r="D11" i="1"/>
  <c r="F8" i="1"/>
  <c r="E7" i="1"/>
  <c r="D10" i="1"/>
  <c r="C8" i="1"/>
  <c r="D7" i="1"/>
  <c r="E8" i="1"/>
  <c r="F7" i="1"/>
  <c r="F5" i="1" l="1"/>
  <c r="D5" i="1"/>
  <c r="E5" i="1"/>
  <c r="C5" i="1"/>
  <c r="C3" i="1" l="1"/>
  <c r="D3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<sst xmlns="http://schemas.openxmlformats.org/spreadsheetml/2006/main" count="5" uniqueCount="5">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</sst>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105" zoomScaleNormal="105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3.471064814814815E-2</v>
      </c>
    </row>
    <row r="4" spans="1:6" ht="69.75" customHeight="1" thickBot="1" x14ac:dyDescent="0.45"/>
    <row r="5" spans="1:6" ht="64.5" x14ac:dyDescent="0.4">
      <c r="B5" s="3" t="s">
        <v>1</v>
      </c>
      <c r="C5" s="16">
        <f ca="1">IFERROR(_xlfn.RANK.EQ(C$7,$C$7:$F$7),"―")</f>
        <v>1</v>
      </c>
      <c r="D5" s="20">
        <f ca="1">IFERROR(_xlfn.RANK.EQ(D$7,$C$7:$F$7),"―")</f>
        <v>1</v>
      </c>
      <c r="E5" s="20">
        <f ca="1">IFERROR(_xlfn.RANK.EQ(E$7,$C$7:$F$7),"―")</f>
        <v>1</v>
      </c>
      <c r="F5" s="21">
        <f ca="1">IFERROR(_xlfn.RANK.EQ(F$7,$C$7:$F$7),"―")</f>
        <v>1</v>
      </c>
    </row>
    <row r="6" spans="1:6" ht="103.5" x14ac:dyDescent="0.4">
      <c r="B6" s="4" t="s">
        <v>2</v>
      </c>
      <c r="C6" s="17" t="str">
        <f ca="1">IF(ISERROR(MJFILE()),"―",NAME(MJFILE(),0))</f>
        <v>大池陸斗</v>
      </c>
      <c r="D6" s="22" t="str">
        <f ca="1">IF(ISERROR(MJFILE()),"―",NAME(MJFILE(),1))</f>
        <v>柳澤颯吾</v>
      </c>
      <c r="E6" s="22" t="str">
        <f ca="1">IF(ISERROR(MJFILE()),"―",NAME(MJFILE(),2))</f>
        <v>佐藤成浩</v>
      </c>
      <c r="F6" s="23" t="str">
        <f ca="1">IF(ISERROR(MJFILE()),"―",NAME(MJFILE(),3))</f>
        <v>阿部圭太朗</v>
      </c>
    </row>
    <row r="7" spans="1:6" ht="103.5" x14ac:dyDescent="0.4">
      <c r="B7" s="4" t="s">
        <v>3</v>
      </c>
      <c r="C7" s="18">
        <f ca="1">IF(ISERROR(MJFILE()),"―",POINT(MJFILE(),0,4))</f>
        <v>25000</v>
      </c>
      <c r="D7" s="24">
        <f ca="1">IF(ISERROR(MJFILE()),"―",POINT(MJFILE(),1,4))</f>
        <v>25000</v>
      </c>
      <c r="E7" s="24">
        <f ca="1">IF(ISERROR(MJFILE()),"―",POINT(MJFILE(),2,4))</f>
        <v>25000</v>
      </c>
      <c r="F7" s="25">
        <f ca="1">IF(ISERROR(MJFILE()),"―",POINT(MJFILE(),3,4))</f>
        <v>25000</v>
      </c>
    </row>
    <row r="8" spans="1:6" ht="65.25" thickBot="1" x14ac:dyDescent="0.45">
      <c r="B8" s="5" t="s">
        <v>4</v>
      </c>
      <c r="C8" s="19">
        <f ca="1">IF(ISERROR(MJFILE()),"―",score(MJFILE(),0))</f>
        <v>0</v>
      </c>
      <c r="D8" s="26">
        <f ca="1">IF(ISERROR(MJFILE()),"―",score(MJFILE(),1))</f>
        <v>0</v>
      </c>
      <c r="E8" s="26">
        <f ca="1">IF(ISERROR(MJFILE()),"―",score(MJFILE(),2))</f>
        <v>0</v>
      </c>
      <c r="F8" s="27">
        <f ca="1">IF(ISERROR(MJFILE()),"―",score(MJFILE(),3))</f>
        <v>0</v>
      </c>
    </row>
    <row r="9" spans="1:6" ht="12" customHeight="1" x14ac:dyDescent="0.4"/>
    <row r="10" spans="1:6" ht="58.5" customHeight="1" x14ac:dyDescent="0.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44316.70175925926</v>
      </c>
    </row>
    <row r="2" spans="1:1" x14ac:dyDescent="0.4">
      <c r="A2" s="2">
        <v>3.471064814814815E-2</v>
      </c>
    </row>
    <row r="3" spans="1:1" x14ac:dyDescent="0.4">
      <c r="A3" s="2">
        <v>3.471064814814815E-2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Nqpycs XD</cp:lastModifiedBy>
  <cp:lastPrinted>2019-12-01T05:59:05Z</cp:lastPrinted>
  <dcterms:created xsi:type="dcterms:W3CDTF">2019-06-06T00:02:58Z</dcterms:created>
  <dcterms:modified xsi:type="dcterms:W3CDTF">2021-04-30T07:50:32Z</dcterms:modified>
</cp:coreProperties>
</file>