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AB6FB6D1-D5C0-47F8-A386-8D87C89A81DC}" xr6:coauthVersionLast="47" xr6:coauthVersionMax="47" xr10:uidLastSave="{00000000-0000-0000-0000-000000000000}"/>
  <bookViews>
    <workbookView showHorizontalScroll="0" showVerticalScroll="0" showSheetTabs="0" xWindow="-108" yWindow="-108" windowWidth="23256" windowHeight="1461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C11" i="1" l="1"/>
  <c r="C10" i="1"/>
  <c r="C7" i="1"/>
  <c r="D3" i="1"/>
  <c r="C3" i="1"/>
  <c r="D10" i="1" l="1"/>
  <c r="D7" i="1"/>
  <c r="D11" i="1"/>
  <c r="F7" i="1" l="1"/>
  <c r="F10" i="1"/>
  <c r="F11" i="1"/>
  <c r="E7" i="1" l="1"/>
  <c r="E11" i="1"/>
  <c r="E10" i="1"/>
  <c r="C5" i="1" l="1"/>
  <c r="D5" i="1"/>
  <c r="E5" i="1"/>
  <c r="F5" i="1"/>
  <c r="C8" i="1"/>
  <c r="F8" i="1"/>
  <c r="E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<sst xmlns="http://schemas.openxmlformats.org/spreadsheetml/2006/main" count="5" uniqueCount="5">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</sst>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5.0347222222222225E-3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4">
        <f ca="1">IFERROR(_xlfn.RANK.EQ(D$7,$C$7:$F$7),"―")</f>
        <v>2</v>
      </c>
      <c r="E5" s="22">
        <f ca="1">IFERROR(_xlfn.RANK.EQ(E$7,$C$7:$F$7),"―")</f>
        <v>4</v>
      </c>
      <c r="F5" s="15">
        <f ca="1">IFERROR(_xlfn.RANK.EQ(F$7,$C$7:$F$7),"―")</f>
        <v>3</v>
      </c>
    </row>
    <row r="6" spans="1:6" ht="103.2" x14ac:dyDescent="0.45">
      <c r="B6" s="4" t="s">
        <v>2</v>
      </c>
      <c r="C6" s="16" t="str">
        <f ca="1">IF(ISERROR(MJFILE()),"―",NAME(MJFILE(),0))</f>
        <v>前田卓美</v>
      </c>
      <c r="D6" s="16" t="str">
        <f ca="1">IF(ISERROR(MJFILE()),"―",NAME(MJFILE(),1))</f>
        <v>笠原誠</v>
      </c>
      <c r="E6" s="23" t="str">
        <f ca="1">IF(ISERROR(MJFILE()),"―",NAME(MJFILE(),2))</f>
        <v>清水遙斗</v>
      </c>
      <c r="F6" s="17" t="str">
        <f ca="1">IF(ISERROR(MJFILE()),"―",NAME(MJFILE(),3))</f>
        <v>宮沢璃空</v>
      </c>
    </row>
    <row r="7" spans="1:6" ht="103.2" x14ac:dyDescent="0.45">
      <c r="B7" s="4" t="s">
        <v>3</v>
      </c>
      <c r="C7" s="18">
        <f ca="1">IF(ISERROR(MJFILE()),"―",POINT(MJFILE(),0,4))</f>
        <v>40100</v>
      </c>
      <c r="D7" s="18">
        <f ca="1">IF(ISERROR(MJFILE()),"―",POINT(MJFILE(),1,4))</f>
        <v>32300</v>
      </c>
      <c r="E7" s="24">
        <f ca="1">IF(ISERROR(MJFILE()),"―",POINT(MJFILE(),2,4))</f>
        <v>10400</v>
      </c>
      <c r="F7" s="19">
        <f ca="1">IF(ISERROR(MJFILE()),"―",POINT(MJFILE(),3,4))</f>
        <v>17200</v>
      </c>
    </row>
    <row r="8" spans="1:6" ht="65.400000000000006" thickBot="1" x14ac:dyDescent="0.5">
      <c r="B8" s="5" t="s">
        <v>4</v>
      </c>
      <c r="C8" s="20">
        <f ca="1">IF(ISERROR(MJFILE()),"―",score(MJFILE(),0))</f>
        <v>60.1</v>
      </c>
      <c r="D8" s="20">
        <f ca="1">IF(ISERROR(MJFILE()),"―",score(MJFILE(),1))</f>
        <v>12.3</v>
      </c>
      <c r="E8" s="25">
        <f ca="1">IF(ISERROR(MJFILE()),"―",score(MJFILE(),2))</f>
        <v>-49.6</v>
      </c>
      <c r="F8" s="21">
        <f ca="1">IF(ISERROR(MJFILE()),"―",score(MJFILE(),3))</f>
        <v>-22.8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1000</v>
      </c>
      <c r="D10" s="12">
        <f ca="1">IF(ISERROR(MJFILE()),"―",IF(POINT(MJFILE(),1,1)=0,"",POINT(MJFILE(),1,1)+POINT(MJFILE(),1,3)))</f>
        <v>-3000</v>
      </c>
      <c r="E10" s="12">
        <f ca="1">IF(ISERROR(MJFILE()),"―",IF(POINT(MJFILE(),2,1)=0,"",POINT(MJFILE(),2,1)+POINT(MJFILE(),2,3)))</f>
        <v>1000</v>
      </c>
      <c r="F10" s="12">
        <f ca="1">IF(ISERROR(MJFILE()),"―",IF(POINT(MJFILE(),3,1)=0,"",POINT(MJFILE(),3,1)+POINT(MJFILE(),3,3)))</f>
        <v>1000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5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3" name="Richi2">
          <controlPr defaultSize="0" autoLine="0" r:id="rId7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3" name="Richi2"/>
      </mc:Fallback>
    </mc:AlternateContent>
    <mc:AlternateContent xmlns:mc="http://schemas.openxmlformats.org/markup-compatibility/2006">
      <mc:Choice Requires="x14">
        <control shapeId="1239" r:id="rId14" name="Furo1">
          <controlPr defaultSize="0" autoLine="0" r:id="rId5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4" name="Furo1"/>
      </mc:Fallback>
    </mc:AlternateContent>
    <mc:AlternateContent xmlns:mc="http://schemas.openxmlformats.org/markup-compatibility/2006">
      <mc:Choice Requires="x14">
        <control shapeId="1238" r:id="rId15" name="Richi1">
          <controlPr defaultSize="0" autoLine="0" r:id="rId7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5" name="Richi1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46205.768101851849</v>
      </c>
    </row>
    <row r="2" spans="1:1" x14ac:dyDescent="0.45">
      <c r="A2" s="2">
        <v>5.0347222222222225E-3</v>
      </c>
    </row>
    <row r="3" spans="1:1" x14ac:dyDescent="0.45">
      <c r="A3" s="2">
        <v>5.0347222222222225E-3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2026-07-02T09:26:04Z</dcterms:modified>
</cp:coreProperties>
</file>