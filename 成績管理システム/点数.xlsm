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Desktop\新しいフォルダー\mahjong-club\成績管理システム\"/>
    </mc:Choice>
  </mc:AlternateContent>
  <xr:revisionPtr revIDLastSave="0" documentId="13_ncr:1_{389B5FD4-98FD-487F-9502-FAB13AB51865}" xr6:coauthVersionLast="45" xr6:coauthVersionMax="45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C3" i="1"/>
  <c r="C7" i="1"/>
  <c r="C11" i="1"/>
  <c r="C10" i="1"/>
  <c r="D7" i="1"/>
  <c r="D10" i="1"/>
  <c r="D11" i="1"/>
  <c r="F7" i="1"/>
  <c r="F11" i="1"/>
  <c r="F10" i="1"/>
  <c r="E7" i="1"/>
  <c r="E11" i="1"/>
  <c r="E10" i="1"/>
  <c r="E8" i="1"/>
  <c r="C8" i="1"/>
  <c r="F8" i="1"/>
  <c r="D8" i="1"/>
  <c r="E5" i="1" l="1"/>
  <c r="F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<sst xmlns="http://schemas.openxmlformats.org/spreadsheetml/2006/main" count="5" uniqueCount="5">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</sst>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105" zoomScaleNormal="105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3.471064814814815E-2</v>
      </c>
    </row>
    <row r="4" spans="1:6" ht="69.75" customHeight="1" thickBot="1" x14ac:dyDescent="0.45"/>
    <row r="5" spans="1:6" ht="64.5" x14ac:dyDescent="0.4">
      <c r="B5" s="3" t="s">
        <v>1</v>
      </c>
      <c r="C5" s="20">
        <f ca="1">IFERROR(_xlfn.RANK.EQ(C$7,$C$7:$F$7),"―")</f>
        <v>1</v>
      </c>
      <c r="D5" s="20">
        <f ca="1">IFERROR(_xlfn.RANK.EQ(D$7,$C$7:$F$7),"―")</f>
        <v>1</v>
      </c>
      <c r="E5" s="20">
        <f ca="1">IFERROR(_xlfn.RANK.EQ(E$7,$C$7:$F$7),"―")</f>
        <v>1</v>
      </c>
      <c r="F5" s="16">
        <f ca="1">IFERROR(_xlfn.RANK.EQ(F$7,$C$7:$F$7),"―")</f>
        <v>1</v>
      </c>
    </row>
    <row r="6" spans="1:6" ht="103.5" x14ac:dyDescent="0.4">
      <c r="B6" s="4" t="s">
        <v>2</v>
      </c>
      <c r="C6" s="21" t="str">
        <f ca="1">IF(ISERROR(MJFILE()),"―",NAME(MJFILE(),0))</f>
        <v/>
      </c>
      <c r="D6" s="21" t="str">
        <f ca="1">IF(ISERROR(MJFILE()),"―",NAME(MJFILE(),1))</f>
        <v/>
      </c>
      <c r="E6" s="21" t="str">
        <f ca="1">IF(ISERROR(MJFILE()),"―",NAME(MJFILE(),2))</f>
        <v/>
      </c>
      <c r="F6" s="17" t="str">
        <f ca="1">IF(ISERROR(MJFILE()),"―",NAME(MJFILE(),3))</f>
        <v/>
      </c>
    </row>
    <row r="7" spans="1:6" ht="103.5" x14ac:dyDescent="0.4">
      <c r="B7" s="4" t="s">
        <v>3</v>
      </c>
      <c r="C7" s="22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18">
        <f ca="1">IF(ISERROR(MJFILE()),"―",POINT(MJFILE(),3,4))</f>
        <v>25000</v>
      </c>
    </row>
    <row r="8" spans="1:6" ht="65.25" thickBot="1" x14ac:dyDescent="0.45">
      <c r="B8" s="5" t="s">
        <v>4</v>
      </c>
      <c r="C8" s="23">
        <f ca="1">IF(ISERROR(MJFILE()),"―",score(MJFILE(),0))</f>
        <v>0</v>
      </c>
      <c r="D8" s="23">
        <f ca="1">IF(ISERROR(MJFILE()),"―",score(MJFILE(),1))</f>
        <v>0</v>
      </c>
      <c r="E8" s="23">
        <f ca="1">IF(ISERROR(MJFILE()),"―",score(MJFILE(),2))</f>
        <v>0</v>
      </c>
      <c r="F8" s="19">
        <f ca="1">IF(ISERROR(MJFILE()),"―",score(MJFILE(),3))</f>
        <v>0</v>
      </c>
    </row>
    <row r="9" spans="1:6" ht="12" customHeight="1" x14ac:dyDescent="0.4"/>
    <row r="10" spans="1:6" ht="58.5" customHeight="1" x14ac:dyDescent="0.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44232.684155092589</v>
      </c>
    </row>
    <row r="2" spans="1:1" x14ac:dyDescent="0.4">
      <c r="A2" s="2">
        <v>3.471064814814815E-2</v>
      </c>
    </row>
    <row r="3" spans="1:1" x14ac:dyDescent="0.4">
      <c r="A3" s="2">
        <v>3.471064814814815E-2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2021-02-05T07:25:12Z</dcterms:modified>
</cp:coreProperties>
</file>