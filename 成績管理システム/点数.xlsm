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9D3EE52-CE0E-4392-B125-8B19005D7FC7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3" i="1"/>
  <c r="D3" i="1"/>
  <c r="E6" i="1"/>
  <c r="E8" i="1"/>
  <c r="E11" i="1"/>
  <c r="F8" i="1"/>
  <c r="F11" i="1"/>
  <c r="C11" i="1"/>
  <c r="D11" i="1"/>
  <c r="F6" i="1"/>
  <c r="C7" i="1"/>
  <c r="C10" i="1"/>
  <c r="D7" i="1"/>
  <c r="D10" i="1"/>
  <c r="E7" i="1"/>
  <c r="E10" i="1"/>
  <c r="F7" i="1"/>
  <c r="F10" i="1"/>
  <c r="C6" i="1"/>
  <c r="C8" i="1"/>
  <c r="D6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<sst xmlns="http://schemas.openxmlformats.org/spreadsheetml/2006/main" count="5" uniqueCount="5">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</sst>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22">
        <f ca="1">IFERROR(_xlfn.RANK.EQ(C$7,$C$7:$F$7),"―")</f>
        <v>1</v>
      </c>
      <c r="D5" s="14">
        <f ca="1">IFERROR(_xlfn.RANK.EQ(D$7,$C$7:$F$7),"―")</f>
        <v>1</v>
      </c>
      <c r="E5" s="14">
        <f ca="1">IFERROR(_xlfn.RANK.EQ(E$7,$C$7:$F$7),"―")</f>
        <v>1</v>
      </c>
      <c r="F5" s="15">
        <f ca="1">IFERROR(_xlfn.RANK.EQ(F$7,$C$7:$F$7),"―")</f>
        <v>1</v>
      </c>
    </row>
    <row r="6" spans="1:6" ht="103" x14ac:dyDescent="0.55000000000000004">
      <c r="B6" s="4" t="s">
        <v>2</v>
      </c>
      <c r="C6" s="23" t="str">
        <f ca="1">IF(ISERROR(MJFILE()),"―",NAME(MJFILE(),0))</f>
        <v>宮沢璃空</v>
      </c>
      <c r="D6" s="16" t="str">
        <f ca="1">IF(ISERROR(MJFILE()),"―",NAME(MJFILE(),1))</f>
        <v>高山晶</v>
      </c>
      <c r="E6" s="16" t="str">
        <f ca="1">IF(ISERROR(MJFILE()),"―",NAME(MJFILE(),2))</f>
        <v>笠原誠</v>
      </c>
      <c r="F6" s="17" t="str">
        <f ca="1">IF(ISERROR(MJFILE()),"―",NAME(MJFILE(),3))</f>
        <v>阿部修二朗</v>
      </c>
    </row>
    <row r="7" spans="1:6" ht="103" x14ac:dyDescent="0.55000000000000004">
      <c r="B7" s="4" t="s">
        <v>3</v>
      </c>
      <c r="C7" s="24">
        <f ca="1">IF(ISERROR(MJFILE()),"―",POINT(MJFILE(),0,4))</f>
        <v>25000</v>
      </c>
      <c r="D7" s="18">
        <f ca="1">IF(ISERROR(MJFILE()),"―",POINT(MJFILE(),1,4))</f>
        <v>25000</v>
      </c>
      <c r="E7" s="18">
        <f ca="1">IF(ISERROR(MJFILE()),"―",POINT(MJFILE(),2,4))</f>
        <v>25000</v>
      </c>
      <c r="F7" s="19">
        <f ca="1">IF(ISERROR(MJFILE()),"―",POINT(MJFILE(),3,4))</f>
        <v>25000</v>
      </c>
    </row>
    <row r="8" spans="1:6" ht="65" thickBot="1" x14ac:dyDescent="0.6">
      <c r="B8" s="5" t="s">
        <v>4</v>
      </c>
      <c r="C8" s="25">
        <f ca="1">IF(ISERROR(MJFILE()),"―",score(MJFILE(),0))</f>
        <v>0</v>
      </c>
      <c r="D8" s="20">
        <f ca="1">IF(ISERROR(MJFILE()),"―",score(MJFILE(),1))</f>
        <v>0</v>
      </c>
      <c r="E8" s="20">
        <f ca="1">IF(ISERROR(MJFILE()),"―",score(MJFILE(),2))</f>
        <v>0</v>
      </c>
      <c r="F8" s="21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46072.740925925929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2026-02-19T08:46:56Z</dcterms:modified>
</cp:coreProperties>
</file>