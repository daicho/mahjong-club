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94A1E260-A186-423E-A101-0C145357321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D3" i="1" l="1"/>
  <c r="C10" i="1" l="1"/>
  <c r="C7" i="1"/>
  <c r="C11" i="1"/>
  <c r="F7" i="1" l="1"/>
  <c r="F11" i="1"/>
  <c r="F10" i="1"/>
  <c r="D11" i="1"/>
  <c r="D10" i="1"/>
  <c r="D7" i="1"/>
  <c r="C3" i="1"/>
  <c r="E10" i="1"/>
  <c r="E7" i="1"/>
  <c r="E11" i="1"/>
  <c r="D5" i="1" l="1"/>
  <c r="E5" i="1"/>
  <c r="F5" i="1"/>
  <c r="C5" i="1"/>
  <c r="D8" i="1"/>
  <c r="C8" i="1"/>
  <c r="F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<sst xmlns="http://schemas.openxmlformats.org/spreadsheetml/2006/main" count="5" uniqueCount="5">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</sst>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2</v>
      </c>
      <c r="D5" s="18">
        <f ca="1">IFERROR(_xlfn.RANK.EQ(D$7,$C$7:$F$7),"―")</f>
        <v>3</v>
      </c>
      <c r="E5" s="14">
        <f ca="1">IFERROR(_xlfn.RANK.EQ(E$7,$C$7:$F$7),"―")</f>
        <v>1</v>
      </c>
      <c r="F5" s="19">
        <f ca="1">IFERROR(_xlfn.RANK.EQ(F$7,$C$7:$F$7),"―")</f>
        <v>4</v>
      </c>
    </row>
    <row r="6" spans="1:6" ht="103" x14ac:dyDescent="0.55000000000000004">
      <c r="B6" s="4" t="s">
        <v>2</v>
      </c>
      <c r="C6" s="20" t="str">
        <f ca="1">IF(ISERROR(MJFILE()),"―",NAME(MJFILE(),0))</f>
        <v>所附快和</v>
      </c>
      <c r="D6" s="20" t="str">
        <f ca="1">IF(ISERROR(MJFILE()),"―",NAME(MJFILE(),1))</f>
        <v>清水遙斗</v>
      </c>
      <c r="E6" s="15" t="str">
        <f ca="1">IF(ISERROR(MJFILE()),"―",NAME(MJFILE(),2))</f>
        <v>佐藤成浩</v>
      </c>
      <c r="F6" s="21" t="str">
        <f ca="1">IF(ISERROR(MJFILE()),"―",NAME(MJFILE(),3))</f>
        <v>宮沢璃空</v>
      </c>
    </row>
    <row r="7" spans="1:6" ht="103" x14ac:dyDescent="0.55000000000000004">
      <c r="B7" s="4" t="s">
        <v>3</v>
      </c>
      <c r="C7" s="22">
        <f ca="1">IF(ISERROR(MJFILE()),"―",POINT(MJFILE(),0,4))</f>
        <v>32600</v>
      </c>
      <c r="D7" s="22">
        <f ca="1">IF(ISERROR(MJFILE()),"―",POINT(MJFILE(),1,4))</f>
        <v>11100</v>
      </c>
      <c r="E7" s="16">
        <f ca="1">IF(ISERROR(MJFILE()),"―",POINT(MJFILE(),2,4))</f>
        <v>47500</v>
      </c>
      <c r="F7" s="23">
        <f ca="1">IF(ISERROR(MJFILE()),"―",POINT(MJFILE(),3,4))</f>
        <v>8800</v>
      </c>
    </row>
    <row r="8" spans="1:6" ht="65" thickBot="1" x14ac:dyDescent="0.6">
      <c r="B8" s="5" t="s">
        <v>4</v>
      </c>
      <c r="C8" s="24">
        <f ca="1">IF(ISERROR(MJFILE()),"―",score(MJFILE(),0))</f>
        <v>12.6</v>
      </c>
      <c r="D8" s="24">
        <f ca="1">IF(ISERROR(MJFILE()),"―",score(MJFILE(),1))</f>
        <v>-28.9</v>
      </c>
      <c r="E8" s="17">
        <f ca="1">IF(ISERROR(MJFILE()),"―",score(MJFILE(),2))</f>
        <v>67.5</v>
      </c>
      <c r="F8" s="25">
        <f ca="1">IF(ISERROR(MJFILE()),"―",score(MJFILE(),3))</f>
        <v>-51.2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-5200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5200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-1000</v>
      </c>
      <c r="E11" s="13" t="str">
        <f ca="1">IF(ISERROR(MJFILE()),"―",IF(POINT(MJFILE(),2,2)=0,"",POINT(MJFILE(),2,2)))</f>
        <v/>
      </c>
      <c r="F11" s="13">
        <f ca="1">IF(ISERROR(MJFILE()),"―",IF(POINT(MJFILE(),3,2)=0,"",POINT(MJFILE(),3,2)))</f>
        <v>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13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4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4" name="Furo1"/>
      </mc:Fallback>
    </mc:AlternateContent>
    <mc:AlternateContent xmlns:mc="http://schemas.openxmlformats.org/markup-compatibility/2006">
      <mc:Choice Requires="x14">
        <control shapeId="1238" r:id="rId15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5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46030.735092592593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2026-01-08T09:28:57Z</dcterms:modified>
</cp:coreProperties>
</file>