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2CF28BA2-8DCC-40B1-8E6B-B97577C02114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3" i="1" l="1"/>
  <c r="C11" i="1"/>
  <c r="C10" i="1"/>
  <c r="C7" i="1"/>
  <c r="D3" i="1"/>
  <c r="D11" i="1" l="1"/>
  <c r="D10" i="1"/>
  <c r="D7" i="1"/>
  <c r="F11" i="1" l="1"/>
  <c r="F7" i="1"/>
  <c r="F10" i="1"/>
  <c r="E11" i="1" l="1"/>
  <c r="E10" i="1"/>
  <c r="E7" i="1"/>
  <c r="F5" i="1" l="1"/>
  <c r="E5" i="1"/>
  <c r="C5" i="1"/>
  <c r="D5" i="1"/>
  <c r="E8" i="1"/>
  <c r="C8" i="1"/>
  <c r="D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<sst xmlns="http://schemas.openxmlformats.org/spreadsheetml/2006/main" count="5" uniqueCount="5">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</sst>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4</v>
      </c>
      <c r="D5" s="14">
        <f ca="1">IFERROR(_xlfn.RANK.EQ(D$7,$C$7:$F$7),"―")</f>
        <v>2</v>
      </c>
      <c r="E5" s="22">
        <f ca="1">IFERROR(_xlfn.RANK.EQ(E$7,$C$7:$F$7),"―")</f>
        <v>3</v>
      </c>
      <c r="F5" s="15">
        <f ca="1">IFERROR(_xlfn.RANK.EQ(F$7,$C$7:$F$7),"―")</f>
        <v>1</v>
      </c>
    </row>
    <row r="6" spans="1:6" ht="103.2" x14ac:dyDescent="0.45">
      <c r="B6" s="4" t="s">
        <v>2</v>
      </c>
      <c r="C6" s="16" t="str">
        <f ca="1">IF(ISERROR(MJFILE()),"―",NAME(MJFILE(),0))</f>
        <v>西野修世</v>
      </c>
      <c r="D6" s="16" t="str">
        <f ca="1">IF(ISERROR(MJFILE()),"―",NAME(MJFILE(),1))</f>
        <v>中村花菜</v>
      </c>
      <c r="E6" s="23" t="str">
        <f ca="1">IF(ISERROR(MJFILE()),"―",NAME(MJFILE(),2))</f>
        <v>所附快和</v>
      </c>
      <c r="F6" s="17" t="str">
        <f ca="1">IF(ISERROR(MJFILE()),"―",NAME(MJFILE(),3))</f>
        <v>長野柊馬</v>
      </c>
    </row>
    <row r="7" spans="1:6" ht="103.2" x14ac:dyDescent="0.45">
      <c r="B7" s="4" t="s">
        <v>3</v>
      </c>
      <c r="C7" s="18">
        <f ca="1">IF(ISERROR(MJFILE()),"―",POINT(MJFILE(),0,4))</f>
        <v>-1600</v>
      </c>
      <c r="D7" s="18">
        <f ca="1">IF(ISERROR(MJFILE()),"―",POINT(MJFILE(),1,4))</f>
        <v>43400</v>
      </c>
      <c r="E7" s="24">
        <f ca="1">IF(ISERROR(MJFILE()),"―",POINT(MJFILE(),2,4))</f>
        <v>8000</v>
      </c>
      <c r="F7" s="19">
        <f ca="1">IF(ISERROR(MJFILE()),"―",POINT(MJFILE(),3,4))</f>
        <v>50200</v>
      </c>
    </row>
    <row r="8" spans="1:6" ht="65.400000000000006" thickBot="1" x14ac:dyDescent="0.5">
      <c r="B8" s="5" t="s">
        <v>4</v>
      </c>
      <c r="C8" s="20">
        <f ca="1">IF(ISERROR(MJFILE()),"―",score(MJFILE(),0))</f>
        <v>-61.6</v>
      </c>
      <c r="D8" s="20">
        <f ca="1">IF(ISERROR(MJFILE()),"―",score(MJFILE(),1))</f>
        <v>23.4</v>
      </c>
      <c r="E8" s="25">
        <f ca="1">IF(ISERROR(MJFILE()),"―",score(MJFILE(),2))</f>
        <v>-32</v>
      </c>
      <c r="F8" s="21">
        <f ca="1">IF(ISERROR(MJFILE()),"―",score(MJFILE(),3))</f>
        <v>70.2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2000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-500</v>
      </c>
      <c r="F10" s="12">
        <f ca="1">IF(ISERROR(MJFILE()),"―",IF(POINT(MJFILE(),3,1)=0,"",POINT(MJFILE(),3,1)+POINT(MJFILE(),3,3)))</f>
        <v>-500</v>
      </c>
    </row>
    <row r="11" spans="1:6" ht="51" customHeight="1" x14ac:dyDescent="0.45">
      <c r="C11" s="13">
        <f ca="1">IF(ISERROR(MJFILE()),"―",IF(POINT(MJFILE(),0,2)=0,"",POINT(MJFILE(),0,2)))</f>
        <v>1000</v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45491.735335648147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2024-07-18T09:29:14Z</dcterms:modified>
</cp:coreProperties>
</file>