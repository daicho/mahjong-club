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A0F08BE7-4CF8-4046-A4E2-BACDE12970B1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<sst xmlns="http://schemas.openxmlformats.org/spreadsheetml/2006/main" count="5" uniqueCount="5">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</sst>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1本場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4</v>
      </c>
      <c r="D5" s="16">
        <f ca="1">IFERROR(_xlfn.RANK.EQ(D$7,$C$7:$F$7),"―")</f>
        <v>1</v>
      </c>
      <c r="E5" s="16">
        <f ca="1">IFERROR(_xlfn.RANK.EQ(E$7,$C$7:$F$7),"―")</f>
        <v>3</v>
      </c>
      <c r="F5" s="20">
        <f ca="1">IFERROR(_xlfn.RANK.EQ(F$7,$C$7:$F$7),"―")</f>
        <v>2</v>
      </c>
    </row>
    <row r="6" spans="1:6" ht="103.5" x14ac:dyDescent="0.4">
      <c r="B6" s="4" t="s">
        <v>2</v>
      </c>
      <c r="C6" s="17" t="str">
        <f ca="1">IF(ISERROR(MJFILE()),"―",NAME(MJFILE(),0))</f>
        <v>関谷洸佑</v>
      </c>
      <c r="D6" s="17" t="str">
        <f ca="1">IF(ISERROR(MJFILE()),"―",NAME(MJFILE(),1))</f>
        <v>柳澤颯吾</v>
      </c>
      <c r="E6" s="17" t="str">
        <f ca="1">IF(ISERROR(MJFILE()),"―",NAME(MJFILE(),2))</f>
        <v>中村花菜</v>
      </c>
      <c r="F6" s="21" t="str">
        <f ca="1">IF(ISERROR(MJFILE()),"―",NAME(MJFILE(),3))</f>
        <v>佐藤成浩</v>
      </c>
    </row>
    <row r="7" spans="1:6" ht="103.5" x14ac:dyDescent="0.4">
      <c r="B7" s="4" t="s">
        <v>3</v>
      </c>
      <c r="C7" s="18">
        <f ca="1">IF(ISERROR(MJFILE()),"―",POINT(MJFILE(),0,4))</f>
        <v>9600</v>
      </c>
      <c r="D7" s="18">
        <f ca="1">IF(ISERROR(MJFILE()),"―",POINT(MJFILE(),1,4))</f>
        <v>40200</v>
      </c>
      <c r="E7" s="18">
        <f ca="1">IF(ISERROR(MJFILE()),"―",POINT(MJFILE(),2,4))</f>
        <v>22900</v>
      </c>
      <c r="F7" s="22">
        <f ca="1">IF(ISERROR(MJFILE()),"―",POINT(MJFILE(),3,4))</f>
        <v>26300</v>
      </c>
    </row>
    <row r="8" spans="1:6" ht="65.25" thickBot="1" x14ac:dyDescent="0.45">
      <c r="B8" s="5" t="s">
        <v>4</v>
      </c>
      <c r="C8" s="19">
        <f ca="1">IF(ISERROR(MJFILE()),"―",score(MJFILE(),0))</f>
        <v>-50.4</v>
      </c>
      <c r="D8" s="19">
        <f ca="1">IF(ISERROR(MJFILE()),"―",score(MJFILE(),1))</f>
        <v>60.2</v>
      </c>
      <c r="E8" s="19">
        <f ca="1">IF(ISERROR(MJFILE()),"―",score(MJFILE(),2))</f>
        <v>-17.100000000000001</v>
      </c>
      <c r="F8" s="23">
        <f ca="1">IF(ISERROR(MJFILE()),"―",score(MJFILE(),3))</f>
        <v>6.3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3000</v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44756.74287037037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2022-07-14T09:40:13Z</dcterms:modified>
</cp:coreProperties>
</file>