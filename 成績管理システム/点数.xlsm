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FE735FCA-DAB5-49E8-AA48-4715273906E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C11" i="1" l="1"/>
  <c r="C10" i="1"/>
  <c r="C7" i="1"/>
  <c r="C3" i="1"/>
  <c r="D11" i="1"/>
  <c r="D10" i="1"/>
  <c r="D7" i="1"/>
  <c r="F11" i="1" l="1"/>
  <c r="F7" i="1"/>
  <c r="F10" i="1"/>
  <c r="E10" i="1" l="1"/>
  <c r="E7" i="1"/>
  <c r="E11" i="1"/>
  <c r="E5" i="1" l="1"/>
  <c r="C5" i="1"/>
  <c r="F5" i="1"/>
  <c r="D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<sst xmlns="http://schemas.openxmlformats.org/spreadsheetml/2006/main" count="5" uniqueCount="5">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</sst>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6.9097222222222225E-3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2</v>
      </c>
      <c r="D5" s="14">
        <f ca="1">IFERROR(_xlfn.RANK.EQ(D$7,$C$7:$F$7),"―")</f>
        <v>4</v>
      </c>
      <c r="E5" s="18">
        <f ca="1">IFERROR(_xlfn.RANK.EQ(E$7,$C$7:$F$7),"―")</f>
        <v>3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20" t="str">
        <f ca="1">IF(ISERROR(MJFILE()),"―",NAME(MJFILE(),0))</f>
        <v>山本悠介</v>
      </c>
      <c r="D6" s="15" t="str">
        <f ca="1">IF(ISERROR(MJFILE()),"―",NAME(MJFILE(),1))</f>
        <v>佐藤成</v>
      </c>
      <c r="E6" s="20" t="str">
        <f ca="1">IF(ISERROR(MJFILE()),"―",NAME(MJFILE(),2))</f>
        <v>所附快和</v>
      </c>
      <c r="F6" s="21" t="str">
        <f ca="1">IF(ISERROR(MJFILE()),"―",NAME(MJFILE(),3))</f>
        <v>長野柊馬</v>
      </c>
    </row>
    <row r="7" spans="1:6" ht="103.2" x14ac:dyDescent="0.45">
      <c r="B7" s="4" t="s">
        <v>3</v>
      </c>
      <c r="C7" s="22">
        <f ca="1">IF(ISERROR(MJFILE()),"―",POINT(MJFILE(),0,4))</f>
        <v>25800</v>
      </c>
      <c r="D7" s="16">
        <f ca="1">IF(ISERROR(MJFILE()),"―",POINT(MJFILE(),1,4))</f>
        <v>14100</v>
      </c>
      <c r="E7" s="22">
        <f ca="1">IF(ISERROR(MJFILE()),"―",POINT(MJFILE(),2,4))</f>
        <v>14400</v>
      </c>
      <c r="F7" s="23">
        <f ca="1">IF(ISERROR(MJFILE()),"―",POINT(MJFILE(),3,4))</f>
        <v>44700</v>
      </c>
    </row>
    <row r="8" spans="1:6" ht="65.400000000000006" thickBot="1" x14ac:dyDescent="0.5">
      <c r="B8" s="5" t="s">
        <v>4</v>
      </c>
      <c r="C8" s="24">
        <f ca="1">IF(ISERROR(MJFILE()),"―",score(MJFILE(),0))</f>
        <v>5.8</v>
      </c>
      <c r="D8" s="17">
        <f ca="1">IF(ISERROR(MJFILE()),"―",score(MJFILE(),1))</f>
        <v>-45.9</v>
      </c>
      <c r="E8" s="24">
        <f ca="1">IF(ISERROR(MJFILE()),"―",score(MJFILE(),2))</f>
        <v>-25.6</v>
      </c>
      <c r="F8" s="25">
        <f ca="1">IF(ISERROR(MJFILE()),"―",score(MJFILE(),3))</f>
        <v>64.7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3000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-1000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-1000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45412.763136574074</v>
      </c>
    </row>
    <row r="2" spans="1:1" x14ac:dyDescent="0.45">
      <c r="A2" s="2">
        <v>6.9097222222222225E-3</v>
      </c>
    </row>
    <row r="3" spans="1:1" x14ac:dyDescent="0.45">
      <c r="A3" s="2">
        <v>6.9097222222222225E-3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2024-04-30T09:32:44Z</dcterms:modified>
</cp:coreProperties>
</file>