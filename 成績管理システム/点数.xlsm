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"/>
    </mc:Choice>
  </mc:AlternateContent>
  <xr:revisionPtr revIDLastSave="0" documentId="13_ncr:1_{BDD7225F-9955-4E3B-B454-0F9E3BAEBF94}" xr6:coauthVersionLast="41" xr6:coauthVersionMax="41" xr10:uidLastSave="{00000000-0000-0000-0000-000000000000}"/>
  <bookViews>
    <workbookView xWindow="-108" yWindow="-108" windowWidth="23256" windowHeight="12720" xr2:uid="{104DD447-7576-4543-B2BB-CF60142807AB}"/>
  </bookViews>
  <sheets>
    <sheet name="Main" sheetId="1" r:id="rId1"/>
    <sheet name="Setting" sheetId="3" r:id="rId2"/>
  </sheets>
  <functionGroups builtInGroupCount="19"/>
  <definedNames>
    <definedName name="Furo0">Setting!$B$6</definedName>
    <definedName name="Furo1">Setting!$B$7</definedName>
    <definedName name="Furo2">Setting!$B$8</definedName>
    <definedName name="Furo3">Setting!$B$9</definedName>
    <definedName name="FuroFALSE">Setting!$B$11</definedName>
    <definedName name="FuroTRUE">Setting!$B$12</definedName>
    <definedName name="LeftTime">Setting!$A$3</definedName>
    <definedName name="Richi0">Setting!$A$6</definedName>
    <definedName name="Richi1">Setting!$A$7</definedName>
    <definedName name="Richi2">Setting!$A$8</definedName>
    <definedName name="Richi3">Setting!$A$9</definedName>
    <definedName name="RichiFALSE">Setting!$A$11</definedName>
    <definedName name="RichiTRUE">Setting!$A$12</definedName>
    <definedName name="SetTime">Setting!$A$2</definedName>
    <definedName name="StartTime">Setting!$A$1</definedName>
    <definedName name="TimerStatus">Setting!$A$4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" i="1" l="1"/>
  <c r="C3" i="1"/>
  <c r="D3" i="1"/>
  <c r="E11" i="1"/>
  <c r="D8" i="1"/>
  <c r="D7" i="1"/>
  <c r="C6" i="1"/>
  <c r="C8" i="1"/>
  <c r="D6" i="1"/>
  <c r="F10" i="1"/>
  <c r="E8" i="1"/>
  <c r="F11" i="1"/>
  <c r="F8" i="1"/>
  <c r="C7" i="1"/>
  <c r="E7" i="1"/>
  <c r="F7" i="1"/>
  <c r="F6" i="1"/>
  <c r="C10" i="1"/>
  <c r="E10" i="1"/>
  <c r="D11" i="1"/>
  <c r="D10" i="1"/>
  <c r="E6" i="1"/>
  <c r="C11" i="1"/>
  <c r="F5" i="1" l="1"/>
  <c r="E5" i="1"/>
  <c r="C5" i="1"/>
  <c r="D5" i="1"/>
</calcChain>
</file>

<file path=xl/sharedStrings.xml><?xml version="1.0" encoding="utf-8"?>
<sst xmlns="http://schemas.openxmlformats.org/spreadsheetml/2006/main" count="5" uniqueCount="5">
  <si>
    <t>順位</t>
    <rPh sb="0" eb="2">
      <t>ジュンイ</t>
    </rPh>
    <phoneticPr fontId="1"/>
  </si>
  <si>
    <t>名前</t>
    <rPh sb="0" eb="2">
      <t>ナマエ</t>
    </rPh>
    <phoneticPr fontId="1"/>
  </si>
  <si>
    <t>点数</t>
    <rPh sb="0" eb="2">
      <t>テンスウ</t>
    </rPh>
    <phoneticPr fontId="1"/>
  </si>
  <si>
    <t>スコア</t>
    <phoneticPr fontId="1"/>
  </si>
  <si>
    <t>残り時間</t>
    <rPh sb="0" eb="1">
      <t>ノコ</t>
    </rPh>
    <rPh sb="2" eb="4">
      <t>ジカン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</si>
</sst>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22" fontId="0" fillId="0" borderId="0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3" fillId="0" borderId="0" xfId="0" applyFont="1" applyBorder="1" applyAlignment="1">
      <alignment horizontal="right" vertical="center" shrinkToFit="1"/>
    </xf>
    <xf numFmtId="0" fontId="4" fillId="0" borderId="0" xfId="0" applyFont="1" applyBorder="1" applyAlignment="1">
      <alignment horizontal="left" shrinkToFit="1"/>
    </xf>
    <xf numFmtId="0" fontId="4" fillId="0" borderId="0" xfId="0" applyFont="1" applyBorder="1" applyAlignment="1">
      <alignment horizontal="right" shrinkToFit="1"/>
    </xf>
    <xf numFmtId="180" fontId="3" fillId="0" borderId="0" xfId="0" applyNumberFormat="1" applyFont="1" applyBorder="1" applyAlignment="1">
      <alignment horizontal="left" vertical="center" shrinkToFit="1"/>
    </xf>
    <xf numFmtId="178" fontId="2" fillId="0" borderId="0" xfId="0" applyNumberFormat="1" applyFont="1" applyBorder="1" applyAlignment="1">
      <alignment horizontal="center" vertical="center" shrinkToFit="1"/>
    </xf>
    <xf numFmtId="0" fontId="0" fillId="0" borderId="0" xfId="0" applyFont="1" applyBorder="1" applyAlignment="1">
      <alignment vertical="center" shrinkToFit="1"/>
    </xf>
    <xf numFmtId="178" fontId="4" fillId="0" borderId="0" xfId="0" applyNumberFormat="1" applyFont="1" applyBorder="1" applyAlignment="1">
      <alignment horizontal="center" vertical="center" shrinkToFit="1"/>
    </xf>
    <xf numFmtId="0" fontId="0" fillId="2" borderId="0" xfId="0" applyFill="1">
      <alignment vertical="center"/>
    </xf>
    <xf numFmtId="0" fontId="0" fillId="0" borderId="0" xfId="0" applyNumberFormat="1" applyBorder="1" applyAlignment="1">
      <alignment vertical="center" shrinkToFit="1"/>
    </xf>
  </cellXfs>
  <cellStyles count="1">
    <cellStyle name="標準" xfId="0" builtinId="0"/>
  </cellStyles>
  <dxfs count="3">
    <dxf>
      <font>
        <color rgb="FFF00000"/>
      </font>
    </dxf>
    <dxf>
      <font>
        <color rgb="FF0000F0"/>
      </font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0000F0"/>
      <color rgb="FF0070FF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svg"/><Relationship Id="rId3" Type="http://schemas.openxmlformats.org/officeDocument/2006/relationships/image" Target="../media/image19.png"/><Relationship Id="rId7" Type="http://schemas.openxmlformats.org/officeDocument/2006/relationships/image" Target="../media/image23.png"/><Relationship Id="rId2" Type="http://schemas.openxmlformats.org/officeDocument/2006/relationships/image" Target="../media/image18.svg"/><Relationship Id="rId1" Type="http://schemas.openxmlformats.org/officeDocument/2006/relationships/image" Target="../media/image17.png"/><Relationship Id="rId6" Type="http://schemas.openxmlformats.org/officeDocument/2006/relationships/image" Target="../media/image22.svg"/><Relationship Id="rId5" Type="http://schemas.openxmlformats.org/officeDocument/2006/relationships/image" Target="../media/image21.png"/><Relationship Id="rId4" Type="http://schemas.openxmlformats.org/officeDocument/2006/relationships/image" Target="../media/image20.sv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1950720</xdr:colOff>
          <xdr:row>1</xdr:row>
          <xdr:rowOff>22860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251460</xdr:colOff>
          <xdr:row>1</xdr:row>
          <xdr:rowOff>22860</xdr:rowOff>
        </xdr:from>
        <xdr:to>
          <xdr:col>5</xdr:col>
          <xdr:colOff>1988820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22860</xdr:rowOff>
        </xdr:from>
        <xdr:to>
          <xdr:col>2</xdr:col>
          <xdr:colOff>3688080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</xdr:colOff>
          <xdr:row>1</xdr:row>
          <xdr:rowOff>22860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441960</xdr:colOff>
          <xdr:row>3</xdr:row>
          <xdr:rowOff>7620</xdr:rowOff>
        </xdr:from>
        <xdr:to>
          <xdr:col>2</xdr:col>
          <xdr:colOff>2023110</xdr:colOff>
          <xdr:row>3</xdr:row>
          <xdr:rowOff>493395</xdr:rowOff>
        </xdr:to>
        <xdr:pic macro="[0]!'RichiCheck 0'">
          <xdr:nvPicPr>
            <xdr:cNvPr id="6" name="RichiImage0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RichiFALSE" spid="_x0000_s120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004060" y="1798320"/>
              <a:ext cx="1581150" cy="4857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2240280</xdr:colOff>
          <xdr:row>3</xdr:row>
          <xdr:rowOff>7620</xdr:rowOff>
        </xdr:from>
        <xdr:to>
          <xdr:col>2</xdr:col>
          <xdr:colOff>3821430</xdr:colOff>
          <xdr:row>3</xdr:row>
          <xdr:rowOff>493395</xdr:rowOff>
        </xdr:to>
        <xdr:pic macro="[0]!'FuroCheck 0'">
          <xdr:nvPicPr>
            <xdr:cNvPr id="7" name="FuroImage0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FuroTRUE" spid="_x0000_s1202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3802380" y="1798320"/>
              <a:ext cx="1581150" cy="4857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441960</xdr:colOff>
          <xdr:row>3</xdr:row>
          <xdr:rowOff>7620</xdr:rowOff>
        </xdr:from>
        <xdr:ext cx="1581150" cy="485775"/>
        <xdr:pic macro="[0]!'RichiCheck 1'">
          <xdr:nvPicPr>
            <xdr:cNvPr id="8" name="RichiImage1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RichiFALSE" spid="_x0000_s1203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2004060" y="1798320"/>
              <a:ext cx="1581150" cy="4857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2240280</xdr:colOff>
          <xdr:row>3</xdr:row>
          <xdr:rowOff>7620</xdr:rowOff>
        </xdr:from>
        <xdr:ext cx="1581150" cy="485775"/>
        <xdr:pic macro="[0]!'FuroCheck 1'">
          <xdr:nvPicPr>
            <xdr:cNvPr id="9" name="FuroImage1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FuroTRUE" spid="_x0000_s1204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3802380" y="1798320"/>
              <a:ext cx="1581150" cy="4857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441960</xdr:colOff>
          <xdr:row>3</xdr:row>
          <xdr:rowOff>7620</xdr:rowOff>
        </xdr:from>
        <xdr:ext cx="1581150" cy="485775"/>
        <xdr:pic macro="[0]!'RichiCheck 2'">
          <xdr:nvPicPr>
            <xdr:cNvPr id="10" name="RichiImage2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RichiTRUE" spid="_x0000_s1205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9876246" y="1794691"/>
              <a:ext cx="1581150" cy="4857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2240280</xdr:colOff>
          <xdr:row>3</xdr:row>
          <xdr:rowOff>7620</xdr:rowOff>
        </xdr:from>
        <xdr:ext cx="1581150" cy="485775"/>
        <xdr:pic macro="[0]!'FuroCheck 2'">
          <xdr:nvPicPr>
            <xdr:cNvPr id="11" name="FuroImage2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FuroFALSE" spid="_x0000_s1206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3802380" y="1798320"/>
              <a:ext cx="1581150" cy="4857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441960</xdr:colOff>
          <xdr:row>3</xdr:row>
          <xdr:rowOff>7620</xdr:rowOff>
        </xdr:from>
        <xdr:ext cx="1581150" cy="485775"/>
        <xdr:pic macro="[0]!'RichiCheck 3'">
          <xdr:nvPicPr>
            <xdr:cNvPr id="12" name="RichiImage3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RichiFALSE" spid="_x0000_s1207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2004060" y="1798320"/>
              <a:ext cx="1581150" cy="4857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2240280</xdr:colOff>
          <xdr:row>3</xdr:row>
          <xdr:rowOff>7620</xdr:rowOff>
        </xdr:from>
        <xdr:ext cx="1581150" cy="485775"/>
        <xdr:pic macro="[0]!'FuroCheck 3'">
          <xdr:nvPicPr>
            <xdr:cNvPr id="13" name="FuroImage3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FuroFALSE" spid="_x0000_s1208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 bwMode="auto">
            <a:xfrm>
              <a:off x="3802380" y="1798320"/>
              <a:ext cx="1581150" cy="4857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one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10</xdr:row>
      <xdr:rowOff>66675</xdr:rowOff>
    </xdr:from>
    <xdr:to>
      <xdr:col>0</xdr:col>
      <xdr:colOff>1504950</xdr:colOff>
      <xdr:row>11</xdr:row>
      <xdr:rowOff>0</xdr:rowOff>
    </xdr:to>
    <xdr:pic>
      <xdr:nvPicPr>
        <xdr:cNvPr id="3" name="グラフィックス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5725" y="1257300"/>
          <a:ext cx="1419225" cy="409575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11</xdr:row>
      <xdr:rowOff>66675</xdr:rowOff>
    </xdr:from>
    <xdr:to>
      <xdr:col>0</xdr:col>
      <xdr:colOff>1504950</xdr:colOff>
      <xdr:row>12</xdr:row>
      <xdr:rowOff>0</xdr:rowOff>
    </xdr:to>
    <xdr:pic>
      <xdr:nvPicPr>
        <xdr:cNvPr id="5" name="グラフィックス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725" y="1733550"/>
          <a:ext cx="1419225" cy="409575"/>
        </a:xfrm>
        <a:prstGeom prst="rect">
          <a:avLst/>
        </a:prstGeom>
      </xdr:spPr>
    </xdr:pic>
    <xdr:clientData/>
  </xdr:twoCellAnchor>
  <xdr:twoCellAnchor editAs="oneCell">
    <xdr:from>
      <xdr:col>1</xdr:col>
      <xdr:colOff>85725</xdr:colOff>
      <xdr:row>10</xdr:row>
      <xdr:rowOff>66675</xdr:rowOff>
    </xdr:from>
    <xdr:to>
      <xdr:col>1</xdr:col>
      <xdr:colOff>1162050</xdr:colOff>
      <xdr:row>11</xdr:row>
      <xdr:rowOff>0</xdr:rowOff>
    </xdr:to>
    <xdr:pic>
      <xdr:nvPicPr>
        <xdr:cNvPr id="7" name="グラフィックス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55445" y="2352675"/>
          <a:ext cx="1076325" cy="405765"/>
        </a:xfrm>
        <a:prstGeom prst="rect">
          <a:avLst/>
        </a:prstGeom>
      </xdr:spPr>
    </xdr:pic>
    <xdr:clientData/>
  </xdr:twoCellAnchor>
  <xdr:twoCellAnchor editAs="oneCell">
    <xdr:from>
      <xdr:col>1</xdr:col>
      <xdr:colOff>85725</xdr:colOff>
      <xdr:row>11</xdr:row>
      <xdr:rowOff>66675</xdr:rowOff>
    </xdr:from>
    <xdr:to>
      <xdr:col>1</xdr:col>
      <xdr:colOff>1162050</xdr:colOff>
      <xdr:row>12</xdr:row>
      <xdr:rowOff>0</xdr:rowOff>
    </xdr:to>
    <xdr:pic>
      <xdr:nvPicPr>
        <xdr:cNvPr id="9" name="グラフィックス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655445" y="2825115"/>
          <a:ext cx="1076325" cy="40576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tabSelected="1" zoomScale="84" zoomScaleNormal="84" workbookViewId="0"/>
  </sheetViews>
  <sheetFormatPr defaultColWidth="9" defaultRowHeight="18" x14ac:dyDescent="0.45"/>
  <cols>
    <col min="1" max="1" width="1" style="15" customWidth="1"/>
    <col min="2" max="2" width="19.5" style="15" bestFit="1" customWidth="1"/>
    <col min="3" max="3" width="51.69921875" style="15" customWidth="1"/>
    <col min="4" max="6" width="51.69921875" style="15" bestFit="1" customWidth="1"/>
    <col min="7" max="7" width="1" style="15" customWidth="1"/>
    <col min="8" max="16384" width="9" style="15"/>
  </cols>
  <sheetData>
    <row r="1" spans="1:6" ht="12" customHeight="1" x14ac:dyDescent="0.45">
      <c r="A1" s="24"/>
    </row>
    <row r="2" spans="1:6" ht="48" customHeight="1" x14ac:dyDescent="0.45">
      <c r="A2" s="14"/>
    </row>
    <row r="3" spans="1:6" ht="81" customHeight="1" x14ac:dyDescent="1.55">
      <c r="C3" s="16" t="e">
        <f>MJINFO(MJFILE(),1)&amp;MJINFO(MJFILE(),2)&amp;"局"</f>
        <v>#VALUE!</v>
      </c>
      <c r="D3" s="17" t="e">
        <f>""&amp;MJINFO(MJFILE(),3)&amp;"本場 供託"&amp;MJINFO(MJFILE(),4)</f>
        <v>#VALUE!</v>
      </c>
      <c r="E3" s="18" t="s">
        <v>4</v>
      </c>
      <c r="F3" s="19">
        <f>Setting!A3</f>
        <v>3.4722222222222224E-2</v>
      </c>
    </row>
    <row r="4" spans="1:6" ht="48" customHeight="1" thickBot="1" x14ac:dyDescent="0.5"/>
    <row r="5" spans="1:6" ht="64.8" x14ac:dyDescent="0.45">
      <c r="B5" s="3" t="s">
        <v>0</v>
      </c>
      <c r="C5" s="6">
        <f ca="1">_xlfn.RANK.EQ(C$7,$C$7:$F$7)</f>
        <v>2</v>
      </c>
      <c r="D5" s="6">
        <f ca="1">_xlfn.RANK.EQ(D$7,$C$7:$F$7)</f>
        <v>1</v>
      </c>
      <c r="E5" s="6">
        <f ca="1">_xlfn.RANK.EQ(E$7,$C$7:$F$7)</f>
        <v>4</v>
      </c>
      <c r="F5" s="7">
        <f ca="1">_xlfn.RANK.EQ(F$7,$C$7:$F$7)</f>
        <v>3</v>
      </c>
    </row>
    <row r="6" spans="1:6" ht="103.2" x14ac:dyDescent="0.45">
      <c r="B6" s="4" t="s">
        <v>1</v>
      </c>
      <c r="C6" s="10" t="str">
        <f ca="1">NAME(MJFILE(),0)</f>
        <v>松澤亮太</v>
      </c>
      <c r="D6" s="10" t="str">
        <f ca="1">NAME(MJFILE(),1)</f>
        <v>滝沢悠人</v>
      </c>
      <c r="E6" s="10" t="str">
        <f ca="1">NAME(MJFILE(),2)</f>
        <v>大池陸斗</v>
      </c>
      <c r="F6" s="11" t="str">
        <f ca="1">NAME(MJFILE(),3)</f>
        <v>百瀬成空</v>
      </c>
    </row>
    <row r="7" spans="1:6" ht="103.2" x14ac:dyDescent="0.45">
      <c r="B7" s="4" t="s">
        <v>2</v>
      </c>
      <c r="C7" s="12">
        <f ca="1">POINT(MJFILE(),0,4)</f>
        <v>31900</v>
      </c>
      <c r="D7" s="12">
        <f ca="1">POINT(MJFILE(),1,4)</f>
        <v>54900</v>
      </c>
      <c r="E7" s="12">
        <f ca="1">POINT(MJFILE(),2,4)</f>
        <v>-1700</v>
      </c>
      <c r="F7" s="13">
        <f ca="1">POINT(MJFILE(),3,4)</f>
        <v>14900</v>
      </c>
    </row>
    <row r="8" spans="1:6" ht="65.400000000000006" thickBot="1" x14ac:dyDescent="0.5">
      <c r="B8" s="5" t="s">
        <v>3</v>
      </c>
      <c r="C8" s="8">
        <f ca="1">score(MJFILE(),0)</f>
        <v>11.9</v>
      </c>
      <c r="D8" s="8">
        <f ca="1">score(MJFILE(),1)</f>
        <v>74.900000000000006</v>
      </c>
      <c r="E8" s="8">
        <f ca="1">score(MJFILE(),2)</f>
        <v>-61.7</v>
      </c>
      <c r="F8" s="9">
        <f ca="1">score(MJFILE(),3)</f>
        <v>-25.1</v>
      </c>
    </row>
    <row r="9" spans="1:6" ht="12" customHeight="1" x14ac:dyDescent="0.45"/>
    <row r="10" spans="1:6" ht="55.5" customHeight="1" x14ac:dyDescent="0.45">
      <c r="C10" s="20" t="str">
        <f ca="1">IF(POINT(MJFILE(),0,1)=0,"",POINT(MJFILE(),0,1)+POINT(MJFILE(),0,3))</f>
        <v/>
      </c>
      <c r="D10" s="20">
        <f ca="1">IF(POINT(MJFILE(),1,1)=0,"",POINT(MJFILE(),1,1)+POINT(MJFILE(),1,3))</f>
        <v>-8600</v>
      </c>
      <c r="E10" s="20" t="str">
        <f ca="1">IF(POINT(MJFILE(),2,1)=0,"",POINT(MJFILE(),2,1)+POINT(MJFILE(),2,3))</f>
        <v/>
      </c>
      <c r="F10" s="20">
        <f ca="1">IF(POINT(MJFILE(),3,1)=0,"",POINT(MJFILE(),3,1)+POINT(MJFILE(),3,3))</f>
        <v>8600</v>
      </c>
    </row>
    <row r="11" spans="1:6" ht="48" customHeight="1" x14ac:dyDescent="0.45">
      <c r="B11" s="21"/>
      <c r="C11" s="22">
        <f ca="1">IF(POINT(MJFILE(),0,2)=0,"",POINT(MJFILE(),0,2))</f>
        <v>-1000</v>
      </c>
      <c r="D11" s="22" t="str">
        <f ca="1">IF(POINT(MJFILE(),1,2)=0,"",POINT(MJFILE(),1,2))</f>
        <v/>
      </c>
      <c r="E11" s="22" t="str">
        <f ca="1">IF(POINT(MJFILE(),2,2)=0,"",POINT(MJFILE(),2,2))</f>
        <v/>
      </c>
      <c r="F11" s="22">
        <f ca="1">IF(POINT(MJFILE(),3,2)=0,"",POINT(MJFILE(),3,2))</f>
        <v>3000</v>
      </c>
    </row>
  </sheetData>
  <sheetProtection selectLockedCells="1" selectUnlockedCells="1"/>
  <phoneticPr fontId="1"/>
  <conditionalFormatting sqref="C5:C8 E5:F8">
    <cfRule type="expression" dxfId="2" priority="4">
      <formula>MJINFO(MJFILE(),5)=C$6</formula>
    </cfRule>
  </conditionalFormatting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2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  <dataValidation type="list" allowBlank="1" showInputMessage="1" sqref="F1:Y1" xr:uid="{D1ED06A5-8330-4F36-879A-06C7296A0B63}">
      <formula1>"福澤大地,大池陸斗,小林嶺,佃佳佑,蒲生麗,山﨑柊,上條友暉,北沢蓮太郎,髙橋桜,滝沢悠人,松澤亮太,矢ヶ崎健,依田幸憲,高野源太,多田洋輔,角田創,木角有希,近藤隼,鷲野翼,石澤巧望,岩崎凌汰,松澤大地,水澤良平,小林郁斗,佐藤成浩,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Timer">
              <controlPr defaultSize="0" print="0" autoFill="0" autoPict="0" macro="[0]!TimerSwitch">
                <anchor>
                  <from>
                    <xdr:col>4</xdr:col>
                    <xdr:colOff>1950720</xdr:colOff>
                    <xdr:row>1</xdr:row>
                    <xdr:rowOff>22860</xdr:rowOff>
                  </from>
                  <to>
                    <xdr:col>4</xdr:col>
                    <xdr:colOff>3695700</xdr:colOff>
                    <xdr:row>1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Reset">
              <controlPr defaultSize="0" print="0" autoFill="0" autoPict="0" macro="[0]!TimerReset">
                <anchor>
                  <from>
                    <xdr:col>5</xdr:col>
                    <xdr:colOff>251460</xdr:colOff>
                    <xdr:row>1</xdr:row>
                    <xdr:rowOff>22860</xdr:rowOff>
                  </from>
                  <to>
                    <xdr:col>5</xdr:col>
                    <xdr:colOff>1988820</xdr:colOff>
                    <xdr:row>1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InputRecord">
              <controlPr defaultSize="0" print="0" autoFill="0" autoPict="0" macro="[0]!InputRecord">
                <anchor>
                  <from>
                    <xdr:col>2</xdr:col>
                    <xdr:colOff>1943100</xdr:colOff>
                    <xdr:row>1</xdr:row>
                    <xdr:rowOff>22860</xdr:rowOff>
                  </from>
                  <to>
                    <xdr:col>2</xdr:col>
                    <xdr:colOff>3688080</xdr:colOff>
                    <xdr:row>1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FullScreen">
              <controlPr defaultSize="0" print="0" autoFill="0" autoPict="0" macro="[0]!FullScreen">
                <anchor>
                  <from>
                    <xdr:col>3</xdr:col>
                    <xdr:colOff>251460</xdr:colOff>
                    <xdr:row>1</xdr:row>
                    <xdr:rowOff>22860</xdr:rowOff>
                  </from>
                  <to>
                    <xdr:col>3</xdr:col>
                    <xdr:colOff>1981200</xdr:colOff>
                    <xdr:row>1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B12"/>
  <sheetViews>
    <sheetView workbookViewId="0"/>
  </sheetViews>
  <sheetFormatPr defaultRowHeight="18" x14ac:dyDescent="0.45"/>
  <cols>
    <col min="1" max="2" width="20.59765625" customWidth="1"/>
  </cols>
  <sheetData>
    <row r="1" spans="1:2" x14ac:dyDescent="0.45">
      <c r="A1" s="1">
        <v>43800.635439814818</v>
      </c>
    </row>
    <row r="2" spans="1:2" x14ac:dyDescent="0.45">
      <c r="A2" s="2">
        <v>3.4722222222222224E-2</v>
      </c>
    </row>
    <row r="3" spans="1:2" x14ac:dyDescent="0.45">
      <c r="A3" s="2">
        <v>3.4722222222222224E-2</v>
      </c>
    </row>
    <row r="4" spans="1:2" x14ac:dyDescent="0.45">
      <c r="A4" t="b">
        <v>0</v>
      </c>
    </row>
    <row r="6" spans="1:2" x14ac:dyDescent="0.45">
      <c r="A6" t="b">
        <v>0</v>
      </c>
      <c r="B6" t="b">
        <v>1</v>
      </c>
    </row>
    <row r="7" spans="1:2" x14ac:dyDescent="0.45">
      <c r="A7" t="b">
        <v>0</v>
      </c>
      <c r="B7" t="b">
        <v>1</v>
      </c>
    </row>
    <row r="8" spans="1:2" x14ac:dyDescent="0.45">
      <c r="A8" t="b">
        <v>1</v>
      </c>
      <c r="B8" t="b">
        <v>0</v>
      </c>
    </row>
    <row r="9" spans="1:2" x14ac:dyDescent="0.45">
      <c r="A9" t="b">
        <v>0</v>
      </c>
      <c r="B9" t="b">
        <v>0</v>
      </c>
    </row>
    <row r="11" spans="1:2" ht="37.5" customHeight="1" x14ac:dyDescent="0.45">
      <c r="A11" s="23"/>
      <c r="B11" s="23"/>
    </row>
    <row r="12" spans="1:2" ht="37.5" customHeight="1" x14ac:dyDescent="0.45">
      <c r="A12" s="23"/>
      <c r="B12" s="23"/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16</vt:i4>
      </vt:variant>
    </vt:vector>
  </HeadingPairs>
  <TitlesOfParts>
    <vt:vector size="18" baseType="lpstr">
      <vt:lpstr>Main</vt:lpstr>
      <vt:lpstr>Setting</vt:lpstr>
      <vt:lpstr>Furo0</vt:lpstr>
      <vt:lpstr>Furo1</vt:lpstr>
      <vt:lpstr>Furo2</vt:lpstr>
      <vt:lpstr>Furo3</vt:lpstr>
      <vt:lpstr>FuroFALSE</vt:lpstr>
      <vt:lpstr>FuroTRUE</vt:lpstr>
      <vt:lpstr>LeftTime</vt:lpstr>
      <vt:lpstr>Richi0</vt:lpstr>
      <vt:lpstr>Richi1</vt:lpstr>
      <vt:lpstr>Richi2</vt:lpstr>
      <vt:lpstr>Richi3</vt:lpstr>
      <vt:lpstr>RichiFALSE</vt:lpstr>
      <vt:lpstr>RichiTRUE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2019-12-01T05:59:05Z</cp:lastPrinted>
  <dcterms:created xsi:type="dcterms:W3CDTF">2019-06-06T00:02:58Z</dcterms:created>
  <dcterms:modified xsi:type="dcterms:W3CDTF">2019-12-01T06:39:59Z</dcterms:modified>
</cp:coreProperties>
</file>