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ADA6E607-3864-4A78-93B6-9BEEE3A75EDB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C3" i="1" l="1"/>
  <c r="C11" i="1"/>
  <c r="C10" i="1"/>
  <c r="C7" i="1"/>
  <c r="D3" i="1"/>
  <c r="D10" i="1" l="1"/>
  <c r="D7" i="1"/>
  <c r="D11" i="1"/>
  <c r="F11" i="1" l="1"/>
  <c r="F7" i="1"/>
  <c r="F10" i="1"/>
  <c r="E10" i="1" l="1"/>
  <c r="E7" i="1"/>
  <c r="E11" i="1"/>
  <c r="F5" i="1" l="1"/>
  <c r="C5" i="1"/>
  <c r="E5" i="1"/>
  <c r="D5" i="1"/>
  <c r="E8" i="1"/>
  <c r="C8" i="1"/>
  <c r="F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<sst xmlns="http://schemas.openxmlformats.org/spreadsheetml/2006/main" count="5" uniqueCount="5">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</sst>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>
      <selection activeCell="D10" sqref="D10"/>
    </sheetView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1本場 供託0</v>
      </c>
      <c r="E3" s="10" t="s">
        <v>0</v>
      </c>
      <c r="F3" s="11">
        <f>Setting!A3</f>
        <v>2.884259259259259E-2</v>
      </c>
    </row>
    <row r="4" spans="1:6" ht="69.75" customHeight="1" thickBot="1" x14ac:dyDescent="0.5"/>
    <row r="5" spans="1:6" ht="64.8" x14ac:dyDescent="0.45">
      <c r="B5" s="3" t="s">
        <v>1</v>
      </c>
      <c r="C5" s="22">
        <f ca="1">IFERROR(_xlfn.RANK.EQ(C$7,$C$7:$F$7),"―")</f>
        <v>1</v>
      </c>
      <c r="D5" s="14">
        <f ca="1">IFERROR(_xlfn.RANK.EQ(D$7,$C$7:$F$7),"―")</f>
        <v>2</v>
      </c>
      <c r="E5" s="14">
        <f ca="1">IFERROR(_xlfn.RANK.EQ(E$7,$C$7:$F$7),"―")</f>
        <v>4</v>
      </c>
      <c r="F5" s="15">
        <f ca="1">IFERROR(_xlfn.RANK.EQ(F$7,$C$7:$F$7),"―")</f>
        <v>2</v>
      </c>
    </row>
    <row r="6" spans="1:6" ht="103.2" x14ac:dyDescent="0.45">
      <c r="B6" s="4" t="s">
        <v>2</v>
      </c>
      <c r="C6" s="23" t="str">
        <f ca="1">IF(ISERROR(MJFILE()),"―",NAME(MJFILE(),0))</f>
        <v>長野柊馬</v>
      </c>
      <c r="D6" s="16" t="str">
        <f ca="1">IF(ISERROR(MJFILE()),"―",NAME(MJFILE(),1))</f>
        <v>中村花菜</v>
      </c>
      <c r="E6" s="16" t="str">
        <f ca="1">IF(ISERROR(MJFILE()),"―",NAME(MJFILE(),2))</f>
        <v>中村季暉</v>
      </c>
      <c r="F6" s="17" t="str">
        <f ca="1">IF(ISERROR(MJFILE()),"―",NAME(MJFILE(),3))</f>
        <v>佐藤成浩</v>
      </c>
    </row>
    <row r="7" spans="1:6" ht="103.2" x14ac:dyDescent="0.45">
      <c r="B7" s="4" t="s">
        <v>3</v>
      </c>
      <c r="C7" s="24">
        <f ca="1">IF(ISERROR(MJFILE()),"―",POINT(MJFILE(),0,4))</f>
        <v>26500</v>
      </c>
      <c r="D7" s="18">
        <f ca="1">IF(ISERROR(MJFILE()),"―",POINT(MJFILE(),1,4))</f>
        <v>25000</v>
      </c>
      <c r="E7" s="18">
        <f ca="1">IF(ISERROR(MJFILE()),"―",POINT(MJFILE(),2,4))</f>
        <v>23500</v>
      </c>
      <c r="F7" s="19">
        <f ca="1">IF(ISERROR(MJFILE()),"―",POINT(MJFILE(),3,4))</f>
        <v>25000</v>
      </c>
    </row>
    <row r="8" spans="1:6" ht="65.400000000000006" thickBot="1" x14ac:dyDescent="0.5">
      <c r="B8" s="5" t="s">
        <v>4</v>
      </c>
      <c r="C8" s="25">
        <f ca="1">IF(ISERROR(MJFILE()),"―",score(MJFILE(),0))</f>
        <v>46.5</v>
      </c>
      <c r="D8" s="20">
        <f ca="1">IF(ISERROR(MJFILE()),"―",score(MJFILE(),1))</f>
        <v>-5</v>
      </c>
      <c r="E8" s="20">
        <f ca="1">IF(ISERROR(MJFILE()),"―",score(MJFILE(),2))</f>
        <v>-36.5</v>
      </c>
      <c r="F8" s="21">
        <f ca="1">IF(ISERROR(MJFILE()),"―",score(MJFILE(),3))</f>
        <v>-5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1500</v>
      </c>
      <c r="D10" s="12" t="str">
        <f ca="1">IF(ISERROR(MJFILE()),"―",IF(POINT(MJFILE(),1,1)=0,"",POINT(MJFILE(),1,1)+POINT(MJFILE(),1,3)))</f>
        <v/>
      </c>
      <c r="E10" s="12">
        <f ca="1">IF(ISERROR(MJFILE()),"―",IF(POINT(MJFILE(),2,1)=0,"",POINT(MJFILE(),2,1)+POINT(MJFILE(),2,3)))</f>
        <v>-1500</v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45281.742523148147</v>
      </c>
    </row>
    <row r="2" spans="1:1" x14ac:dyDescent="0.45">
      <c r="A2" s="2">
        <v>2.884259259259259E-2</v>
      </c>
    </row>
    <row r="3" spans="1:1" x14ac:dyDescent="0.45">
      <c r="A3" s="2">
        <v>2.884259259259259E-2</v>
      </c>
    </row>
    <row r="4" spans="1:1" x14ac:dyDescent="0.45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2023-12-21T08:49:14Z</dcterms:modified>
</cp:coreProperties>
</file>