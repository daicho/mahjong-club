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6C0DF530-2F72-4647-B850-48E9195EE5B0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F6" i="1"/>
  <c r="E6" i="1"/>
  <c r="C6" i="1"/>
  <c r="D3" i="1" l="1"/>
  <c r="C7" i="1" l="1"/>
  <c r="C11" i="1"/>
  <c r="C10" i="1"/>
  <c r="C3" i="1"/>
  <c r="D11" i="1"/>
  <c r="D10" i="1"/>
  <c r="D7" i="1"/>
  <c r="F7" i="1" l="1"/>
  <c r="F10" i="1"/>
  <c r="F11" i="1"/>
  <c r="E11" i="1" l="1"/>
  <c r="E10" i="1"/>
  <c r="E7" i="1"/>
  <c r="F5" i="1" l="1"/>
  <c r="E5" i="1"/>
  <c r="D5" i="1"/>
  <c r="C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<sst xmlns="http://schemas.openxmlformats.org/spreadsheetml/2006/main" count="5" uniqueCount="5">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</sst>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B3" sqref="B3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2</v>
      </c>
      <c r="E5" s="22">
        <f ca="1">IFERROR(_xlfn.RANK.EQ(E$7,$C$7:$F$7),"―")</f>
        <v>4</v>
      </c>
      <c r="F5" s="15">
        <f ca="1">IFERROR(_xlfn.RANK.EQ(F$7,$C$7:$F$7),"―")</f>
        <v>3</v>
      </c>
    </row>
    <row r="6" spans="1:6" ht="103.2" x14ac:dyDescent="0.45">
      <c r="B6" s="4" t="s">
        <v>2</v>
      </c>
      <c r="C6" s="16" t="str">
        <f ca="1">IF(ISERROR(MJFILE()),"―",NAME(MJFILE(),0))</f>
        <v>中村季暉</v>
      </c>
      <c r="D6" s="16" t="str">
        <f ca="1">IF(ISERROR(MJFILE()),"―",NAME(MJFILE(),1))</f>
        <v>渡部陵瑛</v>
      </c>
      <c r="E6" s="23" t="str">
        <f ca="1">IF(ISERROR(MJFILE()),"―",NAME(MJFILE(),2))</f>
        <v>佐藤成浩</v>
      </c>
      <c r="F6" s="17" t="str">
        <f ca="1">IF(ISERROR(MJFILE()),"―",NAME(MJFILE(),3))</f>
        <v>吉澤諒</v>
      </c>
    </row>
    <row r="7" spans="1:6" ht="103.2" x14ac:dyDescent="0.45">
      <c r="B7" s="4" t="s">
        <v>3</v>
      </c>
      <c r="C7" s="18">
        <f ca="1">IF(ISERROR(MJFILE()),"―",POINT(MJFILE(),0,4))</f>
        <v>39000</v>
      </c>
      <c r="D7" s="18">
        <f ca="1">IF(ISERROR(MJFILE()),"―",POINT(MJFILE(),1,4))</f>
        <v>31800</v>
      </c>
      <c r="E7" s="24">
        <f ca="1">IF(ISERROR(MJFILE()),"―",POINT(MJFILE(),2,4))</f>
        <v>12200</v>
      </c>
      <c r="F7" s="19">
        <f ca="1">IF(ISERROR(MJFILE()),"―",POINT(MJFILE(),3,4))</f>
        <v>16000</v>
      </c>
    </row>
    <row r="8" spans="1:6" ht="65.400000000000006" thickBot="1" x14ac:dyDescent="0.5">
      <c r="B8" s="5" t="s">
        <v>4</v>
      </c>
      <c r="C8" s="20">
        <f ca="1">IF(ISERROR(MJFILE()),"―",score(MJFILE(),0))</f>
        <v>59</v>
      </c>
      <c r="D8" s="20">
        <f ca="1">IF(ISERROR(MJFILE()),"―",score(MJFILE(),1))</f>
        <v>11.8</v>
      </c>
      <c r="E8" s="25">
        <f ca="1">IF(ISERROR(MJFILE()),"―",score(MJFILE(),2))</f>
        <v>-47.8</v>
      </c>
      <c r="F8" s="21">
        <f ca="1">IF(ISERROR(MJFILE()),"―",score(MJFILE(),3))</f>
        <v>-24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-1500</v>
      </c>
      <c r="D10" s="12">
        <f ca="1">IF(ISERROR(MJFILE()),"―",IF(POINT(MJFILE(),1,1)=0,"",POINT(MJFILE(),1,1)+POINT(MJFILE(),1,3)))</f>
        <v>1500</v>
      </c>
      <c r="E10" s="12">
        <f ca="1">IF(ISERROR(MJFILE()),"―",IF(POINT(MJFILE(),2,1)=0,"",POINT(MJFILE(),2,1)+POINT(MJFILE(),2,3)))</f>
        <v>1500</v>
      </c>
      <c r="F10" s="12">
        <f ca="1">IF(ISERROR(MJFILE()),"―",IF(POINT(MJFILE(),3,1)=0,"",POINT(MJFILE(),3,1)+POINT(MJFILE(),3,3)))</f>
        <v>-1500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45239.769953703704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2023-11-09T09:40:09Z</dcterms:modified>
</cp:coreProperties>
</file>