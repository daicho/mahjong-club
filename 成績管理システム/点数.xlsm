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9\Documents\mahjong-club\成績管理システム\"/>
    </mc:Choice>
  </mc:AlternateContent>
  <xr:revisionPtr revIDLastSave="0" documentId="13_ncr:1_{0D7E6C16-3203-4EFE-AFF3-1BFC121FD4D4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45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6" i="1"/>
  <c r="E6" i="1"/>
  <c r="C6" i="1"/>
  <c r="D6" i="1"/>
  <c r="F7" i="1" l="1"/>
  <c r="F10" i="1"/>
  <c r="F11" i="1"/>
  <c r="C10" i="1" l="1"/>
  <c r="C11" i="1"/>
  <c r="C7" i="1"/>
  <c r="D11" i="1" l="1"/>
  <c r="D10" i="1"/>
  <c r="D7" i="1"/>
  <c r="C3" i="1"/>
  <c r="E7" i="1"/>
  <c r="E10" i="1"/>
  <c r="E11" i="1"/>
  <c r="D3" i="1"/>
  <c r="E5" i="1" l="1"/>
  <c r="F5" i="1"/>
  <c r="D5" i="1"/>
  <c r="C5" i="1"/>
  <c r="E8" i="1"/>
  <c r="F8" i="1"/>
  <c r="D8" i="1"/>
  <c r="C8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<sst xmlns="http://schemas.openxmlformats.org/spreadsheetml/2006/main" count="5" uniqueCount="5">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</sst>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0" borderId="2" xfId="0" applyNumberFormat="1" applyFont="1" applyFill="1" applyBorder="1" applyAlignment="1">
      <alignment horizontal="center" vertical="center" shrinkToFit="1"/>
    </xf>
    <xf numFmtId="176" fontId="4" fillId="0" borderId="3" xfId="0" applyNumberFormat="1" applyFont="1" applyFill="1" applyBorder="1" applyAlignment="1">
      <alignment horizontal="center" vertical="center" shrinkToFit="1"/>
    </xf>
    <xf numFmtId="0" fontId="3" fillId="0" borderId="1" xfId="0" applyFont="1" applyFill="1" applyBorder="1" applyAlignment="1">
      <alignment horizontal="center" vertical="center" shrinkToFit="1"/>
    </xf>
    <xf numFmtId="0" fontId="3" fillId="0" borderId="4" xfId="0" applyFont="1" applyFill="1" applyBorder="1" applyAlignment="1">
      <alignment horizontal="center" vertical="center" shrinkToFit="1"/>
    </xf>
    <xf numFmtId="1" fontId="3" fillId="0" borderId="1" xfId="0" applyNumberFormat="1" applyFont="1" applyFill="1" applyBorder="1" applyAlignment="1">
      <alignment horizontal="center" vertical="center" shrinkToFit="1"/>
    </xf>
    <xf numFmtId="1" fontId="3" fillId="0" borderId="4" xfId="0" applyNumberFormat="1" applyFont="1" applyFill="1" applyBorder="1" applyAlignment="1">
      <alignment horizontal="center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84" zoomScaleNormal="8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南1局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22">
        <f ca="1">IFERROR(_xlfn.RANK.EQ(C$7,$C$7:$F$7),"―")</f>
        <v>4</v>
      </c>
      <c r="D5" s="14">
        <f ca="1">IFERROR(_xlfn.RANK.EQ(D$7,$C$7:$F$7),"―")</f>
        <v>3</v>
      </c>
      <c r="E5" s="14">
        <f ca="1">IFERROR(_xlfn.RANK.EQ(E$7,$C$7:$F$7),"―")</f>
        <v>2</v>
      </c>
      <c r="F5" s="15">
        <f ca="1">IFERROR(_xlfn.RANK.EQ(F$7,$C$7:$F$7),"―")</f>
        <v>1</v>
      </c>
    </row>
    <row r="6" spans="1:6" ht="103.2" x14ac:dyDescent="0.45">
      <c r="B6" s="4" t="s">
        <v>2</v>
      </c>
      <c r="C6" s="23" t="str">
        <f ca="1">IF(ISERROR(MJFILE()),"―",NAME(MJFILE(),0))</f>
        <v>所附快和</v>
      </c>
      <c r="D6" s="16" t="str">
        <f ca="1">IF(ISERROR(MJFILE()),"―",NAME(MJFILE(),1))</f>
        <v>長野柊馬</v>
      </c>
      <c r="E6" s="16" t="str">
        <f ca="1">IF(ISERROR(MJFILE()),"―",NAME(MJFILE(),2))</f>
        <v>高橋英将</v>
      </c>
      <c r="F6" s="17" t="str">
        <f ca="1">IF(ISERROR(MJFILE()),"―",NAME(MJFILE(),3))</f>
        <v>清水常緑</v>
      </c>
    </row>
    <row r="7" spans="1:6" ht="103.2" x14ac:dyDescent="0.45">
      <c r="B7" s="4" t="s">
        <v>3</v>
      </c>
      <c r="C7" s="24">
        <f ca="1">IF(ISERROR(MJFILE()),"―",POINT(MJFILE(),0,4))</f>
        <v>8900</v>
      </c>
      <c r="D7" s="18">
        <f ca="1">IF(ISERROR(MJFILE()),"―",POINT(MJFILE(),1,4))</f>
        <v>25000</v>
      </c>
      <c r="E7" s="18">
        <f ca="1">IF(ISERROR(MJFILE()),"―",POINT(MJFILE(),2,4))</f>
        <v>32200</v>
      </c>
      <c r="F7" s="19">
        <f ca="1">IF(ISERROR(MJFILE()),"―",POINT(MJFILE(),3,4))</f>
        <v>33900</v>
      </c>
    </row>
    <row r="8" spans="1:6" ht="65.400000000000006" thickBot="1" x14ac:dyDescent="0.5">
      <c r="B8" s="5" t="s">
        <v>4</v>
      </c>
      <c r="C8" s="25">
        <f ca="1">IF(ISERROR(MJFILE()),"―",score(MJFILE(),0))</f>
        <v>-51.1</v>
      </c>
      <c r="D8" s="20">
        <f ca="1">IF(ISERROR(MJFILE()),"―",score(MJFILE(),1))</f>
        <v>-15</v>
      </c>
      <c r="E8" s="20">
        <f ca="1">IF(ISERROR(MJFILE()),"―",score(MJFILE(),2))</f>
        <v>12.2</v>
      </c>
      <c r="F8" s="21">
        <f ca="1">IF(ISERROR(MJFILE()),"―",score(MJFILE(),3))</f>
        <v>53.9</v>
      </c>
    </row>
    <row r="9" spans="1:6" ht="12" customHeight="1" x14ac:dyDescent="0.45"/>
    <row r="10" spans="1:6" ht="58.5" customHeight="1" x14ac:dyDescent="0.45">
      <c r="C10" s="12">
        <f ca="1">IF(ISERROR(MJFILE()),"―",IF(POINT(MJFILE(),0,1)=0,"",POINT(MJFILE(),0,1)+POINT(MJFILE(),0,3)))</f>
        <v>-1200</v>
      </c>
      <c r="D10" s="12">
        <f ca="1">IF(ISERROR(MJFILE()),"―",IF(POINT(MJFILE(),1,1)=0,"",POINT(MJFILE(),1,1)+POINT(MJFILE(),1,3)))</f>
        <v>4600</v>
      </c>
      <c r="E10" s="12">
        <f ca="1">IF(ISERROR(MJFILE()),"―",IF(POINT(MJFILE(),2,1)=0,"",POINT(MJFILE(),2,1)+POINT(MJFILE(),2,3)))</f>
        <v>-1200</v>
      </c>
      <c r="F10" s="12">
        <f ca="1">IF(ISERROR(MJFILE()),"―",IF(POINT(MJFILE(),3,1)=0,"",POINT(MJFILE(),3,1)+POINT(MJFILE(),3,3)))</f>
        <v>-2200</v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45405.735497685186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cp:lastPrinted>2019-12-01T05:59:05Z</cp:lastPrinted>
  <dcterms:created xsi:type="dcterms:W3CDTF">2019-06-06T00:02:58Z</dcterms:created>
  <dcterms:modified xsi:type="dcterms:W3CDTF">2024-04-23T09:21:22Z</dcterms:modified>
</cp:coreProperties>
</file>