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CE2ED19D-B481-49C5-A620-6B992B22C1FC}" xr6:coauthVersionLast="47" xr6:coauthVersionMax="47" xr10:uidLastSave="{00000000-0000-0000-0000-000000000000}"/>
  <bookViews>
    <workbookView showHorizontalScroll="0" showVerticalScroll="0" showSheetTabs="0" xWindow="-108" yWindow="-108" windowWidth="23256" windowHeight="1461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F6" i="1"/>
  <c r="D6" i="1"/>
  <c r="E6" i="1"/>
  <c r="C3" i="1" l="1"/>
  <c r="D3" i="1"/>
  <c r="C7" i="1"/>
  <c r="C10" i="1"/>
  <c r="C11" i="1"/>
  <c r="D10" i="1" l="1"/>
  <c r="D11" i="1"/>
  <c r="D7" i="1"/>
  <c r="F11" i="1" l="1"/>
  <c r="F7" i="1"/>
  <c r="F10" i="1"/>
  <c r="E10" i="1" l="1"/>
  <c r="E11" i="1"/>
  <c r="E7" i="1"/>
  <c r="D5" i="1" l="1"/>
  <c r="C5" i="1"/>
  <c r="E5" i="1"/>
  <c r="F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<sst xmlns="http://schemas.openxmlformats.org/spreadsheetml/2006/main" count="5" uniqueCount="5">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</sst>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.emf"/><Relationship Id="rId18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20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5.138888888888889E-3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1</v>
      </c>
      <c r="D5" s="18">
        <f ca="1">IFERROR(_xlfn.RANK.EQ(D$7,$C$7:$F$7),"―")</f>
        <v>3</v>
      </c>
      <c r="E5" s="18">
        <f ca="1">IFERROR(_xlfn.RANK.EQ(E$7,$C$7:$F$7),"―")</f>
        <v>2</v>
      </c>
      <c r="F5" s="14">
        <f ca="1">IFERROR(_xlfn.RANK.EQ(F$7,$C$7:$F$7),"―")</f>
        <v>4</v>
      </c>
    </row>
    <row r="6" spans="1:6" ht="103.2" x14ac:dyDescent="0.45">
      <c r="B6" s="4" t="s">
        <v>2</v>
      </c>
      <c r="C6" s="19" t="str">
        <f ca="1">IF(ISERROR(MJFILE()),"―",NAME(MJFILE(),0))</f>
        <v>市川琢磨</v>
      </c>
      <c r="D6" s="19" t="str">
        <f ca="1">IF(ISERROR(MJFILE()),"―",NAME(MJFILE(),1))</f>
        <v>前田卓美</v>
      </c>
      <c r="E6" s="19" t="str">
        <f ca="1">IF(ISERROR(MJFILE()),"―",NAME(MJFILE(),2))</f>
        <v>笠原誠</v>
      </c>
      <c r="F6" s="15" t="str">
        <f ca="1">IF(ISERROR(MJFILE()),"―",NAME(MJFILE(),3))</f>
        <v>小林莉子</v>
      </c>
    </row>
    <row r="7" spans="1:6" ht="103.2" x14ac:dyDescent="0.45">
      <c r="B7" s="4" t="s">
        <v>3</v>
      </c>
      <c r="C7" s="20">
        <f ca="1">IF(ISERROR(MJFILE()),"―",POINT(MJFILE(),0,4))</f>
        <v>42700</v>
      </c>
      <c r="D7" s="20">
        <f ca="1">IF(ISERROR(MJFILE()),"―",POINT(MJFILE(),1,4))</f>
        <v>20000</v>
      </c>
      <c r="E7" s="20">
        <f ca="1">IF(ISERROR(MJFILE()),"―",POINT(MJFILE(),2,4))</f>
        <v>26800</v>
      </c>
      <c r="F7" s="16">
        <f ca="1">IF(ISERROR(MJFILE()),"―",POINT(MJFILE(),3,4))</f>
        <v>10500</v>
      </c>
    </row>
    <row r="8" spans="1:6" ht="65.400000000000006" thickBot="1" x14ac:dyDescent="0.5">
      <c r="B8" s="5" t="s">
        <v>4</v>
      </c>
      <c r="C8" s="21">
        <f ca="1">IF(ISERROR(MJFILE()),"―",score(MJFILE(),0))</f>
        <v>62.7</v>
      </c>
      <c r="D8" s="21">
        <f ca="1">IF(ISERROR(MJFILE()),"―",score(MJFILE(),1))</f>
        <v>-20</v>
      </c>
      <c r="E8" s="21">
        <f ca="1">IF(ISERROR(MJFILE()),"―",score(MJFILE(),2))</f>
        <v>6.8</v>
      </c>
      <c r="F8" s="17">
        <f ca="1">IF(ISERROR(MJFILE()),"―",score(MJFILE(),3))</f>
        <v>-49.5</v>
      </c>
    </row>
    <row r="9" spans="1:6" ht="12" customHeight="1" x14ac:dyDescent="0.45"/>
    <row r="10" spans="1:6" ht="58.5" customHeight="1" x14ac:dyDescent="0.45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3900</v>
      </c>
      <c r="F10" s="12">
        <f ca="1">IF(ISERROR(MJFILE()),"―",IF(POINT(MJFILE(),3,1)=0,"",POINT(MJFILE(),3,1)+POINT(MJFILE(),3,3)))</f>
        <v>-3900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7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1" name="Richi3">
          <controlPr defaultSize="0" autoLine="0" r:id="rId9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1" name="Richi3"/>
      </mc:Fallback>
    </mc:AlternateContent>
    <mc:AlternateContent xmlns:mc="http://schemas.openxmlformats.org/markup-compatibility/2006">
      <mc:Choice Requires="x14">
        <control shapeId="1243" r:id="rId12" name="Furo3">
          <controlPr defaultSize="0" autoLine="0" r:id="rId13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2" name="Furo3"/>
      </mc:Fallback>
    </mc:AlternateContent>
    <mc:AlternateContent xmlns:mc="http://schemas.openxmlformats.org/markup-compatibility/2006">
      <mc:Choice Requires="x14">
        <control shapeId="1244" r:id="rId14" name="Richi4">
          <controlPr defaultSize="0" autoLine="0" r:id="rId15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4" name="Richi4"/>
      </mc:Fallback>
    </mc:AlternateContent>
    <mc:AlternateContent xmlns:mc="http://schemas.openxmlformats.org/markup-compatibility/2006">
      <mc:Choice Requires="x14">
        <control shapeId="1245" r:id="rId16" name="Furo4">
          <controlPr defaultSize="0" autoLine="0" r:id="rId7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6" name="Furo4"/>
      </mc:Fallback>
    </mc:AlternateContent>
    <mc:AlternateContent xmlns:mc="http://schemas.openxmlformats.org/markup-compatibility/2006">
      <mc:Choice Requires="x14">
        <control shapeId="1026" r:id="rId17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8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9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0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46191.766458333332</v>
      </c>
    </row>
    <row r="2" spans="1:1" x14ac:dyDescent="0.45">
      <c r="A2" s="2">
        <v>5.138888888888889E-3</v>
      </c>
    </row>
    <row r="3" spans="1:1" x14ac:dyDescent="0.45">
      <c r="A3" s="2">
        <v>5.138888888888889E-3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2019-12-01T05:59:05Z</cp:lastPrinted>
  <dcterms:created xsi:type="dcterms:W3CDTF">2019-06-06T00:02:58Z</dcterms:created>
  <dcterms:modified xsi:type="dcterms:W3CDTF">2026-06-18T09:24:07Z</dcterms:modified>
</cp:coreProperties>
</file>