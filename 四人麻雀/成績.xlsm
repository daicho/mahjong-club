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chartsheets/sheet17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9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0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1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2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3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4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5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7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8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9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1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2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3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4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四人麻雀\"/>
    </mc:Choice>
  </mc:AlternateContent>
  <xr:revisionPtr revIDLastSave="0" documentId="13_ncr:1_{D58FC7FF-8C3A-4169-81FD-C5B286671261}" xr6:coauthVersionLast="41" xr6:coauthVersionMax="41" xr10:uidLastSave="{00000000-0000-0000-0000-000000000000}"/>
  <bookViews>
    <workbookView xWindow="-120" yWindow="-120" windowWidth="20730" windowHeight="1131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2" sheetId="5991" state="hidden" r:id="rId6"/>
    <sheet name="全体" sheetId="5990" r:id="rId7"/>
    <sheet name="Player12" sheetId="5993" state="hidden" r:id="rId8"/>
    <sheet name="Player1" sheetId="5992" r:id="rId9"/>
    <sheet name="Player22" sheetId="5995" state="hidden" r:id="rId10"/>
    <sheet name="Player2" sheetId="5994" r:id="rId11"/>
    <sheet name="Player32" sheetId="5997" state="hidden" r:id="rId12"/>
    <sheet name="Player3" sheetId="5996" r:id="rId13"/>
    <sheet name="Player42" sheetId="5999" state="hidden" r:id="rId14"/>
    <sheet name="Player4" sheetId="5998" r:id="rId15"/>
    <sheet name="通算スコア" sheetId="5912" state="hidden" r:id="rId16"/>
    <sheet name="平均スコア" sheetId="5913" state="hidden" r:id="rId17"/>
    <sheet name="平均順位" sheetId="5914" state="hidden" r:id="rId18"/>
    <sheet name="トップ率" sheetId="5915" state="hidden" r:id="rId19"/>
    <sheet name="ラス率" sheetId="5916" state="hidden" r:id="rId20"/>
    <sheet name="連対率" sheetId="5938" state="hidden" r:id="rId21"/>
    <sheet name="アガリ率" sheetId="5917" state="hidden" r:id="rId22"/>
    <sheet name="放銃率" sheetId="5918" state="hidden" r:id="rId23"/>
    <sheet name="平均アガリ点" sheetId="5919" state="hidden" r:id="rId24"/>
    <sheet name="平均放銃点" sheetId="5920" state="hidden" r:id="rId25"/>
    <sheet name="ふっとび率" sheetId="5921" state="hidden" r:id="rId26"/>
    <sheet name="ふっとばし率" sheetId="5922" state="hidden" r:id="rId27"/>
    <sheet name="リーチ率" sheetId="5923" state="hidden" r:id="rId28"/>
    <sheet name="副露率" sheetId="5924" state="hidden" r:id="rId29"/>
    <sheet name="リーチ成功率" sheetId="5925" state="hidden" r:id="rId30"/>
    <sheet name="副露成功率" sheetId="5926" state="hidden" r:id="rId31"/>
    <sheet name="ツモ率" sheetId="5927" state="hidden" r:id="rId32"/>
  </sheets>
  <definedNames>
    <definedName name="アガリ数" localSheetId="8">Player1!$B$19</definedName>
    <definedName name="アガリ数" localSheetId="10">Player2!$B$19</definedName>
    <definedName name="アガリ数" localSheetId="12">Player3!$B$19</definedName>
    <definedName name="アガリ数" localSheetId="14">Player4!$B$19</definedName>
    <definedName name="アガリ数" localSheetId="6">全体!$B$19</definedName>
    <definedName name="アガリ数">Template1!$B$19</definedName>
    <definedName name="アガリ率" localSheetId="8">Player1!$C$19</definedName>
    <definedName name="アガリ率" localSheetId="10">Player2!$C$19</definedName>
    <definedName name="アガリ率" localSheetId="12">Player3!$C$19</definedName>
    <definedName name="アガリ率" localSheetId="14">Player4!$C$19</definedName>
    <definedName name="アガリ率" localSheetId="6">全体!$C$19</definedName>
    <definedName name="アガリ率">Template1!$C$19</definedName>
    <definedName name="チョンボ数" localSheetId="8">Player1!$B$29</definedName>
    <definedName name="チョンボ数" localSheetId="10">Player2!$B$29</definedName>
    <definedName name="チョンボ数" localSheetId="12">Player3!$B$29</definedName>
    <definedName name="チョンボ数" localSheetId="14">Player4!$B$29</definedName>
    <definedName name="チョンボ数" localSheetId="6">全体!$B$29</definedName>
    <definedName name="チョンボ数">Template1!$B$29</definedName>
    <definedName name="チョンボ率" localSheetId="8">Player1!$C$29</definedName>
    <definedName name="チョンボ率" localSheetId="10">Player2!$C$29</definedName>
    <definedName name="チョンボ率" localSheetId="12">Player3!$C$29</definedName>
    <definedName name="チョンボ率" localSheetId="14">Player4!$C$29</definedName>
    <definedName name="チョンボ率" localSheetId="6">全体!$C$29</definedName>
    <definedName name="チョンボ率">Template1!$C$29</definedName>
    <definedName name="ツモ数" localSheetId="8">Player1!$B$20</definedName>
    <definedName name="ツモ数" localSheetId="10">Player2!$B$20</definedName>
    <definedName name="ツモ数" localSheetId="12">Player3!$B$20</definedName>
    <definedName name="ツモ数" localSheetId="14">Player4!$B$20</definedName>
    <definedName name="ツモ数" localSheetId="6">全体!$B$20</definedName>
    <definedName name="ツモ数">Template1!$B$20</definedName>
    <definedName name="ツモ率" localSheetId="8">Player1!$C$20</definedName>
    <definedName name="ツモ率" localSheetId="10">Player2!$C$20</definedName>
    <definedName name="ツモ率" localSheetId="12">Player3!$C$20</definedName>
    <definedName name="ツモ率" localSheetId="14">Player4!$C$20</definedName>
    <definedName name="ツモ率" localSheetId="6">全体!$C$20</definedName>
    <definedName name="ツモ率">Template1!$C$20</definedName>
    <definedName name="トップ数" localSheetId="8">Player1!$B$7</definedName>
    <definedName name="トップ数" localSheetId="10">Player2!$B$7</definedName>
    <definedName name="トップ数" localSheetId="12">Player3!$B$7</definedName>
    <definedName name="トップ数" localSheetId="14">Player4!$B$7</definedName>
    <definedName name="トップ数" localSheetId="6">全体!$B$7</definedName>
    <definedName name="トップ数">Template1!$B$7</definedName>
    <definedName name="トップ率" localSheetId="8">Player1!$C$7</definedName>
    <definedName name="トップ率" localSheetId="10">Player2!$C$7</definedName>
    <definedName name="トップ率" localSheetId="12">Player3!$C$7</definedName>
    <definedName name="トップ率" localSheetId="14">Player4!$C$7</definedName>
    <definedName name="トップ率" localSheetId="6">全体!$C$7</definedName>
    <definedName name="トップ率">Template1!$C$7</definedName>
    <definedName name="ふっとばし数" localSheetId="8">Player1!$B$13</definedName>
    <definedName name="ふっとばし数" localSheetId="10">Player2!$B$13</definedName>
    <definedName name="ふっとばし数" localSheetId="12">Player3!$B$13</definedName>
    <definedName name="ふっとばし数" localSheetId="14">Player4!$B$13</definedName>
    <definedName name="ふっとばし数" localSheetId="6">全体!$B$13</definedName>
    <definedName name="ふっとばし数">Template1!$B$13</definedName>
    <definedName name="ふっとばし率" localSheetId="8">Player1!$C$13</definedName>
    <definedName name="ふっとばし率" localSheetId="10">Player2!$C$13</definedName>
    <definedName name="ふっとばし率" localSheetId="12">Player3!$C$13</definedName>
    <definedName name="ふっとばし率" localSheetId="14">Player4!$C$13</definedName>
    <definedName name="ふっとばし率" localSheetId="6">全体!$C$13</definedName>
    <definedName name="ふっとばし率">Template1!$C$13</definedName>
    <definedName name="ふっとび数" localSheetId="8">Player1!$B$12</definedName>
    <definedName name="ふっとび数" localSheetId="10">Player2!$B$12</definedName>
    <definedName name="ふっとび数" localSheetId="12">Player3!$B$12</definedName>
    <definedName name="ふっとび数" localSheetId="14">Player4!$B$12</definedName>
    <definedName name="ふっとび数" localSheetId="6">全体!$B$12</definedName>
    <definedName name="ふっとび数">Template1!$B$12</definedName>
    <definedName name="ふっとび率" localSheetId="8">Player1!$C$12</definedName>
    <definedName name="ふっとび率" localSheetId="10">Player2!$C$12</definedName>
    <definedName name="ふっとび率" localSheetId="12">Player3!$C$12</definedName>
    <definedName name="ふっとび率" localSheetId="14">Player4!$C$12</definedName>
    <definedName name="ふっとび率" localSheetId="6">全体!$C$12</definedName>
    <definedName name="ふっとび率">Template1!$C$12</definedName>
    <definedName name="ラス率" localSheetId="8">Player1!$C$10</definedName>
    <definedName name="ラス率" localSheetId="10">Player2!$C$10</definedName>
    <definedName name="ラス率" localSheetId="12">Player3!$C$10</definedName>
    <definedName name="ラス率" localSheetId="14">Player4!$C$10</definedName>
    <definedName name="ラス率" localSheetId="6">全体!$C$10</definedName>
    <definedName name="ラス率">Template1!$C$10</definedName>
    <definedName name="リーチ数" localSheetId="8">Player1!$B$15</definedName>
    <definedName name="リーチ数" localSheetId="10">Player2!$B$15</definedName>
    <definedName name="リーチ数" localSheetId="12">Player3!$B$15</definedName>
    <definedName name="リーチ数" localSheetId="14">Player4!$B$15</definedName>
    <definedName name="リーチ数" localSheetId="6">全体!$B$15</definedName>
    <definedName name="リーチ数">Template1!$B$15</definedName>
    <definedName name="リーチ成功数" localSheetId="8">Player1!$B$17</definedName>
    <definedName name="リーチ成功数" localSheetId="10">Player2!$B$17</definedName>
    <definedName name="リーチ成功数" localSheetId="12">Player3!$B$17</definedName>
    <definedName name="リーチ成功数" localSheetId="14">Player4!$B$17</definedName>
    <definedName name="リーチ成功数" localSheetId="6">全体!$B$17</definedName>
    <definedName name="リーチ成功数">Template1!$B$17</definedName>
    <definedName name="リーチ成功率" localSheetId="8">Player1!$C$17</definedName>
    <definedName name="リーチ成功率" localSheetId="10">Player2!$C$17</definedName>
    <definedName name="リーチ成功率" localSheetId="12">Player3!$C$17</definedName>
    <definedName name="リーチ成功率" localSheetId="14">Player4!$C$17</definedName>
    <definedName name="リーチ成功率" localSheetId="6">全体!$C$17</definedName>
    <definedName name="リーチ成功率">Template1!$C$17</definedName>
    <definedName name="リーチ率" localSheetId="8">Player1!$C$15</definedName>
    <definedName name="リーチ率" localSheetId="10">Player2!$C$15</definedName>
    <definedName name="リーチ率" localSheetId="12">Player3!$C$15</definedName>
    <definedName name="リーチ率" localSheetId="14">Player4!$C$15</definedName>
    <definedName name="リーチ率" localSheetId="6">全体!$C$15</definedName>
    <definedName name="リーチ率">Template1!$C$15</definedName>
    <definedName name="ロン数" localSheetId="8">Player1!$B$21</definedName>
    <definedName name="ロン数" localSheetId="10">Player2!$B$21</definedName>
    <definedName name="ロン数" localSheetId="12">Player3!$B$21</definedName>
    <definedName name="ロン数" localSheetId="14">Player4!$B$21</definedName>
    <definedName name="ロン数" localSheetId="6">全体!$B$21</definedName>
    <definedName name="ロン数">Template1!$B$21</definedName>
    <definedName name="ロン率" localSheetId="8">Player1!$C$21</definedName>
    <definedName name="ロン率" localSheetId="10">Player2!$C$21</definedName>
    <definedName name="ロン率" localSheetId="12">Player3!$C$21</definedName>
    <definedName name="ロン率" localSheetId="14">Player4!$C$21</definedName>
    <definedName name="ロン率" localSheetId="6">全体!$C$21</definedName>
    <definedName name="ロン率">Template1!$C$21</definedName>
    <definedName name="逆転数" localSheetId="8">Player1!$B$14</definedName>
    <definedName name="逆転数" localSheetId="10">Player2!$B$14</definedName>
    <definedName name="逆転数" localSheetId="12">Player3!$B$14</definedName>
    <definedName name="逆転数" localSheetId="14">Player4!$B$14</definedName>
    <definedName name="逆転数" localSheetId="6">全体!$B$14</definedName>
    <definedName name="逆転数">Template1!$B$14</definedName>
    <definedName name="逆転率" localSheetId="8">Player1!$C$14</definedName>
    <definedName name="逆転率" localSheetId="10">Player2!$C$14</definedName>
    <definedName name="逆転率" localSheetId="12">Player3!$C$14</definedName>
    <definedName name="逆転率" localSheetId="14">Player4!$C$14</definedName>
    <definedName name="逆転率" localSheetId="6">全体!$C$14</definedName>
    <definedName name="逆転率">Template1!$C$14</definedName>
    <definedName name="最大ドラ数" localSheetId="8">Player1!$B$27</definedName>
    <definedName name="最大ドラ数" localSheetId="10">Player2!$B$27</definedName>
    <definedName name="最大ドラ数" localSheetId="12">Player3!$B$27</definedName>
    <definedName name="最大ドラ数" localSheetId="14">Player4!$B$27</definedName>
    <definedName name="最大ドラ数" localSheetId="6">全体!$B$27</definedName>
    <definedName name="最大ドラ数">Template1!$B$27</definedName>
    <definedName name="最大点数" localSheetId="8">Player1!$B$28</definedName>
    <definedName name="最大点数" localSheetId="10">Player2!$B$28</definedName>
    <definedName name="最大点数" localSheetId="12">Player3!$B$28</definedName>
    <definedName name="最大点数" localSheetId="14">Player4!$B$28</definedName>
    <definedName name="最大点数" localSheetId="6">全体!$B$28</definedName>
    <definedName name="最大点数">Template1!$B$28</definedName>
    <definedName name="総局数" localSheetId="8">Player1!$B$3</definedName>
    <definedName name="総局数" localSheetId="10">Player2!$B$3</definedName>
    <definedName name="総局数" localSheetId="12">Player3!$B$3</definedName>
    <definedName name="総局数" localSheetId="14">Player4!$B$3</definedName>
    <definedName name="総局数" localSheetId="6">全体!$B$3</definedName>
    <definedName name="総局数">Template1!$B$3</definedName>
    <definedName name="対戦数" localSheetId="8">Player1!$B$2</definedName>
    <definedName name="対戦数" localSheetId="10">Player2!$B$2</definedName>
    <definedName name="対戦数" localSheetId="12">Player3!$B$2</definedName>
    <definedName name="対戦数" localSheetId="14">Player4!$B$2</definedName>
    <definedName name="対戦数" localSheetId="6">全体!$B$2</definedName>
    <definedName name="対戦数">Template1!$B$2</definedName>
    <definedName name="通算スコア" localSheetId="8">Player1!$B$4</definedName>
    <definedName name="通算スコア" localSheetId="10">Player2!$B$4</definedName>
    <definedName name="通算スコア" localSheetId="12">Player3!$B$4</definedName>
    <definedName name="通算スコア" localSheetId="14">Player4!$B$4</definedName>
    <definedName name="通算スコア" localSheetId="6">全体!$B$4</definedName>
    <definedName name="通算スコア">Template1!$B$4</definedName>
    <definedName name="副露数" localSheetId="8">Player1!$B$16</definedName>
    <definedName name="副露数" localSheetId="10">Player2!$B$16</definedName>
    <definedName name="副露数" localSheetId="12">Player3!$B$16</definedName>
    <definedName name="副露数" localSheetId="14">Player4!$B$16</definedName>
    <definedName name="副露数" localSheetId="6">全体!$B$16</definedName>
    <definedName name="副露数">Template1!$B$16</definedName>
    <definedName name="副露成功数" localSheetId="8">Player1!$B$18</definedName>
    <definedName name="副露成功数" localSheetId="10">Player2!$B$18</definedName>
    <definedName name="副露成功数" localSheetId="12">Player3!$B$18</definedName>
    <definedName name="副露成功数" localSheetId="14">Player4!$B$18</definedName>
    <definedName name="副露成功数" localSheetId="6">全体!$B$18</definedName>
    <definedName name="副露成功数">Template1!$B$18</definedName>
    <definedName name="副露成功率" localSheetId="8">Player1!$C$18</definedName>
    <definedName name="副露成功率" localSheetId="10">Player2!$C$18</definedName>
    <definedName name="副露成功率" localSheetId="12">Player3!$C$18</definedName>
    <definedName name="副露成功率" localSheetId="14">Player4!$C$18</definedName>
    <definedName name="副露成功率" localSheetId="6">全体!$C$18</definedName>
    <definedName name="副露成功率">Template1!$C$18</definedName>
    <definedName name="副露率" localSheetId="8">Player1!$C$16</definedName>
    <definedName name="副露率" localSheetId="10">Player2!$C$16</definedName>
    <definedName name="副露率" localSheetId="12">Player3!$C$16</definedName>
    <definedName name="副露率" localSheetId="14">Player4!$C$16</definedName>
    <definedName name="副露率" localSheetId="6">全体!$C$16</definedName>
    <definedName name="副露率">Template1!$C$16</definedName>
    <definedName name="平均アガリ点" localSheetId="8">Player1!$B$25</definedName>
    <definedName name="平均アガリ点" localSheetId="10">Player2!$B$25</definedName>
    <definedName name="平均アガリ点" localSheetId="12">Player3!$B$25</definedName>
    <definedName name="平均アガリ点" localSheetId="14">Player4!$B$25</definedName>
    <definedName name="平均アガリ点" localSheetId="6">全体!$B$25</definedName>
    <definedName name="平均アガリ点">Template1!$B$25</definedName>
    <definedName name="平均スコア" localSheetId="8">Player1!$B$5</definedName>
    <definedName name="平均スコア" localSheetId="10">Player2!$B$5</definedName>
    <definedName name="平均スコア" localSheetId="12">Player3!$B$5</definedName>
    <definedName name="平均スコア" localSheetId="14">Player4!$B$5</definedName>
    <definedName name="平均スコア" localSheetId="6">全体!$B$5</definedName>
    <definedName name="平均スコア">Template1!$B$5</definedName>
    <definedName name="平均順位" localSheetId="8">Player1!$B$6</definedName>
    <definedName name="平均順位" localSheetId="10">Player2!$B$6</definedName>
    <definedName name="平均順位" localSheetId="12">Player3!$B$6</definedName>
    <definedName name="平均順位" localSheetId="14">Player4!$B$6</definedName>
    <definedName name="平均順位" localSheetId="6">全体!$B$6</definedName>
    <definedName name="平均順位">Template1!$B$6</definedName>
    <definedName name="平均放銃点" localSheetId="8">Player1!$B$26</definedName>
    <definedName name="平均放銃点" localSheetId="10">Player2!$B$26</definedName>
    <definedName name="平均放銃点" localSheetId="12">Player3!$B$26</definedName>
    <definedName name="平均放銃点" localSheetId="14">Player4!$B$26</definedName>
    <definedName name="平均放銃点" localSheetId="6">全体!$B$26</definedName>
    <definedName name="平均放銃点">Template1!$B$26</definedName>
    <definedName name="放銃数" localSheetId="8">Player1!$B$22</definedName>
    <definedName name="放銃数" localSheetId="10">Player2!$B$22</definedName>
    <definedName name="放銃数" localSheetId="12">Player3!$B$22</definedName>
    <definedName name="放銃数" localSheetId="14">Player4!$B$22</definedName>
    <definedName name="放銃数" localSheetId="6">全体!$B$22</definedName>
    <definedName name="放銃数">Template1!$B$22</definedName>
    <definedName name="放銃率" localSheetId="8">Player1!$C$22</definedName>
    <definedName name="放銃率" localSheetId="10">Player2!$C$22</definedName>
    <definedName name="放銃率" localSheetId="12">Player3!$C$22</definedName>
    <definedName name="放銃率" localSheetId="14">Player4!$C$22</definedName>
    <definedName name="放銃率" localSheetId="6">全体!$C$22</definedName>
    <definedName name="放銃率">Template1!$C$22</definedName>
    <definedName name="連続アガリ" localSheetId="8">Player1!$B$23</definedName>
    <definedName name="連続アガリ" localSheetId="10">Player2!$B$23</definedName>
    <definedName name="連続アガリ" localSheetId="12">Player3!$B$23</definedName>
    <definedName name="連続アガリ" localSheetId="14">Player4!$B$23</definedName>
    <definedName name="連続アガリ" localSheetId="6">全体!$B$23</definedName>
    <definedName name="連続アガリ">Template1!$B$23</definedName>
    <definedName name="連続無放銃" localSheetId="8">Player1!$B$24</definedName>
    <definedName name="連続無放銃" localSheetId="10">Player2!$B$24</definedName>
    <definedName name="連続無放銃" localSheetId="12">Player3!$B$24</definedName>
    <definedName name="連続無放銃" localSheetId="14">Player4!$B$24</definedName>
    <definedName name="連続無放銃" localSheetId="6">全体!$B$24</definedName>
    <definedName name="連続無放銃">Template1!$B$24</definedName>
    <definedName name="連対数" localSheetId="8">Player1!$B$11</definedName>
    <definedName name="連対数" localSheetId="10">Player2!$B$11</definedName>
    <definedName name="連対数" localSheetId="12">Player3!$B$11</definedName>
    <definedName name="連対数" localSheetId="14">Player4!$B$11</definedName>
    <definedName name="連対数" localSheetId="6">全体!$B$11</definedName>
    <definedName name="連対数">Template1!$B$11</definedName>
    <definedName name="連対率" localSheetId="8">Player1!$C$11</definedName>
    <definedName name="連対率" localSheetId="10">Player2!$C$11</definedName>
    <definedName name="連対率" localSheetId="12">Player3!$C$11</definedName>
    <definedName name="連対率" localSheetId="14">Player4!$C$11</definedName>
    <definedName name="連対率" localSheetId="6">全体!$C$11</definedName>
    <definedName name="連対率">Template1!$C$11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0" i="5998" l="1"/>
  <c r="O19" i="5998"/>
  <c r="O18" i="5998"/>
  <c r="C29" i="5998"/>
  <c r="B26" i="5998"/>
  <c r="C22" i="5998"/>
  <c r="C20" i="5998"/>
  <c r="B19" i="5998"/>
  <c r="H47" i="5998" s="1"/>
  <c r="C18" i="5998"/>
  <c r="C17" i="5998"/>
  <c r="C16" i="5998"/>
  <c r="O15" i="5998"/>
  <c r="C15" i="5998"/>
  <c r="O14" i="5998"/>
  <c r="C14" i="5998"/>
  <c r="O13" i="5998"/>
  <c r="C13" i="5998"/>
  <c r="O12" i="5998"/>
  <c r="C12" i="5998"/>
  <c r="C11" i="5998"/>
  <c r="B11" i="5998"/>
  <c r="C10" i="5998"/>
  <c r="O9" i="5998"/>
  <c r="C9" i="5998"/>
  <c r="O8" i="5998"/>
  <c r="H8" i="5998"/>
  <c r="C8" i="5998"/>
  <c r="O7" i="5998"/>
  <c r="C7" i="5998"/>
  <c r="O6" i="5998"/>
  <c r="B6" i="5998"/>
  <c r="O5" i="5998"/>
  <c r="H5" i="5998"/>
  <c r="B5" i="5998"/>
  <c r="O4" i="5998"/>
  <c r="H4" i="5998"/>
  <c r="O3" i="5998"/>
  <c r="O2" i="5998"/>
  <c r="H2" i="5998"/>
  <c r="O20" i="5996"/>
  <c r="O19" i="5996"/>
  <c r="O18" i="5996"/>
  <c r="C29" i="5996"/>
  <c r="B26" i="5996"/>
  <c r="C22" i="5996"/>
  <c r="B19" i="5996"/>
  <c r="H44" i="5996" s="1"/>
  <c r="C18" i="5996"/>
  <c r="C17" i="5996"/>
  <c r="C16" i="5996"/>
  <c r="O15" i="5996"/>
  <c r="C15" i="5996"/>
  <c r="O14" i="5996"/>
  <c r="C14" i="5996"/>
  <c r="O13" i="5996"/>
  <c r="C13" i="5996"/>
  <c r="O12" i="5996"/>
  <c r="C12" i="5996"/>
  <c r="B11" i="5996"/>
  <c r="C11" i="5996" s="1"/>
  <c r="C10" i="5996"/>
  <c r="O9" i="5996"/>
  <c r="C9" i="5996"/>
  <c r="O8" i="5996"/>
  <c r="C8" i="5996"/>
  <c r="O7" i="5996"/>
  <c r="C7" i="5996"/>
  <c r="O6" i="5996"/>
  <c r="B6" i="5996"/>
  <c r="O5" i="5996"/>
  <c r="B5" i="5996"/>
  <c r="O4" i="5996"/>
  <c r="O3" i="5996"/>
  <c r="O2" i="5996"/>
  <c r="O20" i="5994"/>
  <c r="O19" i="5994"/>
  <c r="O18" i="5994"/>
  <c r="C29" i="5994"/>
  <c r="B26" i="5994"/>
  <c r="C22" i="5994"/>
  <c r="B19" i="5994"/>
  <c r="H46" i="5994" s="1"/>
  <c r="C18" i="5994"/>
  <c r="C17" i="5994"/>
  <c r="C16" i="5994"/>
  <c r="O15" i="5994"/>
  <c r="C15" i="5994"/>
  <c r="O14" i="5994"/>
  <c r="C14" i="5994"/>
  <c r="O13" i="5994"/>
  <c r="C13" i="5994"/>
  <c r="O12" i="5994"/>
  <c r="C12" i="5994"/>
  <c r="B11" i="5994"/>
  <c r="C11" i="5994" s="1"/>
  <c r="C10" i="5994"/>
  <c r="O9" i="5994"/>
  <c r="C9" i="5994"/>
  <c r="O8" i="5994"/>
  <c r="C8" i="5994"/>
  <c r="O7" i="5994"/>
  <c r="C7" i="5994"/>
  <c r="O6" i="5994"/>
  <c r="B6" i="5994"/>
  <c r="O5" i="5994"/>
  <c r="B5" i="5994"/>
  <c r="O4" i="5994"/>
  <c r="O3" i="5994"/>
  <c r="O2" i="5994"/>
  <c r="O21" i="5990"/>
  <c r="O20" i="5992"/>
  <c r="O19" i="5992"/>
  <c r="O18" i="5992"/>
  <c r="C29" i="5992"/>
  <c r="B26" i="5992"/>
  <c r="C22" i="5992"/>
  <c r="B19" i="5992"/>
  <c r="H45" i="5992" s="1"/>
  <c r="C18" i="5992"/>
  <c r="C17" i="5992"/>
  <c r="C16" i="5992"/>
  <c r="O15" i="5992"/>
  <c r="C15" i="5992"/>
  <c r="O14" i="5992"/>
  <c r="C14" i="5992"/>
  <c r="O13" i="5992"/>
  <c r="C13" i="5992"/>
  <c r="O12" i="5992"/>
  <c r="C12" i="5992"/>
  <c r="B11" i="5992"/>
  <c r="C11" i="5992" s="1"/>
  <c r="C10" i="5992"/>
  <c r="O9" i="5992"/>
  <c r="C9" i="5992"/>
  <c r="O8" i="5992"/>
  <c r="C8" i="5992"/>
  <c r="O7" i="5992"/>
  <c r="C7" i="5992"/>
  <c r="O6" i="5992"/>
  <c r="B6" i="5992"/>
  <c r="O5" i="5992"/>
  <c r="B5" i="5992"/>
  <c r="O4" i="5992"/>
  <c r="O3" i="5992"/>
  <c r="O2" i="5992"/>
  <c r="O20" i="5990"/>
  <c r="O19" i="5990"/>
  <c r="O18" i="5990"/>
  <c r="C29" i="5990"/>
  <c r="B26" i="5990"/>
  <c r="C22" i="5990"/>
  <c r="B19" i="5990"/>
  <c r="H46" i="5990" s="1"/>
  <c r="C18" i="5990"/>
  <c r="C17" i="5990"/>
  <c r="C16" i="5990"/>
  <c r="O15" i="5990"/>
  <c r="C15" i="5990"/>
  <c r="O14" i="5990"/>
  <c r="C14" i="5990"/>
  <c r="O13" i="5990"/>
  <c r="C13" i="5990"/>
  <c r="O12" i="5990"/>
  <c r="C12" i="5990"/>
  <c r="B11" i="5990"/>
  <c r="C11" i="5990" s="1"/>
  <c r="C10" i="5990"/>
  <c r="O9" i="5990"/>
  <c r="C9" i="5990"/>
  <c r="O8" i="5990"/>
  <c r="C8" i="5990"/>
  <c r="O7" i="5990"/>
  <c r="C7" i="5990"/>
  <c r="O6" i="5990"/>
  <c r="B6" i="5990"/>
  <c r="O5" i="5990"/>
  <c r="B5" i="5990"/>
  <c r="O4" i="5990"/>
  <c r="O3" i="5990"/>
  <c r="O2" i="5990"/>
  <c r="H18" i="5998" l="1"/>
  <c r="H38" i="5998"/>
  <c r="B25" i="5998"/>
  <c r="H16" i="5998"/>
  <c r="H3" i="5998"/>
  <c r="H6" i="5998"/>
  <c r="H9" i="5998"/>
  <c r="H13" i="5998"/>
  <c r="H19" i="5998"/>
  <c r="H9" i="5996"/>
  <c r="H30" i="5998"/>
  <c r="H41" i="5998"/>
  <c r="H26" i="5998"/>
  <c r="H33" i="5998"/>
  <c r="H42" i="5998"/>
  <c r="H10" i="5998"/>
  <c r="H12" i="5998"/>
  <c r="H15" i="5998"/>
  <c r="C19" i="5998"/>
  <c r="H24" i="5998"/>
  <c r="H27" i="5998"/>
  <c r="H34" i="5998"/>
  <c r="H46" i="5998"/>
  <c r="H21" i="5998"/>
  <c r="H29" i="5998"/>
  <c r="H37" i="5998"/>
  <c r="H45" i="5998"/>
  <c r="H20" i="5998"/>
  <c r="H25" i="5998"/>
  <c r="H28" i="5998"/>
  <c r="H35" i="5998"/>
  <c r="H43" i="5998"/>
  <c r="H7" i="5998"/>
  <c r="H11" i="5998"/>
  <c r="H14" i="5998"/>
  <c r="H17" i="5998"/>
  <c r="C21" i="5998"/>
  <c r="H23" i="5998"/>
  <c r="H32" i="5998"/>
  <c r="H36" i="5998"/>
  <c r="H40" i="5998"/>
  <c r="H44" i="5998"/>
  <c r="H22" i="5998"/>
  <c r="H31" i="5998"/>
  <c r="H39" i="5998"/>
  <c r="H8" i="5994"/>
  <c r="H9" i="5992"/>
  <c r="H3" i="5994"/>
  <c r="H6" i="5996"/>
  <c r="H27" i="5996"/>
  <c r="H3" i="5996"/>
  <c r="H5" i="5996"/>
  <c r="H8" i="5996"/>
  <c r="H38" i="5996"/>
  <c r="H24" i="5996"/>
  <c r="H41" i="5996"/>
  <c r="H2" i="5996"/>
  <c r="H4" i="5996"/>
  <c r="H13" i="5996"/>
  <c r="H16" i="5996"/>
  <c r="C19" i="5996"/>
  <c r="H30" i="5996"/>
  <c r="H46" i="5996"/>
  <c r="H10" i="5996"/>
  <c r="H12" i="5996"/>
  <c r="H15" i="5996"/>
  <c r="H19" i="5996"/>
  <c r="H26" i="5996"/>
  <c r="H33" i="5996"/>
  <c r="H10" i="5994"/>
  <c r="H18" i="5996"/>
  <c r="C20" i="5996"/>
  <c r="B25" i="5996"/>
  <c r="H34" i="5996"/>
  <c r="H42" i="5996"/>
  <c r="H15" i="5994"/>
  <c r="H21" i="5996"/>
  <c r="H29" i="5996"/>
  <c r="H37" i="5996"/>
  <c r="H45" i="5996"/>
  <c r="H20" i="5996"/>
  <c r="H22" i="5996"/>
  <c r="H25" i="5996"/>
  <c r="H28" i="5996"/>
  <c r="H31" i="5996"/>
  <c r="H35" i="5996"/>
  <c r="H39" i="5996"/>
  <c r="H43" i="5996"/>
  <c r="H47" i="5996"/>
  <c r="H7" i="5996"/>
  <c r="H11" i="5996"/>
  <c r="H14" i="5996"/>
  <c r="H17" i="5996"/>
  <c r="C21" i="5996"/>
  <c r="H23" i="5996"/>
  <c r="H32" i="5996"/>
  <c r="H36" i="5996"/>
  <c r="H40" i="5996"/>
  <c r="H4" i="5992"/>
  <c r="H16" i="5992"/>
  <c r="C19" i="5992"/>
  <c r="H2" i="5994"/>
  <c r="H4" i="5994"/>
  <c r="H21" i="5994"/>
  <c r="H33" i="5994"/>
  <c r="H2" i="5992"/>
  <c r="H6" i="5994"/>
  <c r="H13" i="5994"/>
  <c r="H19" i="5994"/>
  <c r="H26" i="5994"/>
  <c r="C19" i="5994"/>
  <c r="H24" i="5994"/>
  <c r="H29" i="5994"/>
  <c r="H20" i="5994"/>
  <c r="H22" i="5994"/>
  <c r="H25" i="5994"/>
  <c r="H28" i="5994"/>
  <c r="H31" i="5994"/>
  <c r="H35" i="5994"/>
  <c r="H39" i="5994"/>
  <c r="H43" i="5994"/>
  <c r="H47" i="5994"/>
  <c r="H7" i="5994"/>
  <c r="H11" i="5994"/>
  <c r="H14" i="5994"/>
  <c r="H17" i="5994"/>
  <c r="C21" i="5994"/>
  <c r="H23" i="5994"/>
  <c r="H32" i="5994"/>
  <c r="H36" i="5994"/>
  <c r="H40" i="5994"/>
  <c r="H44" i="5994"/>
  <c r="H37" i="5994"/>
  <c r="H41" i="5994"/>
  <c r="H45" i="5994"/>
  <c r="H5" i="5994"/>
  <c r="H9" i="5994"/>
  <c r="H12" i="5994"/>
  <c r="H16" i="5994"/>
  <c r="H18" i="5994"/>
  <c r="C20" i="5994"/>
  <c r="B25" i="5994"/>
  <c r="H27" i="5994"/>
  <c r="H30" i="5994"/>
  <c r="H34" i="5994"/>
  <c r="H38" i="5994"/>
  <c r="H42" i="5994"/>
  <c r="H18" i="5992"/>
  <c r="H42" i="5992"/>
  <c r="B25" i="5992"/>
  <c r="H30" i="5992"/>
  <c r="H46" i="5992"/>
  <c r="H8" i="5992"/>
  <c r="H15" i="5992"/>
  <c r="H34" i="5992"/>
  <c r="H5" i="5992"/>
  <c r="H12" i="5992"/>
  <c r="C20" i="5992"/>
  <c r="H27" i="5992"/>
  <c r="H38" i="5992"/>
  <c r="H20" i="5992"/>
  <c r="H22" i="5992"/>
  <c r="H25" i="5992"/>
  <c r="H28" i="5992"/>
  <c r="H31" i="5992"/>
  <c r="H35" i="5992"/>
  <c r="H39" i="5992"/>
  <c r="H43" i="5992"/>
  <c r="H47" i="5992"/>
  <c r="H7" i="5992"/>
  <c r="H11" i="5992"/>
  <c r="H14" i="5992"/>
  <c r="H17" i="5992"/>
  <c r="C21" i="5992"/>
  <c r="H23" i="5992"/>
  <c r="H32" i="5992"/>
  <c r="H36" i="5992"/>
  <c r="H40" i="5992"/>
  <c r="H44" i="5992"/>
  <c r="H3" i="5992"/>
  <c r="H6" i="5992"/>
  <c r="H10" i="5992"/>
  <c r="H13" i="5992"/>
  <c r="H19" i="5992"/>
  <c r="H21" i="5992"/>
  <c r="H24" i="5992"/>
  <c r="H26" i="5992"/>
  <c r="H29" i="5992"/>
  <c r="H33" i="5992"/>
  <c r="H37" i="5992"/>
  <c r="H41" i="5992"/>
  <c r="H10" i="5990"/>
  <c r="H4" i="5990"/>
  <c r="H33" i="5990"/>
  <c r="H2" i="5990"/>
  <c r="C19" i="5990"/>
  <c r="H24" i="5990"/>
  <c r="H29" i="5990"/>
  <c r="H6" i="5990"/>
  <c r="H13" i="5990"/>
  <c r="H19" i="5990"/>
  <c r="H3" i="5990"/>
  <c r="H8" i="5990"/>
  <c r="H15" i="5990"/>
  <c r="H21" i="5990"/>
  <c r="H26" i="5990"/>
  <c r="H37" i="5990"/>
  <c r="H45" i="5990"/>
  <c r="H41" i="5990"/>
  <c r="H20" i="5990"/>
  <c r="H22" i="5990"/>
  <c r="H25" i="5990"/>
  <c r="H28" i="5990"/>
  <c r="H31" i="5990"/>
  <c r="H35" i="5990"/>
  <c r="H39" i="5990"/>
  <c r="H43" i="5990"/>
  <c r="H47" i="5990"/>
  <c r="H7" i="5990"/>
  <c r="H11" i="5990"/>
  <c r="H14" i="5990"/>
  <c r="H17" i="5990"/>
  <c r="C21" i="5990"/>
  <c r="H23" i="5990"/>
  <c r="H32" i="5990"/>
  <c r="H36" i="5990"/>
  <c r="H40" i="5990"/>
  <c r="H44" i="5990"/>
  <c r="H5" i="5990"/>
  <c r="H9" i="5990"/>
  <c r="H12" i="5990"/>
  <c r="H16" i="5990"/>
  <c r="H18" i="5990"/>
  <c r="C20" i="5990"/>
  <c r="B25" i="5990"/>
  <c r="H27" i="5990"/>
  <c r="H30" i="5990"/>
  <c r="H34" i="5990"/>
  <c r="H38" i="5990"/>
  <c r="H42" i="5990"/>
  <c r="C11" i="2228" l="1"/>
  <c r="B11" i="2228"/>
  <c r="B6" i="2228" l="1"/>
  <c r="O8" i="2228" l="1"/>
  <c r="O5" i="2228"/>
  <c r="O14" i="2228"/>
  <c r="C10" i="2228"/>
  <c r="B26" i="2228" l="1"/>
  <c r="C16" i="2228" l="1"/>
  <c r="C15" i="2228"/>
  <c r="C22" i="2228"/>
  <c r="O15" i="2228" l="1"/>
  <c r="O13" i="2228"/>
  <c r="O12" i="2228"/>
  <c r="O7" i="2228"/>
  <c r="C14" i="2228" l="1"/>
  <c r="C13" i="2228"/>
  <c r="C12" i="2228"/>
  <c r="C8" i="2228"/>
  <c r="O2" i="2228" l="1"/>
  <c r="O9" i="2228"/>
  <c r="O6" i="2228"/>
  <c r="O4" i="2228"/>
  <c r="O3" i="2228"/>
  <c r="C29" i="2228" l="1"/>
  <c r="C19" i="2228" l="1"/>
  <c r="B19" i="2228"/>
  <c r="H18" i="2228" s="1"/>
  <c r="C18" i="2228"/>
  <c r="C17" i="2228"/>
  <c r="C9" i="2228"/>
  <c r="C7" i="2228"/>
  <c r="B5" i="2228"/>
  <c r="H45" i="2228" l="1"/>
  <c r="H5" i="2228"/>
  <c r="B25" i="2228"/>
  <c r="H42" i="2228"/>
  <c r="H35" i="2228"/>
  <c r="H28" i="2228"/>
  <c r="H20" i="2228"/>
  <c r="H12" i="2228"/>
  <c r="H4" i="2228"/>
  <c r="H41" i="2228"/>
  <c r="H33" i="2228"/>
  <c r="H26" i="2228"/>
  <c r="H10" i="2228"/>
  <c r="H2" i="2228"/>
  <c r="H31" i="2228"/>
  <c r="H16" i="2228"/>
  <c r="H30" i="2228"/>
  <c r="H7" i="2228"/>
  <c r="H29" i="2228"/>
  <c r="H6" i="2228"/>
  <c r="H43" i="2228"/>
  <c r="H21" i="2228"/>
  <c r="H34" i="2228"/>
  <c r="H27" i="2228"/>
  <c r="H19" i="2228"/>
  <c r="H11" i="2228"/>
  <c r="H3" i="2228"/>
  <c r="H15" i="2228"/>
  <c r="H22" i="2228"/>
  <c r="H40" i="2228"/>
  <c r="H32" i="2228"/>
  <c r="H25" i="2228"/>
  <c r="H17" i="2228"/>
  <c r="H9" i="2228"/>
  <c r="H39" i="2228"/>
  <c r="H24" i="2228"/>
  <c r="H8" i="2228"/>
  <c r="H38" i="2228"/>
  <c r="H23" i="2228"/>
  <c r="H37" i="2228"/>
  <c r="H14" i="2228"/>
  <c r="H36" i="2228"/>
  <c r="H13" i="2228"/>
  <c r="H44" i="2228"/>
  <c r="C20" i="2228"/>
  <c r="C21" i="2228"/>
</calcChain>
</file>

<file path=xl/sharedStrings.xml><?xml version="1.0" encoding="utf-8"?>
<sst xmlns="http://schemas.openxmlformats.org/spreadsheetml/2006/main" count="1261" uniqueCount="175">
  <si>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</si>
  <si>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</si>
  <si>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</si>
  <si>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</si>
  <si>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</si>
  <si>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</si>
  <si>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</si>
  <si>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</si>
  <si>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</si>
  <si>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</si>
  <si>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</si>
  <si>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</si>
  <si>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</si>
  <si>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</si>
  <si>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</si>
  <si>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</si>
  <si>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</si>
  <si>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</si>
  <si>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</si>
  <si>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</si>
  <si>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</si>
  <si>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</si>
  <si>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</si>
  <si>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</si>
  <si>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</si>
  <si>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</si>
  <si>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</si>
  <si>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</si>
  <si>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</si>
  <si>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</si>
  <si>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</si>
  <si>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</si>
  <si>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</si>
  <si>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</si>
  <si>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</si>
  <si>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</si>
  <si>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</si>
  <si>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</si>
  <si>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</si>
  <si>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</si>
  <si>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</si>
  <si>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</si>
  <si>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</si>
  <si>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</si>
  <si>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</si>
  <si>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</si>
  <si>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</si>
  <si>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</si>
  <si>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</si>
  <si>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</si>
  <si>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</si>
  <si>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</si>
  <si>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</si>
  <si>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</si>
  <si>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</si>
  <si>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</si>
  <si>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</si>
  <si>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</si>
  <si>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</si>
  <si>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</si>
  <si>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</si>
  <si>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</si>
  <si>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</si>
  <si>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</si>
  <si>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</si>
  <si>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</si>
  <si>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</si>
  <si>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</si>
  <si>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</si>
  <si>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</si>
  <si>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</si>
  <si>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</si>
  <si>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</si>
  <si>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</si>
  <si>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</si>
  <si>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</si>
  <si>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</si>
  <si>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</si>
  <si>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</si>
  <si>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</si>
  <si>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</si>
  <si>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</si>
  <si>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</si>
  <si>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</si>
  <si>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</si>
  <si>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</si>
  <si>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</si>
  <si>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</si>
  <si>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</si>
  <si>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</si>
  <si>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</si>
  <si>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</si>
  <si>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</si>
  <si>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</si>
  <si>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</si>
  <si>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</si>
  <si>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</si>
  <si>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</si>
  <si>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</si>
  <si>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</si>
  <si>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</si>
  <si>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</si>
  <si>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</si>
  <si>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</si>
  <si>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</si>
  <si>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</si>
  <si>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</si>
  <si>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</si>
  <si>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</si>
  <si>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</si>
  <si>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</si>
  <si>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</si>
  <si>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</si>
  <si>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</si>
  <si>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</si>
  <si>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</si>
  <si>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</si>
  <si>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</si>
  <si>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</si>
  <si>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</si>
  <si>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</si>
  <si>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</si>
  <si>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</si>
  <si>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</si>
  <si>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</si>
  <si>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</si>
  <si>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</si>
  <si>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</si>
  <si>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</si>
  <si>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</si>
  <si>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</si>
  <si>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</si>
  <si>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</si>
  <si>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</si>
  <si>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</si>
  <si>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</si>
  <si>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</si>
  <si>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</si>
  <si>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</si>
  <si>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</si>
  <si>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</si>
  <si>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</si>
  <si>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</si>
  <si>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</si>
  <si>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</si>
  <si>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</si>
  <si>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</si>
  <si>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</si>
  <si>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</si>
  <si>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</si>
  <si>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</si>
  <si>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</si>
  <si>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</si>
  <si>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</si>
  <si>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コード</t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</si>
  <si>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</si>
  <si>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</si>
  <si>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</si>
  <si>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</si>
  <si>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Player2</t>
  </si>
  <si>
    <t>Player3</t>
  </si>
  <si>
    <t>Player1</t>
  </si>
  <si>
    <t>4位</t>
    <rPh sb="1" eb="2">
      <t>イ</t>
    </rPh>
    <phoneticPr fontId="1"/>
  </si>
  <si>
    <t>西家</t>
    <rPh sb="0" eb="1">
      <t>ニシ</t>
    </rPh>
    <rPh sb="1" eb="2">
      <t>ケ</t>
    </rPh>
    <phoneticPr fontId="1"/>
  </si>
  <si>
    <t>北家</t>
    <rPh sb="0" eb="2">
      <t>ホッケ</t>
    </rPh>
    <phoneticPr fontId="1"/>
  </si>
  <si>
    <t>南4局</t>
    <rPh sb="0" eb="1">
      <t>ミナミ</t>
    </rPh>
    <rPh sb="2" eb="3">
      <t>キョク</t>
    </rPh>
    <phoneticPr fontId="1"/>
  </si>
  <si>
    <t>東4局</t>
    <rPh sb="0" eb="1">
      <t>ヒガシ</t>
    </rPh>
    <rPh sb="2" eb="3">
      <t>キョク</t>
    </rPh>
    <phoneticPr fontId="1"/>
  </si>
  <si>
    <t>Player4</t>
  </si>
  <si>
    <t>18</t>
    <phoneticPr fontId="1"/>
  </si>
  <si>
    <t>三色同順</t>
    <rPh sb="2" eb="4">
      <t>ドウジュン</t>
    </rPh>
    <phoneticPr fontId="1"/>
  </si>
  <si>
    <t>連対率</t>
    <rPh sb="0" eb="2">
      <t>レンタイ</t>
    </rPh>
    <rPh sb="2" eb="3">
      <t>リツ</t>
    </rPh>
    <phoneticPr fontId="1"/>
  </si>
  <si>
    <t>連対</t>
    <rPh sb="0" eb="2">
      <t>レンタイ</t>
    </rPh>
    <phoneticPr fontId="1"/>
  </si>
  <si>
    <t>2019-07-25Test.xlsm</t>
  </si>
  <si>
    <t>2019-07-25Test2.xlsm</t>
  </si>
  <si>
    <t>―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</si>
</sst>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57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hartsheet" Target="chartsheets/sheet3.xml"/><Relationship Id="rId26" Type="http://schemas.openxmlformats.org/officeDocument/2006/relationships/chartsheet" Target="chartsheets/sheet11.xml"/><Relationship Id="rId3" Type="http://schemas.openxmlformats.org/officeDocument/2006/relationships/worksheet" Target="worksheets/sheet3.xml"/><Relationship Id="rId21" Type="http://schemas.openxmlformats.org/officeDocument/2006/relationships/chartsheet" Target="chartsheets/sheet6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hartsheet" Target="chartsheets/sheet2.xml"/><Relationship Id="rId25" Type="http://schemas.openxmlformats.org/officeDocument/2006/relationships/chartsheet" Target="chartsheets/sheet10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chartsheet" Target="chartsheets/sheet1.xml"/><Relationship Id="rId20" Type="http://schemas.openxmlformats.org/officeDocument/2006/relationships/chartsheet" Target="chartsheets/sheet5.xml"/><Relationship Id="rId29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9.xml"/><Relationship Id="rId32" Type="http://schemas.openxmlformats.org/officeDocument/2006/relationships/chartsheet" Target="chartsheets/sheet17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hartsheet" Target="chartsheets/sheet8.xml"/><Relationship Id="rId28" Type="http://schemas.openxmlformats.org/officeDocument/2006/relationships/chartsheet" Target="chartsheets/sheet13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hartsheet" Target="chartsheets/sheet4.xml"/><Relationship Id="rId31" Type="http://schemas.openxmlformats.org/officeDocument/2006/relationships/chartsheet" Target="chartsheets/sheet1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hartsheet" Target="chartsheets/sheet7.xml"/><Relationship Id="rId27" Type="http://schemas.openxmlformats.org/officeDocument/2006/relationships/chartsheet" Target="chartsheets/sheet12.xml"/><Relationship Id="rId30" Type="http://schemas.openxmlformats.org/officeDocument/2006/relationships/chartsheet" Target="chartsheets/sheet15.xml"/><Relationship Id="rId35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Template1!$O$2:$O$9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全体!$L$2:$L$10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-15</c:v>
                </c:pt>
                <c:pt idx="2">
                  <c:v>66.3</c:v>
                </c:pt>
                <c:pt idx="3">
                  <c:v>97.4</c:v>
                </c:pt>
                <c:pt idx="4">
                  <c:v>0</c:v>
                </c:pt>
                <c:pt idx="5">
                  <c:v>-15</c:v>
                </c:pt>
                <c:pt idx="6">
                  <c:v>66.3</c:v>
                </c:pt>
                <c:pt idx="7">
                  <c:v>97.4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C-4AF6-B07F-A0F05E92E4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5-4A4F-804B-BB5EEE89B1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Player1!$L$1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Player1!$K$2:$K$4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Player1!$L$2:$L$4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-15</c:v>
                </c:pt>
                <c:pt idx="2">
                  <c:v>-30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A5-48DC-8648-7F135394DF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Player1!$O$1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Player1!$N$2:$N$9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Player1!$O$2:$O$9</c:f>
              <c:numCache>
                <c:formatCode>\+0;\-0;\±0</c:formatCode>
                <c:ptCount val="8"/>
                <c:pt idx="0">
                  <c:v>-1000</c:v>
                </c:pt>
                <c:pt idx="1">
                  <c:v>-1000</c:v>
                </c:pt>
                <c:pt idx="2">
                  <c:v>1100</c:v>
                </c:pt>
                <c:pt idx="3">
                  <c:v>-7000</c:v>
                </c:pt>
                <c:pt idx="4">
                  <c:v>-16000</c:v>
                </c:pt>
                <c:pt idx="5">
                  <c:v>32000</c:v>
                </c:pt>
                <c:pt idx="6">
                  <c:v>-18100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E0-4109-BCBD-9F15A45E5F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Player2!$L$1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Player2!$K$2:$K$4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Player2!$L$2:$L$4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81.3</c:v>
                </c:pt>
                <c:pt idx="2">
                  <c:v>162.6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1C-43C3-85CB-4C2AFD836E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Player2!$O$1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Player2!$N$2:$N$9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Player2!$O$2:$O$9</c:f>
              <c:numCache>
                <c:formatCode>\+0;\-0;\±0</c:formatCode>
                <c:ptCount val="8"/>
                <c:pt idx="0">
                  <c:v>-8000</c:v>
                </c:pt>
                <c:pt idx="1">
                  <c:v>-3000</c:v>
                </c:pt>
                <c:pt idx="2">
                  <c:v>-300</c:v>
                </c:pt>
                <c:pt idx="3">
                  <c:v>5300</c:v>
                </c:pt>
                <c:pt idx="4">
                  <c:v>32000</c:v>
                </c:pt>
                <c:pt idx="5">
                  <c:v>-16000</c:v>
                </c:pt>
                <c:pt idx="6">
                  <c:v>-7700</c:v>
                </c:pt>
                <c:pt idx="7">
                  <c:v>64000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A5-4315-98B5-9C37CF604E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Player3!$L$1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Player3!$K$2:$K$4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Player3!$L$2:$L$4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31.1</c:v>
                </c:pt>
                <c:pt idx="2">
                  <c:v>62.2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10-42BD-85D0-DCD19BEA0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Player3!$O$1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Player3!$N$2:$N$9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Player3!$O$2:$O$9</c:f>
              <c:numCache>
                <c:formatCode>\+0;\-0;\±0</c:formatCode>
                <c:ptCount val="8"/>
                <c:pt idx="0">
                  <c:v>9000</c:v>
                </c:pt>
                <c:pt idx="1">
                  <c:v>5000</c:v>
                </c:pt>
                <c:pt idx="2">
                  <c:v>-500</c:v>
                </c:pt>
                <c:pt idx="3">
                  <c:v>-15300</c:v>
                </c:pt>
                <c:pt idx="4">
                  <c:v>-8000</c:v>
                </c:pt>
                <c:pt idx="5">
                  <c:v>-8000</c:v>
                </c:pt>
                <c:pt idx="6">
                  <c:v>43900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B8-4C8B-9A99-2ACC890827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Player4!$L$1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Player4!$K$2:$K$4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Player4!$L$2:$L$4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-97.4</c:v>
                </c:pt>
                <c:pt idx="2">
                  <c:v>-194.8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82-44B4-8EEB-895642695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Player4!$O$1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Player4!$N$2:$N$9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Player4!$O$2:$O$9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-1000</c:v>
                </c:pt>
                <c:pt idx="2">
                  <c:v>-300</c:v>
                </c:pt>
                <c:pt idx="3">
                  <c:v>17000</c:v>
                </c:pt>
                <c:pt idx="4">
                  <c:v>-8000</c:v>
                </c:pt>
                <c:pt idx="5">
                  <c:v>-8000</c:v>
                </c:pt>
                <c:pt idx="6">
                  <c:v>-18100</c:v>
                </c:pt>
                <c:pt idx="7">
                  <c:v>-64000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B4-4AE1-97DC-088CD32882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Player42!$B$1:$B$2</c:f>
              <c:strCache>
                <c:ptCount val="2"/>
                <c:pt idx="0">
                  <c:v>Player4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Player42!$A$3:$A$5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Player42!$B$3:$B$5</c:f>
              <c:numCache>
                <c:formatCode>\+0.0;\-0.0;\±0</c:formatCode>
                <c:ptCount val="3"/>
                <c:pt idx="0">
                  <c:v>0</c:v>
                </c:pt>
                <c:pt idx="1">
                  <c:v>-97.4</c:v>
                </c:pt>
                <c:pt idx="2">
                  <c:v>-194.8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71-4FB1-829E-47F1E64BBF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7.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Player42!$C$1:$C$2</c:f>
              <c:strCache>
                <c:ptCount val="2"/>
                <c:pt idx="0">
                  <c:v>Player4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Player42!$A$3:$A$5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Player42!$C$3:$C$5</c:f>
              <c:numCache>
                <c:formatCode>\+0.0;\-0.0;\±0</c:formatCode>
                <c:ptCount val="3"/>
                <c:pt idx="1">
                  <c:v>-97.4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15-40AE-8EAC-EAB68F312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3.9142857142857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Player42!$D$1:$D$2</c:f>
              <c:strCache>
                <c:ptCount val="2"/>
                <c:pt idx="0">
                  <c:v>Player4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Player42!$A$3:$A$5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Player42!$D$3:$D$5</c:f>
              <c:numCache>
                <c:formatCode>0.00\ "位"</c:formatCode>
                <c:ptCount val="3"/>
                <c:pt idx="1">
                  <c:v>4</c:v>
                </c:pt>
                <c:pt idx="2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37-4721-B792-7865B0EAC1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.2857142857142856"/>
        <c:crossBetween val="midCat"/>
      </c:valAx>
      <c:valAx>
        <c:axId val="575703272"/>
        <c:scaling>
          <c:orientation val="maxMin"/>
          <c:max val="4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Player42!$E$1:$E$2</c:f>
              <c:strCache>
                <c:ptCount val="2"/>
                <c:pt idx="0">
                  <c:v>Player4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Player42!$A$3:$A$5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Player42!$E$3:$E$5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72-4879-B2EF-66E7A65E86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85714285714285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Player42!$F$1:$F$2</c:f>
              <c:strCache>
                <c:ptCount val="2"/>
                <c:pt idx="0">
                  <c:v>Player4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Player42!$A$3:$A$5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Player42!$F$3:$F$5</c:f>
              <c:numCache>
                <c:formatCode>0.0%</c:formatCode>
                <c:ptCount val="3"/>
                <c:pt idx="1">
                  <c:v>1</c:v>
                </c:pt>
                <c:pt idx="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02-4A6C-89B2-CC9BE17B91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428571428571428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Player42!$G$1:$G$2</c:f>
              <c:strCache>
                <c:ptCount val="2"/>
                <c:pt idx="0">
                  <c:v>Player4</c:v>
                </c:pt>
                <c:pt idx="1">
                  <c:v>連対率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Player42!$A$3:$A$5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Player42!$G$3:$G$5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16-4609-9989-FDA3C3C360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7142857142857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Player42!$H$1:$H$2</c:f>
              <c:strCache>
                <c:ptCount val="2"/>
                <c:pt idx="0">
                  <c:v>Player4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Player42!$A$3:$A$5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Player42!$H$3:$H$5</c:f>
              <c:numCache>
                <c:formatCode>0.0%</c:formatCode>
                <c:ptCount val="3"/>
                <c:pt idx="1">
                  <c:v>0.1</c:v>
                </c:pt>
                <c:pt idx="2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C9-4E02-A703-9B0BB032D4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714285714285714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Player42!$I$1:$I$2</c:f>
              <c:strCache>
                <c:ptCount val="2"/>
                <c:pt idx="0">
                  <c:v>Player4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Player42!$A$3:$A$5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Player42!$I$3:$I$5</c:f>
              <c:numCache>
                <c:formatCode>0.0%</c:formatCode>
                <c:ptCount val="3"/>
                <c:pt idx="1">
                  <c:v>0.1</c:v>
                </c:pt>
                <c:pt idx="2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C9-4B88-89D9-9F19ED6D2D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7.1428571428571425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Player42!$J$1:$J$2</c:f>
              <c:strCache>
                <c:ptCount val="2"/>
                <c:pt idx="0">
                  <c:v>Player4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Player42!$A$3:$A$5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Player42!$J$3:$J$5</c:f>
              <c:numCache>
                <c:formatCode>0</c:formatCode>
                <c:ptCount val="3"/>
                <c:pt idx="1">
                  <c:v>18000</c:v>
                </c:pt>
                <c:pt idx="2">
                  <c:v>18000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5F-4014-A6CE-9B569D0123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2536.84210526315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Player42!$K$1:$K$2</c:f>
              <c:strCache>
                <c:ptCount val="2"/>
                <c:pt idx="0">
                  <c:v>Player4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Player42!$A$3:$A$5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Player42!$K$3:$K$5</c:f>
              <c:numCache>
                <c:formatCode>0</c:formatCode>
                <c:ptCount val="3"/>
                <c:pt idx="1">
                  <c:v>-64000</c:v>
                </c:pt>
                <c:pt idx="2">
                  <c:v>-64000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AF-4FEA-BED0-04C012788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920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Player42!$L$1:$L$2</c:f>
              <c:strCache>
                <c:ptCount val="2"/>
                <c:pt idx="0">
                  <c:v>Player4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Player42!$A$3:$A$5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Player42!$L$3:$L$5</c:f>
              <c:numCache>
                <c:formatCode>0.0%</c:formatCode>
                <c:ptCount val="3"/>
                <c:pt idx="1">
                  <c:v>1</c:v>
                </c:pt>
                <c:pt idx="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2C-4831-A50F-8BF692885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428571428571428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Player42!$M$1:$M$2</c:f>
              <c:strCache>
                <c:ptCount val="2"/>
                <c:pt idx="0">
                  <c:v>Player4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Player42!$A$3:$A$5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Player42!$M$3:$M$5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B4-493F-B910-8DE94BB9C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85714285714285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Player42!$N$1:$N$2</c:f>
              <c:strCache>
                <c:ptCount val="2"/>
                <c:pt idx="0">
                  <c:v>Player4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Player42!$A$3:$A$5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Player42!$N$3:$N$5</c:f>
              <c:numCache>
                <c:formatCode>0.0%</c:formatCode>
                <c:ptCount val="3"/>
                <c:pt idx="1">
                  <c:v>0.2</c:v>
                </c:pt>
                <c:pt idx="2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8E-4317-B8A6-6EC44C0814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Player42!$O$1:$O$2</c:f>
              <c:strCache>
                <c:ptCount val="2"/>
                <c:pt idx="0">
                  <c:v>Player4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Player42!$A$3:$A$5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Player42!$O$3:$O$5</c:f>
              <c:numCache>
                <c:formatCode>0.0%</c:formatCode>
                <c:ptCount val="3"/>
                <c:pt idx="1">
                  <c:v>0.1</c:v>
                </c:pt>
                <c:pt idx="2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51-4BAB-9845-5DC2D5246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4.2857142857142858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Player42!$P$1:$P$2</c:f>
              <c:strCache>
                <c:ptCount val="2"/>
                <c:pt idx="0">
                  <c:v>Player4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Player42!$A$3:$A$5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Player42!$P$3:$P$5</c:f>
              <c:numCache>
                <c:formatCode>0.0%</c:formatCode>
                <c:ptCount val="3"/>
                <c:pt idx="1">
                  <c:v>0.5</c:v>
                </c:pt>
                <c:pt idx="2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FE-4F66-A0FE-1EE7BB5607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57142857142857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Player42!$Q$1:$Q$2</c:f>
              <c:strCache>
                <c:ptCount val="2"/>
                <c:pt idx="0">
                  <c:v>Player4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Player42!$A$3:$A$5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Player42!$Q$3:$Q$5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FA-4386-8C9B-02873F955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6666666666666666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Player42!$R$1:$R$2</c:f>
              <c:strCache>
                <c:ptCount val="2"/>
                <c:pt idx="0">
                  <c:v>Player4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Player42!$A$3:$A$5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Player42!$R$3:$R$5</c:f>
              <c:numCache>
                <c:formatCode>0.0%</c:formatCode>
                <c:ptCount val="3"/>
                <c:pt idx="1">
                  <c:v>1</c:v>
                </c:pt>
                <c:pt idx="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D4-4C1F-B888-369CB5D0A8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6842105263157894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2B76C7C-EFE0-476D-9A2F-B133111B0984}">
  <sheetPr codeName="グラフ25"/>
  <sheetViews>
    <sheetView zoomScale="121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AFD1170-3E75-457D-B249-2576A53229E4}">
  <sheetPr codeName="グラフ26"/>
  <sheetViews>
    <sheetView zoomScale="121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FEA87B1-DA78-45E5-9925-7ADC680A079A}">
  <sheetPr codeName="グラフ11"/>
  <sheetViews>
    <sheetView zoomScale="121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30EDDEC-62A1-4F74-8416-8E5BC1EE8A0E}">
  <sheetPr codeName="グラフ12"/>
  <sheetViews>
    <sheetView zoomScale="121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78B0443-FBDB-4962-BCAD-E3C8792EB0C4}">
  <sheetPr codeName="グラフ21"/>
  <sheetViews>
    <sheetView zoomScale="121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0B5D1EC-8925-4C31-9E0C-CB6302B4AD19}">
  <sheetPr codeName="グラフ24"/>
  <sheetViews>
    <sheetView zoomScale="121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0E93FC-45C7-4528-9015-5AC58B50DFE9}">
  <sheetPr codeName="グラフ13"/>
  <sheetViews>
    <sheetView zoomScale="121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A0831D5-4F67-40BB-AD37-B49F1EE9897E}">
  <sheetPr codeName="グラフ14"/>
  <sheetViews>
    <sheetView zoomScale="121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5A02860-B1D6-4DDC-8414-A2ECD27590E6}">
  <sheetPr codeName="グラフ15"/>
  <sheetViews>
    <sheetView zoomScale="121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F538368-DEE7-499F-9545-C432148FB3B5}">
  <sheetPr codeName="グラフ16"/>
  <sheetViews>
    <sheetView zoomScale="121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BFEEAC2-6679-4F2C-B076-CF6554A8E479}">
  <sheetPr codeName="グラフ17"/>
  <sheetViews>
    <sheetView zoomScale="121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9305430-F93A-4454-A201-A9040FC91B54}">
  <sheetPr codeName="グラフ18"/>
  <sheetViews>
    <sheetView zoomScale="121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F16C9A4-3602-41B7-9FC9-36D198EB134F}">
  <sheetPr codeName="グラフ19"/>
  <sheetViews>
    <sheetView zoomScale="121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A7A53C1-7947-4F1A-A167-5561D45AF276}">
  <sheetPr codeName="グラフ20"/>
  <sheetViews>
    <sheetView zoomScale="121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7672417-D490-4014-A3EC-4409458B5D88}">
  <sheetPr codeName="グラフ27"/>
  <sheetViews>
    <sheetView zoomScale="121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6ABEC15-BC55-4689-A57E-D5BD9E24DCA4}">
  <sheetPr codeName="グラフ22"/>
  <sheetViews>
    <sheetView zoomScale="121" workbookViewId="0" zoomToFit="1"/>
  </sheetViews>
  <pageMargins left="0.7" right="0.7" top="0.75" bottom="0.75" header="0.3" footer="0.3"/>
  <drawing r:id="rId1"/>
</chartsheet>
</file>

<file path=xl/chartsheets/sheet1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87DC19D-442A-4C9E-946E-D25A12C24BF3}">
  <sheetPr codeName="グラフ23"/>
  <sheetViews>
    <sheetView zoomScale="121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5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3" bestFit="1" customWidth="1"/>
    <col min="6" max="6" width="11" style="10" bestFit="1" customWidth="1"/>
    <col min="7" max="8" width="9" style="1" customWidth="1"/>
    <col min="9" max="9" width="9" style="29" customWidth="1"/>
    <col min="10" max="10" width="3.625" style="1" customWidth="1"/>
    <col min="11" max="11" width="3.5" style="5" customWidth="1"/>
    <col min="12" max="12" width="9" style="95" customWidth="1"/>
    <col min="13" max="13" width="3.625" style="1" customWidth="1"/>
    <col min="14" max="14" width="9" style="110" customWidth="1"/>
    <col min="15" max="15" width="9" style="120" customWidth="1"/>
    <col min="16" max="16" width="9" style="114" customWidth="1"/>
    <col min="17" max="17" width="3.625" style="102" customWidth="1"/>
    <col min="18" max="16384" width="9" style="1"/>
  </cols>
  <sheetData>
    <row r="1" spans="1:17" x14ac:dyDescent="0.4">
      <c r="A1" s="19" t="s">
        <v>0</v>
      </c>
      <c r="B1" s="141"/>
      <c r="C1" s="142"/>
      <c r="E1" s="124" t="s">
        <v>154</v>
      </c>
      <c r="F1" s="132" t="s">
        <v>108</v>
      </c>
      <c r="G1" s="131" t="s">
        <v>109</v>
      </c>
      <c r="H1" s="125" t="s">
        <v>110</v>
      </c>
      <c r="I1" s="132" t="s">
        <v>142</v>
      </c>
      <c r="K1" s="2" t="s">
        <v>20</v>
      </c>
      <c r="L1" s="31" t="s">
        <v>113</v>
      </c>
      <c r="M1" s="126"/>
      <c r="N1" s="108" t="s">
        <v>126</v>
      </c>
      <c r="O1" s="30" t="s">
        <v>127</v>
      </c>
      <c r="P1" s="112" t="s">
        <v>109</v>
      </c>
      <c r="Q1" s="96" t="s">
        <v>147</v>
      </c>
    </row>
    <row r="2" spans="1:17" x14ac:dyDescent="0.4">
      <c r="A2" s="20" t="s">
        <v>9</v>
      </c>
      <c r="B2" s="143">
        <v>0</v>
      </c>
      <c r="C2" s="144"/>
      <c r="E2" s="58" t="s">
        <v>61</v>
      </c>
      <c r="F2" s="55" t="s">
        <v>21</v>
      </c>
      <c r="G2" s="42">
        <v>0</v>
      </c>
      <c r="H2" s="127">
        <f t="shared" ref="H2:H45" si="0">IF(B$19=0,0,G2/B$19)</f>
        <v>0</v>
      </c>
      <c r="I2" s="89"/>
      <c r="K2" s="3">
        <v>0</v>
      </c>
      <c r="L2" s="94">
        <v>0</v>
      </c>
      <c r="N2" s="109" t="s">
        <v>120</v>
      </c>
      <c r="O2" s="116">
        <f t="shared" ref="O2:O9" si="1">IF(P2=0,0,Q2/P2)</f>
        <v>0</v>
      </c>
      <c r="P2" s="113">
        <v>0</v>
      </c>
      <c r="Q2" s="97">
        <v>0</v>
      </c>
    </row>
    <row r="3" spans="1:17" x14ac:dyDescent="0.4">
      <c r="A3" s="21" t="s">
        <v>8</v>
      </c>
      <c r="B3" s="145">
        <v>0</v>
      </c>
      <c r="C3" s="146"/>
      <c r="E3" s="59" t="s">
        <v>62</v>
      </c>
      <c r="F3" s="56" t="s">
        <v>22</v>
      </c>
      <c r="G3" s="43">
        <v>0</v>
      </c>
      <c r="H3" s="128">
        <f t="shared" si="0"/>
        <v>0</v>
      </c>
      <c r="I3" s="90"/>
      <c r="N3" s="110" t="s">
        <v>121</v>
      </c>
      <c r="O3" s="117">
        <f t="shared" si="1"/>
        <v>0</v>
      </c>
      <c r="P3" s="114">
        <v>0</v>
      </c>
      <c r="Q3" s="98">
        <v>0</v>
      </c>
    </row>
    <row r="4" spans="1:17" x14ac:dyDescent="0.4">
      <c r="A4" s="21" t="s">
        <v>6</v>
      </c>
      <c r="B4" s="147">
        <v>0</v>
      </c>
      <c r="C4" s="148"/>
      <c r="E4" s="59" t="s">
        <v>63</v>
      </c>
      <c r="F4" s="56" t="s">
        <v>23</v>
      </c>
      <c r="G4" s="43">
        <v>0</v>
      </c>
      <c r="H4" s="128">
        <f t="shared" si="0"/>
        <v>0</v>
      </c>
      <c r="I4" s="90"/>
      <c r="N4" s="110" t="s">
        <v>122</v>
      </c>
      <c r="O4" s="117">
        <f t="shared" si="1"/>
        <v>0</v>
      </c>
      <c r="P4" s="114">
        <v>0</v>
      </c>
      <c r="Q4" s="98">
        <v>0</v>
      </c>
    </row>
    <row r="5" spans="1:17" x14ac:dyDescent="0.4">
      <c r="A5" s="21" t="s">
        <v>7</v>
      </c>
      <c r="B5" s="149">
        <f>IF(B$2=0,0,B$4/B$2)</f>
        <v>0</v>
      </c>
      <c r="C5" s="150"/>
      <c r="E5" s="59" t="s">
        <v>64</v>
      </c>
      <c r="F5" s="56" t="s">
        <v>24</v>
      </c>
      <c r="G5" s="43">
        <v>0</v>
      </c>
      <c r="H5" s="128">
        <f t="shared" si="0"/>
        <v>0</v>
      </c>
      <c r="I5" s="90"/>
      <c r="N5" s="110" t="s">
        <v>166</v>
      </c>
      <c r="O5" s="117">
        <f t="shared" ref="O5" si="2">IF(P5=0,0,Q5/P5)</f>
        <v>0</v>
      </c>
      <c r="P5" s="114">
        <v>0</v>
      </c>
      <c r="Q5" s="98">
        <v>0</v>
      </c>
    </row>
    <row r="6" spans="1:17" x14ac:dyDescent="0.4">
      <c r="A6" s="21" t="s">
        <v>1</v>
      </c>
      <c r="B6" s="139">
        <f>IF(B$2=0,0,(B$7*1+B$8*2+B$9*3+B$10*4)/B$2)</f>
        <v>0</v>
      </c>
      <c r="C6" s="140"/>
      <c r="E6" s="59" t="s">
        <v>65</v>
      </c>
      <c r="F6" s="56" t="s">
        <v>12</v>
      </c>
      <c r="G6" s="43">
        <v>0</v>
      </c>
      <c r="H6" s="128">
        <f t="shared" si="0"/>
        <v>0</v>
      </c>
      <c r="I6" s="90"/>
      <c r="N6" s="110" t="s">
        <v>123</v>
      </c>
      <c r="O6" s="117">
        <f t="shared" si="1"/>
        <v>0</v>
      </c>
      <c r="P6" s="114">
        <v>0</v>
      </c>
      <c r="Q6" s="98">
        <v>0</v>
      </c>
    </row>
    <row r="7" spans="1:17" x14ac:dyDescent="0.4">
      <c r="A7" s="21" t="s">
        <v>2</v>
      </c>
      <c r="B7" s="14">
        <v>0</v>
      </c>
      <c r="C7" s="6">
        <f>IF(B$2=0,0,B7/B$2)</f>
        <v>0</v>
      </c>
      <c r="E7" s="59" t="s">
        <v>66</v>
      </c>
      <c r="F7" s="56" t="s">
        <v>25</v>
      </c>
      <c r="G7" s="43">
        <v>0</v>
      </c>
      <c r="H7" s="128">
        <f t="shared" si="0"/>
        <v>0</v>
      </c>
      <c r="I7" s="90"/>
      <c r="N7" s="110" t="s">
        <v>124</v>
      </c>
      <c r="O7" s="117">
        <f t="shared" si="1"/>
        <v>0</v>
      </c>
      <c r="P7" s="114">
        <v>0</v>
      </c>
      <c r="Q7" s="98">
        <v>0</v>
      </c>
    </row>
    <row r="8" spans="1:17" x14ac:dyDescent="0.4">
      <c r="A8" s="21" t="s">
        <v>3</v>
      </c>
      <c r="B8" s="14">
        <v>0</v>
      </c>
      <c r="C8" s="6">
        <f>IF(B$2=0,0,B8/B$2)</f>
        <v>0</v>
      </c>
      <c r="E8" s="59" t="s">
        <v>67</v>
      </c>
      <c r="F8" s="56" t="s">
        <v>26</v>
      </c>
      <c r="G8" s="43">
        <v>0</v>
      </c>
      <c r="H8" s="128">
        <f t="shared" si="0"/>
        <v>0</v>
      </c>
      <c r="I8" s="90"/>
      <c r="N8" s="110" t="s">
        <v>125</v>
      </c>
      <c r="O8" s="117">
        <f t="shared" ref="O8" si="3">IF(P8=0,0,Q8/P8)</f>
        <v>0</v>
      </c>
      <c r="P8" s="114">
        <v>0</v>
      </c>
      <c r="Q8" s="98">
        <v>0</v>
      </c>
    </row>
    <row r="9" spans="1:17" x14ac:dyDescent="0.4">
      <c r="A9" s="22" t="s">
        <v>4</v>
      </c>
      <c r="B9" s="15">
        <v>0</v>
      </c>
      <c r="C9" s="7">
        <f t="shared" ref="C9" si="4">IF(B$2=0,0,B9/B$2)</f>
        <v>0</v>
      </c>
      <c r="E9" s="59" t="s">
        <v>68</v>
      </c>
      <c r="F9" s="56" t="s">
        <v>27</v>
      </c>
      <c r="G9" s="43">
        <v>0</v>
      </c>
      <c r="H9" s="128">
        <f t="shared" si="0"/>
        <v>0</v>
      </c>
      <c r="I9" s="90"/>
      <c r="N9" s="111" t="s">
        <v>165</v>
      </c>
      <c r="O9" s="118">
        <f t="shared" si="1"/>
        <v>0</v>
      </c>
      <c r="P9" s="115">
        <v>0</v>
      </c>
      <c r="Q9" s="99">
        <v>0</v>
      </c>
    </row>
    <row r="10" spans="1:17" x14ac:dyDescent="0.4">
      <c r="A10" s="52" t="s">
        <v>162</v>
      </c>
      <c r="B10" s="44">
        <v>0</v>
      </c>
      <c r="C10" s="36">
        <f t="shared" ref="C10" si="5">IF(B$2=0,0,B10/B$2)</f>
        <v>0</v>
      </c>
      <c r="E10" s="59" t="s">
        <v>69</v>
      </c>
      <c r="F10" s="56" t="s">
        <v>28</v>
      </c>
      <c r="G10" s="43">
        <v>0</v>
      </c>
      <c r="H10" s="128">
        <f t="shared" si="0"/>
        <v>0</v>
      </c>
      <c r="I10" s="90"/>
      <c r="N10" s="39"/>
      <c r="O10" s="122"/>
      <c r="P10" s="106"/>
      <c r="Q10" s="104"/>
    </row>
    <row r="11" spans="1:17" x14ac:dyDescent="0.4">
      <c r="A11" s="52" t="s">
        <v>171</v>
      </c>
      <c r="B11" s="44">
        <f>トップ数+B8</f>
        <v>0</v>
      </c>
      <c r="C11" s="36">
        <f>IF(B$2=0,0,B11/B$2)</f>
        <v>0</v>
      </c>
      <c r="E11" s="59" t="s">
        <v>70</v>
      </c>
      <c r="F11" s="56" t="s">
        <v>29</v>
      </c>
      <c r="G11" s="43">
        <v>0</v>
      </c>
      <c r="H11" s="128">
        <f t="shared" si="0"/>
        <v>0</v>
      </c>
      <c r="I11" s="90"/>
      <c r="N11" s="108" t="s">
        <v>151</v>
      </c>
      <c r="O11" s="30" t="s">
        <v>113</v>
      </c>
      <c r="P11" s="112" t="s">
        <v>109</v>
      </c>
      <c r="Q11" s="100" t="s">
        <v>146</v>
      </c>
    </row>
    <row r="12" spans="1:17" x14ac:dyDescent="0.4">
      <c r="A12" s="22" t="s">
        <v>19</v>
      </c>
      <c r="B12" s="15">
        <v>0</v>
      </c>
      <c r="C12" s="7">
        <f>IF(B$2=0,0,B12/B$2)</f>
        <v>0</v>
      </c>
      <c r="E12" s="59" t="s">
        <v>71</v>
      </c>
      <c r="F12" s="56" t="s">
        <v>30</v>
      </c>
      <c r="G12" s="43">
        <v>0</v>
      </c>
      <c r="H12" s="128">
        <f t="shared" si="0"/>
        <v>0</v>
      </c>
      <c r="I12" s="90"/>
      <c r="N12" s="109" t="s">
        <v>152</v>
      </c>
      <c r="O12" s="119">
        <f>IF(P12=0,0,Q12/P12)</f>
        <v>0</v>
      </c>
      <c r="P12" s="113">
        <v>0</v>
      </c>
      <c r="Q12" s="101">
        <v>0</v>
      </c>
    </row>
    <row r="13" spans="1:17" x14ac:dyDescent="0.4">
      <c r="A13" s="52" t="s">
        <v>128</v>
      </c>
      <c r="B13" s="44">
        <v>0</v>
      </c>
      <c r="C13" s="36">
        <f>IF(B$2=0,0,B13/B$2)</f>
        <v>0</v>
      </c>
      <c r="E13" s="59" t="s">
        <v>72</v>
      </c>
      <c r="F13" s="56" t="s">
        <v>31</v>
      </c>
      <c r="G13" s="43">
        <v>0</v>
      </c>
      <c r="H13" s="128">
        <f t="shared" si="0"/>
        <v>0</v>
      </c>
      <c r="I13" s="90"/>
      <c r="N13" s="110" t="s">
        <v>153</v>
      </c>
      <c r="O13" s="120">
        <f>IF(P13=0,0,Q13/P13)</f>
        <v>0</v>
      </c>
      <c r="P13" s="114">
        <v>0</v>
      </c>
      <c r="Q13" s="102">
        <v>0</v>
      </c>
    </row>
    <row r="14" spans="1:17" x14ac:dyDescent="0.4">
      <c r="A14" s="53" t="s">
        <v>148</v>
      </c>
      <c r="B14" s="45">
        <v>0</v>
      </c>
      <c r="C14" s="38">
        <f>IF(B$2=0,0,B14/B$2)</f>
        <v>0</v>
      </c>
      <c r="E14" s="59" t="s">
        <v>73</v>
      </c>
      <c r="F14" s="56" t="s">
        <v>32</v>
      </c>
      <c r="G14" s="43">
        <v>0</v>
      </c>
      <c r="H14" s="128">
        <f t="shared" si="0"/>
        <v>0</v>
      </c>
      <c r="I14" s="90"/>
      <c r="N14" s="110" t="s">
        <v>163</v>
      </c>
      <c r="O14" s="120">
        <f>IF(P14=0,0,Q14/P14)</f>
        <v>0</v>
      </c>
      <c r="P14" s="114">
        <v>0</v>
      </c>
      <c r="Q14" s="102">
        <v>0</v>
      </c>
    </row>
    <row r="15" spans="1:17" x14ac:dyDescent="0.4">
      <c r="A15" s="24" t="s">
        <v>114</v>
      </c>
      <c r="B15" s="16">
        <v>0</v>
      </c>
      <c r="C15" s="11">
        <f>IF(B$3=0,0,B15/B$3)</f>
        <v>0</v>
      </c>
      <c r="E15" s="59" t="s">
        <v>74</v>
      </c>
      <c r="F15" s="56" t="s">
        <v>33</v>
      </c>
      <c r="G15" s="43">
        <v>0</v>
      </c>
      <c r="H15" s="128">
        <f t="shared" si="0"/>
        <v>0</v>
      </c>
      <c r="I15" s="90"/>
      <c r="N15" s="111" t="s">
        <v>164</v>
      </c>
      <c r="O15" s="121">
        <f>IF(P15=0,0,Q15/P15)</f>
        <v>0</v>
      </c>
      <c r="P15" s="115">
        <v>0</v>
      </c>
      <c r="Q15" s="103">
        <v>0</v>
      </c>
    </row>
    <row r="16" spans="1:17" x14ac:dyDescent="0.4">
      <c r="A16" s="21" t="s">
        <v>111</v>
      </c>
      <c r="B16" s="14">
        <v>0</v>
      </c>
      <c r="C16" s="6">
        <f>IF(B$3=0,0,B16/B$3)</f>
        <v>0</v>
      </c>
      <c r="E16" s="59" t="s">
        <v>75</v>
      </c>
      <c r="F16" s="56" t="s">
        <v>34</v>
      </c>
      <c r="G16" s="43">
        <v>0</v>
      </c>
      <c r="H16" s="128">
        <f t="shared" si="0"/>
        <v>0</v>
      </c>
      <c r="I16" s="90"/>
      <c r="N16" s="29"/>
      <c r="O16" s="105"/>
      <c r="P16" s="107"/>
      <c r="Q16" s="105"/>
    </row>
    <row r="17" spans="1:17" x14ac:dyDescent="0.4">
      <c r="A17" s="20" t="s">
        <v>116</v>
      </c>
      <c r="B17" s="13">
        <v>0</v>
      </c>
      <c r="C17" s="4">
        <f>IF(B$15=0,0,B17/B$15)</f>
        <v>0</v>
      </c>
      <c r="E17" s="59" t="s">
        <v>76</v>
      </c>
      <c r="F17" s="56" t="s">
        <v>35</v>
      </c>
      <c r="G17" s="43">
        <v>0</v>
      </c>
      <c r="H17" s="128">
        <f t="shared" si="0"/>
        <v>0</v>
      </c>
      <c r="I17" s="90"/>
      <c r="N17" s="108" t="s">
        <v>143</v>
      </c>
      <c r="O17" s="30" t="s">
        <v>144</v>
      </c>
      <c r="P17" s="112" t="s">
        <v>145</v>
      </c>
      <c r="Q17" s="100" t="s">
        <v>146</v>
      </c>
    </row>
    <row r="18" spans="1:17" x14ac:dyDescent="0.4">
      <c r="A18" s="20" t="s">
        <v>117</v>
      </c>
      <c r="B18" s="13">
        <v>0</v>
      </c>
      <c r="C18" s="4">
        <f>IF(B$16=0,0,B18/B$16)</f>
        <v>0</v>
      </c>
      <c r="E18" s="59" t="s">
        <v>168</v>
      </c>
      <c r="F18" s="56" t="s">
        <v>169</v>
      </c>
      <c r="G18" s="43">
        <v>0</v>
      </c>
      <c r="H18" s="128">
        <f t="shared" si="0"/>
        <v>0</v>
      </c>
      <c r="I18" s="90"/>
      <c r="N18" s="109"/>
      <c r="O18" s="119"/>
      <c r="P18" s="113"/>
      <c r="Q18" s="101"/>
    </row>
    <row r="19" spans="1:17" x14ac:dyDescent="0.4">
      <c r="A19" s="20" t="s">
        <v>10</v>
      </c>
      <c r="B19" s="13">
        <f>B21+B20</f>
        <v>0</v>
      </c>
      <c r="C19" s="4">
        <f>IF(B$3=0,0,B19/B$3)</f>
        <v>0</v>
      </c>
      <c r="E19" s="59" t="s">
        <v>77</v>
      </c>
      <c r="F19" s="56" t="s">
        <v>36</v>
      </c>
      <c r="G19" s="43">
        <v>0</v>
      </c>
      <c r="H19" s="128">
        <f t="shared" si="0"/>
        <v>0</v>
      </c>
      <c r="I19" s="90"/>
    </row>
    <row r="20" spans="1:17" x14ac:dyDescent="0.4">
      <c r="A20" s="21" t="s">
        <v>12</v>
      </c>
      <c r="B20" s="14">
        <v>0</v>
      </c>
      <c r="C20" s="6">
        <f>IF(B$19=0,0,B20/B$19)</f>
        <v>0</v>
      </c>
      <c r="E20" s="59" t="s">
        <v>78</v>
      </c>
      <c r="F20" s="56" t="s">
        <v>37</v>
      </c>
      <c r="G20" s="43">
        <v>0</v>
      </c>
      <c r="H20" s="128">
        <f t="shared" si="0"/>
        <v>0</v>
      </c>
      <c r="I20" s="90"/>
    </row>
    <row r="21" spans="1:17" x14ac:dyDescent="0.4">
      <c r="A21" s="21" t="s">
        <v>11</v>
      </c>
      <c r="B21" s="14">
        <v>0</v>
      </c>
      <c r="C21" s="6">
        <f>IF(B$19=0,0,B21/B$19)</f>
        <v>0</v>
      </c>
      <c r="E21" s="59" t="s">
        <v>79</v>
      </c>
      <c r="F21" s="56" t="s">
        <v>38</v>
      </c>
      <c r="G21" s="43">
        <v>0</v>
      </c>
      <c r="H21" s="128">
        <f t="shared" si="0"/>
        <v>0</v>
      </c>
      <c r="I21" s="90"/>
    </row>
    <row r="22" spans="1:17" x14ac:dyDescent="0.4">
      <c r="A22" s="51" t="s">
        <v>13</v>
      </c>
      <c r="B22" s="43">
        <v>0</v>
      </c>
      <c r="C22" s="35">
        <f>IF(B$3=0,0,B22/B$3)</f>
        <v>0</v>
      </c>
      <c r="E22" s="59" t="s">
        <v>80</v>
      </c>
      <c r="F22" s="56" t="s">
        <v>39</v>
      </c>
      <c r="G22" s="43">
        <v>0</v>
      </c>
      <c r="H22" s="128">
        <f t="shared" si="0"/>
        <v>0</v>
      </c>
      <c r="I22" s="90"/>
    </row>
    <row r="23" spans="1:17" x14ac:dyDescent="0.4">
      <c r="A23" s="51" t="s">
        <v>155</v>
      </c>
      <c r="B23" s="43">
        <v>0</v>
      </c>
      <c r="C23" s="130">
        <v>0</v>
      </c>
      <c r="E23" s="59" t="s">
        <v>81</v>
      </c>
      <c r="F23" s="56" t="s">
        <v>40</v>
      </c>
      <c r="G23" s="43">
        <v>0</v>
      </c>
      <c r="H23" s="128">
        <f t="shared" si="0"/>
        <v>0</v>
      </c>
      <c r="I23" s="90"/>
    </row>
    <row r="24" spans="1:17" x14ac:dyDescent="0.4">
      <c r="A24" s="21" t="s">
        <v>156</v>
      </c>
      <c r="B24" s="14">
        <v>0</v>
      </c>
      <c r="C24" s="130">
        <v>0</v>
      </c>
      <c r="E24" s="59" t="s">
        <v>82</v>
      </c>
      <c r="F24" s="56" t="s">
        <v>41</v>
      </c>
      <c r="G24" s="43">
        <v>0</v>
      </c>
      <c r="H24" s="128">
        <f t="shared" si="0"/>
        <v>0</v>
      </c>
      <c r="I24" s="90"/>
    </row>
    <row r="25" spans="1:17" x14ac:dyDescent="0.4">
      <c r="A25" s="21" t="s">
        <v>5</v>
      </c>
      <c r="B25" s="17">
        <f>IF(B$19=0,0,C25/B$19)</f>
        <v>0</v>
      </c>
      <c r="C25" s="8">
        <v>0</v>
      </c>
      <c r="E25" s="59" t="s">
        <v>83</v>
      </c>
      <c r="F25" s="56" t="s">
        <v>42</v>
      </c>
      <c r="G25" s="43">
        <v>0</v>
      </c>
      <c r="H25" s="128">
        <f t="shared" si="0"/>
        <v>0</v>
      </c>
      <c r="I25" s="90"/>
    </row>
    <row r="26" spans="1:17" x14ac:dyDescent="0.4">
      <c r="A26" s="23" t="s">
        <v>14</v>
      </c>
      <c r="B26" s="18">
        <f>IF(B$22=0,0,C26/B$22)</f>
        <v>0</v>
      </c>
      <c r="C26" s="12">
        <v>0</v>
      </c>
      <c r="E26" s="59" t="s">
        <v>84</v>
      </c>
      <c r="F26" s="56" t="s">
        <v>43</v>
      </c>
      <c r="G26" s="43">
        <v>0</v>
      </c>
      <c r="H26" s="128">
        <f t="shared" si="0"/>
        <v>0</v>
      </c>
      <c r="I26" s="90"/>
    </row>
    <row r="27" spans="1:17" x14ac:dyDescent="0.4">
      <c r="A27" s="86" t="s">
        <v>130</v>
      </c>
      <c r="B27" s="137">
        <v>0</v>
      </c>
      <c r="C27" s="138"/>
      <c r="E27" s="59" t="s">
        <v>85</v>
      </c>
      <c r="F27" s="56" t="s">
        <v>44</v>
      </c>
      <c r="G27" s="43">
        <v>0</v>
      </c>
      <c r="H27" s="128">
        <f t="shared" si="0"/>
        <v>0</v>
      </c>
      <c r="I27" s="90"/>
    </row>
    <row r="28" spans="1:17" x14ac:dyDescent="0.4">
      <c r="A28" s="54" t="s">
        <v>140</v>
      </c>
      <c r="B28" s="135">
        <v>-1000000</v>
      </c>
      <c r="C28" s="136"/>
      <c r="E28" s="59" t="s">
        <v>86</v>
      </c>
      <c r="F28" s="56" t="s">
        <v>45</v>
      </c>
      <c r="G28" s="43">
        <v>0</v>
      </c>
      <c r="H28" s="128">
        <f t="shared" si="0"/>
        <v>0</v>
      </c>
      <c r="I28" s="90"/>
    </row>
    <row r="29" spans="1:17" x14ac:dyDescent="0.4">
      <c r="A29" s="23" t="s">
        <v>131</v>
      </c>
      <c r="B29" s="28">
        <v>0</v>
      </c>
      <c r="C29" s="9">
        <f>IF(B$3=0,0,B29/B$3)</f>
        <v>0</v>
      </c>
      <c r="E29" s="59" t="s">
        <v>88</v>
      </c>
      <c r="F29" s="56" t="s">
        <v>47</v>
      </c>
      <c r="G29" s="43">
        <v>0</v>
      </c>
      <c r="H29" s="128">
        <f t="shared" si="0"/>
        <v>0</v>
      </c>
      <c r="I29" s="90"/>
    </row>
    <row r="30" spans="1:17" x14ac:dyDescent="0.4">
      <c r="E30" s="59" t="s">
        <v>89</v>
      </c>
      <c r="F30" s="56" t="s">
        <v>48</v>
      </c>
      <c r="G30" s="43">
        <v>0</v>
      </c>
      <c r="H30" s="128">
        <f t="shared" si="0"/>
        <v>0</v>
      </c>
      <c r="I30" s="90"/>
    </row>
    <row r="31" spans="1:17" x14ac:dyDescent="0.4">
      <c r="E31" s="59" t="s">
        <v>90</v>
      </c>
      <c r="F31" s="56" t="s">
        <v>49</v>
      </c>
      <c r="G31" s="43">
        <v>0</v>
      </c>
      <c r="H31" s="128">
        <f t="shared" si="0"/>
        <v>0</v>
      </c>
      <c r="I31" s="90"/>
    </row>
    <row r="32" spans="1:17" x14ac:dyDescent="0.4">
      <c r="E32" s="59" t="s">
        <v>91</v>
      </c>
      <c r="F32" s="56" t="s">
        <v>50</v>
      </c>
      <c r="G32" s="43">
        <v>0</v>
      </c>
      <c r="H32" s="128">
        <f t="shared" si="0"/>
        <v>0</v>
      </c>
      <c r="I32" s="90"/>
    </row>
    <row r="33" spans="5:9" x14ac:dyDescent="0.4">
      <c r="E33" s="59" t="s">
        <v>92</v>
      </c>
      <c r="F33" s="56" t="s">
        <v>51</v>
      </c>
      <c r="G33" s="43">
        <v>0</v>
      </c>
      <c r="H33" s="128">
        <f t="shared" si="0"/>
        <v>0</v>
      </c>
      <c r="I33" s="90"/>
    </row>
    <row r="34" spans="5:9" x14ac:dyDescent="0.4">
      <c r="E34" s="59" t="s">
        <v>93</v>
      </c>
      <c r="F34" s="56" t="s">
        <v>52</v>
      </c>
      <c r="G34" s="43">
        <v>0</v>
      </c>
      <c r="H34" s="128">
        <f t="shared" si="0"/>
        <v>0</v>
      </c>
      <c r="I34" s="90"/>
    </row>
    <row r="35" spans="5:9" x14ac:dyDescent="0.4">
      <c r="E35" s="59" t="s">
        <v>94</v>
      </c>
      <c r="F35" s="56" t="s">
        <v>53</v>
      </c>
      <c r="G35" s="43">
        <v>0</v>
      </c>
      <c r="H35" s="128">
        <f t="shared" si="0"/>
        <v>0</v>
      </c>
      <c r="I35" s="90"/>
    </row>
    <row r="36" spans="5:9" x14ac:dyDescent="0.4">
      <c r="E36" s="59" t="s">
        <v>95</v>
      </c>
      <c r="F36" s="56" t="s">
        <v>54</v>
      </c>
      <c r="G36" s="43">
        <v>0</v>
      </c>
      <c r="H36" s="128">
        <f t="shared" si="0"/>
        <v>0</v>
      </c>
      <c r="I36" s="90"/>
    </row>
    <row r="37" spans="5:9" x14ac:dyDescent="0.4">
      <c r="E37" s="59" t="s">
        <v>96</v>
      </c>
      <c r="F37" s="56" t="s">
        <v>55</v>
      </c>
      <c r="G37" s="43">
        <v>0</v>
      </c>
      <c r="H37" s="128">
        <f t="shared" si="0"/>
        <v>0</v>
      </c>
      <c r="I37" s="90"/>
    </row>
    <row r="38" spans="5:9" x14ac:dyDescent="0.4">
      <c r="E38" s="59" t="s">
        <v>97</v>
      </c>
      <c r="F38" s="56" t="s">
        <v>56</v>
      </c>
      <c r="G38" s="43">
        <v>0</v>
      </c>
      <c r="H38" s="128">
        <f t="shared" si="0"/>
        <v>0</v>
      </c>
      <c r="I38" s="90"/>
    </row>
    <row r="39" spans="5:9" x14ac:dyDescent="0.4">
      <c r="E39" s="59" t="s">
        <v>98</v>
      </c>
      <c r="F39" s="56" t="s">
        <v>57</v>
      </c>
      <c r="G39" s="43">
        <v>0</v>
      </c>
      <c r="H39" s="128">
        <f t="shared" si="0"/>
        <v>0</v>
      </c>
      <c r="I39" s="90"/>
    </row>
    <row r="40" spans="5:9" x14ac:dyDescent="0.4">
      <c r="E40" s="59" t="s">
        <v>99</v>
      </c>
      <c r="F40" s="56" t="s">
        <v>58</v>
      </c>
      <c r="G40" s="43">
        <v>0</v>
      </c>
      <c r="H40" s="128">
        <f t="shared" si="0"/>
        <v>0</v>
      </c>
      <c r="I40" s="90"/>
    </row>
    <row r="41" spans="5:9" x14ac:dyDescent="0.4">
      <c r="E41" s="59" t="s">
        <v>100</v>
      </c>
      <c r="F41" s="56" t="s">
        <v>59</v>
      </c>
      <c r="G41" s="43">
        <v>0</v>
      </c>
      <c r="H41" s="128">
        <f t="shared" si="0"/>
        <v>0</v>
      </c>
      <c r="I41" s="90"/>
    </row>
    <row r="42" spans="5:9" x14ac:dyDescent="0.4">
      <c r="E42" s="59" t="s">
        <v>102</v>
      </c>
      <c r="F42" s="56" t="s">
        <v>105</v>
      </c>
      <c r="G42" s="43">
        <v>0</v>
      </c>
      <c r="H42" s="128">
        <f t="shared" si="0"/>
        <v>0</v>
      </c>
      <c r="I42" s="90"/>
    </row>
    <row r="43" spans="5:9" x14ac:dyDescent="0.4">
      <c r="E43" s="59" t="s">
        <v>103</v>
      </c>
      <c r="F43" s="56" t="s">
        <v>106</v>
      </c>
      <c r="G43" s="43">
        <v>0</v>
      </c>
      <c r="H43" s="128">
        <f t="shared" si="0"/>
        <v>0</v>
      </c>
      <c r="I43" s="90"/>
    </row>
    <row r="44" spans="5:9" x14ac:dyDescent="0.4">
      <c r="E44" s="59" t="s">
        <v>104</v>
      </c>
      <c r="F44" s="56" t="s">
        <v>107</v>
      </c>
      <c r="G44" s="43">
        <v>0</v>
      </c>
      <c r="H44" s="128">
        <f t="shared" si="0"/>
        <v>0</v>
      </c>
      <c r="I44" s="90"/>
    </row>
    <row r="45" spans="5:9" x14ac:dyDescent="0.4">
      <c r="E45" s="60" t="s">
        <v>157</v>
      </c>
      <c r="F45" s="57" t="s">
        <v>158</v>
      </c>
      <c r="G45" s="45">
        <v>0</v>
      </c>
      <c r="H45" s="129">
        <f t="shared" si="0"/>
        <v>0</v>
      </c>
      <c r="I45" s="91"/>
    </row>
  </sheetData>
  <mergeCells count="8">
    <mergeCell ref="B28:C28"/>
    <mergeCell ref="B27:C27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C3"/>
  <sheetViews>
    <sheetView workbookViewId="0"/>
  </sheetViews>
  <sheetFormatPr defaultColWidth="9" defaultRowHeight="18.75" x14ac:dyDescent="0.4"/>
  <cols>
    <col min="1" max="1" width="19.25" style="26" customWidth="1"/>
    <col min="2" max="2" width="19.25" style="27" customWidth="1"/>
    <col min="3" max="16384" width="9" style="26"/>
  </cols>
  <sheetData>
    <row r="1" spans="1:3" x14ac:dyDescent="0.4">
      <c r="A1" s="25">
        <v>32874</v>
      </c>
      <c r="B1" s="25">
        <v>2958465</v>
      </c>
    </row>
    <row r="2" spans="1:3" x14ac:dyDescent="0.4">
      <c r="A2" s="26" t="s">
        <v>172</v>
      </c>
      <c r="B2" s="27">
        <v>43672.367581018516</v>
      </c>
      <c r="C2" s="26" t="s">
        <v>119</v>
      </c>
    </row>
    <row r="3" spans="1:3" x14ac:dyDescent="0.4">
      <c r="A3" s="26" t="s">
        <v>173</v>
      </c>
      <c r="B3" s="27">
        <v>43672.367581018516</v>
      </c>
      <c r="C3" s="26" t="s">
        <v>119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R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9" width="10.75" style="63"/>
    <col min="10" max="11" width="10.75" style="64"/>
    <col min="12" max="18" width="10.75" style="63"/>
    <col min="19" max="16384" width="10.75" style="66"/>
  </cols>
  <sheetData>
    <row r="1" spans="1:18" x14ac:dyDescent="0.4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</row>
    <row r="2" spans="1:18" x14ac:dyDescent="0.4">
      <c r="A2" s="66" t="s">
        <v>9</v>
      </c>
      <c r="B2" s="66" t="s">
        <v>6</v>
      </c>
      <c r="C2" s="66" t="s">
        <v>7</v>
      </c>
      <c r="D2" s="67" t="s">
        <v>16</v>
      </c>
      <c r="E2" s="66" t="s">
        <v>15</v>
      </c>
      <c r="F2" s="66" t="s">
        <v>150</v>
      </c>
      <c r="G2" s="66" t="s">
        <v>170</v>
      </c>
      <c r="H2" s="66" t="s">
        <v>135</v>
      </c>
      <c r="I2" s="66" t="s">
        <v>134</v>
      </c>
      <c r="J2" s="66" t="s">
        <v>5</v>
      </c>
      <c r="K2" s="66" t="s">
        <v>17</v>
      </c>
      <c r="L2" s="66" t="s">
        <v>18</v>
      </c>
      <c r="M2" s="66" t="s">
        <v>129</v>
      </c>
      <c r="N2" s="66" t="s">
        <v>115</v>
      </c>
      <c r="O2" s="66" t="s">
        <v>112</v>
      </c>
      <c r="P2" s="66" t="s">
        <v>118</v>
      </c>
      <c r="Q2" s="66" t="s">
        <v>136</v>
      </c>
      <c r="R2" s="66" t="s">
        <v>132</v>
      </c>
    </row>
    <row r="3" spans="1:18" x14ac:dyDescent="0.4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5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133</v>
      </c>
      <c r="B1">
        <v>8</v>
      </c>
    </row>
    <row r="2" spans="1:2" x14ac:dyDescent="0.4">
      <c r="A2" t="s">
        <v>161</v>
      </c>
      <c r="B2">
        <v>2</v>
      </c>
    </row>
    <row r="3" spans="1:2" x14ac:dyDescent="0.4">
      <c r="A3" t="s">
        <v>159</v>
      </c>
      <c r="B3">
        <v>2</v>
      </c>
    </row>
    <row r="4" spans="1:2" x14ac:dyDescent="0.4">
      <c r="A4" t="s">
        <v>160</v>
      </c>
      <c r="B4">
        <v>2</v>
      </c>
    </row>
    <row r="5" spans="1:2" x14ac:dyDescent="0.4">
      <c r="A5" t="s">
        <v>167</v>
      </c>
      <c r="B5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7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78" customWidth="1"/>
    <col min="2" max="2" width="10.75" style="79" customWidth="1"/>
    <col min="3" max="3" width="10.75" style="80" customWidth="1"/>
    <col min="4" max="4" width="10.75" style="81" customWidth="1"/>
    <col min="5" max="5" width="10.75" style="93" customWidth="1"/>
    <col min="6" max="6" width="10.75" style="81" customWidth="1"/>
    <col min="7" max="7" width="10.75" style="82" customWidth="1"/>
    <col min="8" max="8" width="10.75" style="81" customWidth="1"/>
    <col min="9" max="9" width="10.75" style="83" customWidth="1"/>
    <col min="10" max="10" width="10.75" style="81" customWidth="1"/>
    <col min="11" max="11" width="10.75" style="83" customWidth="1"/>
    <col min="12" max="12" width="10.75" style="81" customWidth="1"/>
    <col min="13" max="13" width="10.75" style="83" customWidth="1"/>
    <col min="14" max="14" width="10.75" style="81" customWidth="1"/>
    <col min="15" max="15" width="10.75" style="84" customWidth="1"/>
    <col min="16" max="16" width="10.75" style="81" customWidth="1"/>
    <col min="17" max="17" width="10.75" style="84" customWidth="1"/>
    <col min="18" max="18" width="10.75" style="81" customWidth="1"/>
    <col min="19" max="19" width="10.75" style="85" customWidth="1"/>
    <col min="20" max="20" width="10.75" style="81" customWidth="1"/>
    <col min="21" max="21" width="10.75" style="85" customWidth="1"/>
    <col min="22" max="22" width="10.75" style="81" customWidth="1"/>
    <col min="23" max="23" width="10.75" style="83" customWidth="1"/>
    <col min="24" max="24" width="10.75" style="81" customWidth="1"/>
    <col min="25" max="25" width="10.75" style="83" customWidth="1"/>
    <col min="26" max="26" width="10.75" style="81" customWidth="1"/>
    <col min="27" max="27" width="10.75" style="84" customWidth="1"/>
    <col min="28" max="28" width="10.75" style="81" customWidth="1"/>
    <col min="29" max="29" width="10.75" style="84" customWidth="1"/>
    <col min="30" max="30" width="10.75" style="81" customWidth="1"/>
    <col min="31" max="31" width="10.75" style="84" customWidth="1"/>
    <col min="32" max="32" width="10.75" style="81" customWidth="1"/>
    <col min="33" max="33" width="10.75" style="84" customWidth="1"/>
    <col min="34" max="34" width="10.75" style="81" customWidth="1"/>
    <col min="35" max="35" width="10.75" style="84" customWidth="1"/>
    <col min="36" max="36" width="10.75" style="81" customWidth="1"/>
    <col min="37" max="37" width="10.75" style="88" customWidth="1"/>
    <col min="38" max="16384" width="9" style="69"/>
  </cols>
  <sheetData>
    <row r="1" spans="1:37" x14ac:dyDescent="0.4">
      <c r="A1" s="68"/>
      <c r="B1" s="153" t="s">
        <v>6</v>
      </c>
      <c r="C1" s="154"/>
      <c r="D1" s="153" t="s">
        <v>7</v>
      </c>
      <c r="E1" s="154"/>
      <c r="F1" s="153" t="s">
        <v>16</v>
      </c>
      <c r="G1" s="154"/>
      <c r="H1" s="153" t="s">
        <v>15</v>
      </c>
      <c r="I1" s="154"/>
      <c r="J1" s="153" t="s">
        <v>150</v>
      </c>
      <c r="K1" s="154"/>
      <c r="L1" s="153" t="s">
        <v>170</v>
      </c>
      <c r="M1" s="154"/>
      <c r="N1" s="153" t="s">
        <v>137</v>
      </c>
      <c r="O1" s="154"/>
      <c r="P1" s="153" t="s">
        <v>138</v>
      </c>
      <c r="Q1" s="154"/>
      <c r="R1" s="153" t="s">
        <v>5</v>
      </c>
      <c r="S1" s="154"/>
      <c r="T1" s="153" t="s">
        <v>17</v>
      </c>
      <c r="U1" s="154"/>
      <c r="V1" s="153" t="s">
        <v>18</v>
      </c>
      <c r="W1" s="154"/>
      <c r="X1" s="153" t="s">
        <v>129</v>
      </c>
      <c r="Y1" s="154"/>
      <c r="Z1" s="153" t="s">
        <v>115</v>
      </c>
      <c r="AA1" s="154"/>
      <c r="AB1" s="153" t="s">
        <v>112</v>
      </c>
      <c r="AC1" s="154"/>
      <c r="AD1" s="153" t="s">
        <v>118</v>
      </c>
      <c r="AE1" s="154"/>
      <c r="AF1" s="153" t="s">
        <v>139</v>
      </c>
      <c r="AG1" s="154"/>
      <c r="AH1" s="153" t="s">
        <v>132</v>
      </c>
      <c r="AI1" s="154"/>
      <c r="AJ1" s="153" t="s">
        <v>141</v>
      </c>
      <c r="AK1" s="154"/>
    </row>
    <row r="2" spans="1:37" x14ac:dyDescent="0.4">
      <c r="A2" s="68" t="s">
        <v>149</v>
      </c>
      <c r="B2" s="155"/>
      <c r="C2" s="156"/>
      <c r="D2" s="155"/>
      <c r="E2" s="156"/>
      <c r="F2" s="151" t="s">
        <v>174</v>
      </c>
      <c r="G2" s="152"/>
      <c r="H2" s="151" t="s">
        <v>174</v>
      </c>
      <c r="I2" s="152"/>
      <c r="J2" s="151" t="s">
        <v>174</v>
      </c>
      <c r="K2" s="152"/>
      <c r="L2" s="151" t="s">
        <v>174</v>
      </c>
      <c r="M2" s="152"/>
      <c r="N2" s="151" t="s">
        <v>174</v>
      </c>
      <c r="O2" s="152"/>
      <c r="P2" s="151" t="s">
        <v>174</v>
      </c>
      <c r="Q2" s="152"/>
      <c r="R2" s="151" t="s">
        <v>174</v>
      </c>
      <c r="S2" s="152"/>
      <c r="T2" s="151" t="s">
        <v>174</v>
      </c>
      <c r="U2" s="152"/>
      <c r="V2" s="151" t="s">
        <v>174</v>
      </c>
      <c r="W2" s="152"/>
      <c r="X2" s="151" t="s">
        <v>174</v>
      </c>
      <c r="Y2" s="152"/>
      <c r="Z2" s="151" t="s">
        <v>174</v>
      </c>
      <c r="AA2" s="152"/>
      <c r="AB2" s="151" t="s">
        <v>174</v>
      </c>
      <c r="AC2" s="152"/>
      <c r="AD2" s="151" t="s">
        <v>174</v>
      </c>
      <c r="AE2" s="152"/>
      <c r="AF2" s="151" t="s">
        <v>174</v>
      </c>
      <c r="AG2" s="152"/>
      <c r="AH2" s="151" t="s">
        <v>174</v>
      </c>
      <c r="AI2" s="152"/>
      <c r="AJ2" s="151" t="s">
        <v>174</v>
      </c>
      <c r="AK2" s="152"/>
    </row>
    <row r="3" spans="1:37" x14ac:dyDescent="0.4">
      <c r="A3" s="70">
        <v>1</v>
      </c>
      <c r="B3" s="71" t="s">
        <v>159</v>
      </c>
      <c r="C3" s="72">
        <v>162.6</v>
      </c>
      <c r="D3" s="73" t="s">
        <v>159</v>
      </c>
      <c r="E3" s="92">
        <v>81.3</v>
      </c>
      <c r="F3" s="73" t="s">
        <v>159</v>
      </c>
      <c r="G3" s="74">
        <v>1</v>
      </c>
      <c r="H3" s="73" t="s">
        <v>159</v>
      </c>
      <c r="I3" s="75">
        <v>1</v>
      </c>
      <c r="J3" s="73" t="s">
        <v>161</v>
      </c>
      <c r="K3" s="75">
        <v>0</v>
      </c>
      <c r="L3" s="73" t="s">
        <v>159</v>
      </c>
      <c r="M3" s="75">
        <v>1</v>
      </c>
      <c r="N3" s="73" t="s">
        <v>167</v>
      </c>
      <c r="O3" s="76">
        <v>0.1</v>
      </c>
      <c r="P3" s="73" t="s">
        <v>159</v>
      </c>
      <c r="Q3" s="76">
        <v>0.1</v>
      </c>
      <c r="R3" s="73" t="s">
        <v>159</v>
      </c>
      <c r="S3" s="77">
        <v>28000</v>
      </c>
      <c r="T3" s="73" t="s">
        <v>167</v>
      </c>
      <c r="U3" s="77">
        <v>-64000</v>
      </c>
      <c r="V3" s="73" t="s">
        <v>167</v>
      </c>
      <c r="W3" s="75">
        <v>1</v>
      </c>
      <c r="X3" s="73" t="s">
        <v>159</v>
      </c>
      <c r="Y3" s="75">
        <v>1</v>
      </c>
      <c r="Z3" s="73" t="s">
        <v>133</v>
      </c>
      <c r="AA3" s="76">
        <v>0.2</v>
      </c>
      <c r="AB3" s="73" t="s">
        <v>160</v>
      </c>
      <c r="AC3" s="76">
        <v>0.1</v>
      </c>
      <c r="AD3" s="73" t="s">
        <v>159</v>
      </c>
      <c r="AE3" s="76">
        <v>0.5</v>
      </c>
      <c r="AF3" s="73" t="s">
        <v>160</v>
      </c>
      <c r="AG3" s="76">
        <v>1</v>
      </c>
      <c r="AH3" s="73" t="s">
        <v>161</v>
      </c>
      <c r="AI3" s="76">
        <v>1</v>
      </c>
      <c r="AJ3" s="73" t="s">
        <v>133</v>
      </c>
      <c r="AK3" s="87">
        <v>91300</v>
      </c>
    </row>
    <row r="4" spans="1:37" x14ac:dyDescent="0.4">
      <c r="A4" s="78">
        <v>2</v>
      </c>
      <c r="B4" s="79" t="s">
        <v>160</v>
      </c>
      <c r="C4" s="80">
        <v>62.2</v>
      </c>
      <c r="D4" s="81" t="s">
        <v>160</v>
      </c>
      <c r="E4" s="93">
        <v>31.1</v>
      </c>
      <c r="F4" s="81" t="s">
        <v>160</v>
      </c>
      <c r="G4" s="82">
        <v>2</v>
      </c>
      <c r="H4" s="81" t="s">
        <v>133</v>
      </c>
      <c r="I4" s="83">
        <v>0.25</v>
      </c>
      <c r="J4" s="81" t="s">
        <v>159</v>
      </c>
      <c r="K4" s="83">
        <v>0</v>
      </c>
      <c r="L4" s="81" t="s">
        <v>160</v>
      </c>
      <c r="M4" s="83">
        <v>1</v>
      </c>
      <c r="N4" s="81" t="s">
        <v>161</v>
      </c>
      <c r="O4" s="84">
        <v>0.2</v>
      </c>
      <c r="P4" s="81" t="s">
        <v>160</v>
      </c>
      <c r="Q4" s="84">
        <v>0.1</v>
      </c>
      <c r="R4" s="81" t="s">
        <v>133</v>
      </c>
      <c r="S4" s="85">
        <v>22310</v>
      </c>
      <c r="T4" s="81" t="s">
        <v>133</v>
      </c>
      <c r="U4" s="85">
        <v>-26666.666666666668</v>
      </c>
      <c r="V4" s="81" t="s">
        <v>133</v>
      </c>
      <c r="W4" s="83">
        <v>0.25</v>
      </c>
      <c r="X4" s="81" t="s">
        <v>133</v>
      </c>
      <c r="Y4" s="83">
        <v>0.25</v>
      </c>
      <c r="Z4" s="81" t="s">
        <v>161</v>
      </c>
      <c r="AA4" s="84">
        <v>0.2</v>
      </c>
      <c r="AB4" s="81" t="s">
        <v>167</v>
      </c>
      <c r="AC4" s="84">
        <v>0.1</v>
      </c>
      <c r="AD4" s="81" t="s">
        <v>160</v>
      </c>
      <c r="AE4" s="84">
        <v>0.5</v>
      </c>
      <c r="AF4" s="81" t="s">
        <v>133</v>
      </c>
      <c r="AG4" s="84">
        <v>0.5</v>
      </c>
      <c r="AH4" s="81" t="s">
        <v>167</v>
      </c>
      <c r="AI4" s="84">
        <v>1</v>
      </c>
      <c r="AJ4" s="81" t="s">
        <v>159</v>
      </c>
      <c r="AK4" s="88">
        <v>91300</v>
      </c>
    </row>
    <row r="5" spans="1:37" x14ac:dyDescent="0.4">
      <c r="A5" s="78">
        <v>3</v>
      </c>
      <c r="B5" s="79" t="s">
        <v>133</v>
      </c>
      <c r="C5" s="80">
        <v>0</v>
      </c>
      <c r="D5" s="81" t="s">
        <v>133</v>
      </c>
      <c r="E5" s="93">
        <v>0</v>
      </c>
      <c r="F5" s="81" t="s">
        <v>133</v>
      </c>
      <c r="G5" s="82">
        <v>2.5</v>
      </c>
      <c r="H5" s="81" t="s">
        <v>161</v>
      </c>
      <c r="I5" s="83">
        <v>0</v>
      </c>
      <c r="J5" s="81" t="s">
        <v>160</v>
      </c>
      <c r="K5" s="83">
        <v>0</v>
      </c>
      <c r="L5" s="81" t="s">
        <v>133</v>
      </c>
      <c r="M5" s="83">
        <v>0.5</v>
      </c>
      <c r="N5" s="81" t="s">
        <v>133</v>
      </c>
      <c r="O5" s="84">
        <v>0.25</v>
      </c>
      <c r="P5" s="81" t="s">
        <v>167</v>
      </c>
      <c r="Q5" s="84">
        <v>0.1</v>
      </c>
      <c r="R5" s="81" t="s">
        <v>160</v>
      </c>
      <c r="S5" s="85">
        <v>20000</v>
      </c>
      <c r="T5" s="81" t="s">
        <v>159</v>
      </c>
      <c r="U5" s="85">
        <v>-8000</v>
      </c>
      <c r="V5" s="81" t="s">
        <v>161</v>
      </c>
      <c r="W5" s="83">
        <v>0</v>
      </c>
      <c r="X5" s="81" t="s">
        <v>161</v>
      </c>
      <c r="Y5" s="83">
        <v>0</v>
      </c>
      <c r="Z5" s="81" t="s">
        <v>159</v>
      </c>
      <c r="AA5" s="84">
        <v>0.2</v>
      </c>
      <c r="AB5" s="81" t="s">
        <v>133</v>
      </c>
      <c r="AC5" s="84">
        <v>0.05</v>
      </c>
      <c r="AD5" s="81" t="s">
        <v>167</v>
      </c>
      <c r="AE5" s="84">
        <v>0.5</v>
      </c>
      <c r="AF5" s="81" t="s">
        <v>161</v>
      </c>
      <c r="AG5" s="84">
        <v>0</v>
      </c>
      <c r="AH5" s="81" t="s">
        <v>133</v>
      </c>
      <c r="AI5" s="84">
        <v>0.7</v>
      </c>
      <c r="AJ5" s="81" t="s">
        <v>160</v>
      </c>
      <c r="AK5" s="88">
        <v>51100</v>
      </c>
    </row>
    <row r="6" spans="1:37" x14ac:dyDescent="0.4">
      <c r="A6" s="78">
        <v>4</v>
      </c>
      <c r="B6" s="79" t="s">
        <v>161</v>
      </c>
      <c r="C6" s="80">
        <v>-30</v>
      </c>
      <c r="D6" s="81" t="s">
        <v>161</v>
      </c>
      <c r="E6" s="93">
        <v>-15</v>
      </c>
      <c r="F6" s="81" t="s">
        <v>161</v>
      </c>
      <c r="G6" s="82">
        <v>3</v>
      </c>
      <c r="H6" s="81" t="s">
        <v>160</v>
      </c>
      <c r="I6" s="83">
        <v>0</v>
      </c>
      <c r="J6" s="81" t="s">
        <v>133</v>
      </c>
      <c r="K6" s="83">
        <v>0.25</v>
      </c>
      <c r="L6" s="81" t="s">
        <v>161</v>
      </c>
      <c r="M6" s="83">
        <v>0</v>
      </c>
      <c r="N6" s="81" t="s">
        <v>160</v>
      </c>
      <c r="O6" s="84">
        <v>0.3</v>
      </c>
      <c r="P6" s="81" t="s">
        <v>133</v>
      </c>
      <c r="Q6" s="84">
        <v>7.4999999999999997E-2</v>
      </c>
      <c r="R6" s="81" t="s">
        <v>167</v>
      </c>
      <c r="S6" s="85">
        <v>18000</v>
      </c>
      <c r="T6" s="81" t="s">
        <v>160</v>
      </c>
      <c r="U6" s="85">
        <v>-8000</v>
      </c>
      <c r="V6" s="81" t="s">
        <v>159</v>
      </c>
      <c r="W6" s="83">
        <v>0</v>
      </c>
      <c r="X6" s="81" t="s">
        <v>160</v>
      </c>
      <c r="Y6" s="83">
        <v>0</v>
      </c>
      <c r="Z6" s="81" t="s">
        <v>160</v>
      </c>
      <c r="AA6" s="84">
        <v>0.2</v>
      </c>
      <c r="AB6" s="81" t="s">
        <v>161</v>
      </c>
      <c r="AC6" s="84">
        <v>0</v>
      </c>
      <c r="AD6" s="81" t="s">
        <v>133</v>
      </c>
      <c r="AE6" s="84">
        <v>0.375</v>
      </c>
      <c r="AF6" s="81" t="s">
        <v>159</v>
      </c>
      <c r="AG6" s="84">
        <v>0</v>
      </c>
      <c r="AH6" s="81" t="s">
        <v>160</v>
      </c>
      <c r="AI6" s="84">
        <v>0.66666666666666663</v>
      </c>
      <c r="AJ6" s="81" t="s">
        <v>161</v>
      </c>
      <c r="AK6" s="88">
        <v>15000</v>
      </c>
    </row>
    <row r="7" spans="1:37" x14ac:dyDescent="0.4">
      <c r="A7" s="78">
        <v>5</v>
      </c>
      <c r="B7" s="79" t="s">
        <v>167</v>
      </c>
      <c r="C7" s="80">
        <v>-194.8</v>
      </c>
      <c r="D7" s="81" t="s">
        <v>167</v>
      </c>
      <c r="E7" s="93">
        <v>-97.4</v>
      </c>
      <c r="F7" s="81" t="s">
        <v>167</v>
      </c>
      <c r="G7" s="82">
        <v>4</v>
      </c>
      <c r="H7" s="81" t="s">
        <v>167</v>
      </c>
      <c r="I7" s="83">
        <v>0</v>
      </c>
      <c r="J7" s="81" t="s">
        <v>167</v>
      </c>
      <c r="K7" s="83">
        <v>1</v>
      </c>
      <c r="L7" s="81" t="s">
        <v>167</v>
      </c>
      <c r="M7" s="83">
        <v>0</v>
      </c>
      <c r="N7" s="81" t="s">
        <v>159</v>
      </c>
      <c r="O7" s="84">
        <v>0.4</v>
      </c>
      <c r="P7" s="81" t="s">
        <v>161</v>
      </c>
      <c r="Q7" s="84">
        <v>0</v>
      </c>
      <c r="R7" s="81" t="s">
        <v>161</v>
      </c>
      <c r="S7" s="85">
        <v>16550</v>
      </c>
      <c r="T7" s="81" t="s">
        <v>161</v>
      </c>
      <c r="U7" s="85">
        <v>0</v>
      </c>
      <c r="V7" s="81" t="s">
        <v>160</v>
      </c>
      <c r="W7" s="83">
        <v>0</v>
      </c>
      <c r="X7" s="81" t="s">
        <v>167</v>
      </c>
      <c r="Y7" s="83">
        <v>0</v>
      </c>
      <c r="Z7" s="81" t="s">
        <v>167</v>
      </c>
      <c r="AA7" s="84">
        <v>0.2</v>
      </c>
      <c r="AB7" s="81" t="s">
        <v>159</v>
      </c>
      <c r="AC7" s="84">
        <v>0</v>
      </c>
      <c r="AD7" s="81" t="s">
        <v>161</v>
      </c>
      <c r="AE7" s="84">
        <v>0</v>
      </c>
      <c r="AF7" s="81" t="s">
        <v>167</v>
      </c>
      <c r="AG7" s="84">
        <v>0</v>
      </c>
      <c r="AH7" s="81" t="s">
        <v>159</v>
      </c>
      <c r="AI7" s="84">
        <v>0.5</v>
      </c>
      <c r="AJ7" s="81" t="s">
        <v>167</v>
      </c>
      <c r="AK7" s="88">
        <v>-57400</v>
      </c>
    </row>
  </sheetData>
  <sortState xmlns:xlrd2="http://schemas.microsoft.com/office/spreadsheetml/2017/richdata2" ref="AJ3:AK30">
    <sortCondition descending="1" ref="AK1"/>
  </sortState>
  <mergeCells count="36">
    <mergeCell ref="AH1:AI1"/>
    <mergeCell ref="X1:Y1"/>
    <mergeCell ref="Z1:AA1"/>
    <mergeCell ref="AB1:AC1"/>
    <mergeCell ref="AD1:AE1"/>
    <mergeCell ref="AF1:AG1"/>
    <mergeCell ref="B1:C1"/>
    <mergeCell ref="D1:E1"/>
    <mergeCell ref="F1:G1"/>
    <mergeCell ref="H1:I1"/>
    <mergeCell ref="N1:O1"/>
    <mergeCell ref="J1:K1"/>
    <mergeCell ref="L1:M1"/>
    <mergeCell ref="B2:C2"/>
    <mergeCell ref="D2:E2"/>
    <mergeCell ref="F2:G2"/>
    <mergeCell ref="H2:I2"/>
    <mergeCell ref="N2:O2"/>
    <mergeCell ref="J2:K2"/>
    <mergeCell ref="L2:M2"/>
    <mergeCell ref="AH2:AI2"/>
    <mergeCell ref="P1:Q1"/>
    <mergeCell ref="AJ2:AK2"/>
    <mergeCell ref="Z2:AA2"/>
    <mergeCell ref="AB2:AC2"/>
    <mergeCell ref="AD2:AE2"/>
    <mergeCell ref="AF2:AG2"/>
    <mergeCell ref="P2:Q2"/>
    <mergeCell ref="R2:S2"/>
    <mergeCell ref="T2:U2"/>
    <mergeCell ref="V2:W2"/>
    <mergeCell ref="X2:Y2"/>
    <mergeCell ref="AJ1:AK1"/>
    <mergeCell ref="R1:S1"/>
    <mergeCell ref="T1:U1"/>
    <mergeCell ref="V1:W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AC69EE-40F4-4AAE-A8D0-80C2EB4FFD1A}">
  <sheetPr codeName="Sheet6"/>
  <dimension ref="A1:R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9" width="10.75" style="63"/>
    <col min="10" max="11" width="10.75" style="64"/>
    <col min="12" max="18" width="10.75" style="63"/>
    <col min="19" max="16384" width="10.75" style="66"/>
  </cols>
  <sheetData>
    <row r="1" spans="1:18" x14ac:dyDescent="0.4">
      <c r="A1" s="66" t="s">
        <v>133</v>
      </c>
      <c r="B1" s="66" t="s">
        <v>133</v>
      </c>
      <c r="C1" s="66" t="s">
        <v>133</v>
      </c>
      <c r="D1" s="67" t="s">
        <v>133</v>
      </c>
      <c r="E1" s="66" t="s">
        <v>133</v>
      </c>
      <c r="F1" s="66" t="s">
        <v>133</v>
      </c>
      <c r="G1" s="66" t="s">
        <v>133</v>
      </c>
      <c r="H1" s="66" t="s">
        <v>133</v>
      </c>
      <c r="I1" s="66" t="s">
        <v>133</v>
      </c>
      <c r="J1" s="66" t="s">
        <v>133</v>
      </c>
      <c r="K1" s="66" t="s">
        <v>133</v>
      </c>
      <c r="L1" s="66" t="s">
        <v>133</v>
      </c>
      <c r="M1" s="66" t="s">
        <v>133</v>
      </c>
      <c r="N1" s="66" t="s">
        <v>133</v>
      </c>
      <c r="O1" s="66" t="s">
        <v>133</v>
      </c>
      <c r="P1" s="66" t="s">
        <v>133</v>
      </c>
      <c r="Q1" s="66" t="s">
        <v>133</v>
      </c>
      <c r="R1" s="66" t="s">
        <v>133</v>
      </c>
    </row>
    <row r="2" spans="1:18" x14ac:dyDescent="0.4">
      <c r="A2" s="66" t="s">
        <v>9</v>
      </c>
      <c r="B2" s="66" t="s">
        <v>6</v>
      </c>
      <c r="C2" s="66" t="s">
        <v>7</v>
      </c>
      <c r="D2" s="67" t="s">
        <v>16</v>
      </c>
      <c r="E2" s="66" t="s">
        <v>15</v>
      </c>
      <c r="F2" s="66" t="s">
        <v>150</v>
      </c>
      <c r="G2" s="66" t="s">
        <v>170</v>
      </c>
      <c r="H2" s="66" t="s">
        <v>135</v>
      </c>
      <c r="I2" s="66" t="s">
        <v>134</v>
      </c>
      <c r="J2" s="66" t="s">
        <v>5</v>
      </c>
      <c r="K2" s="66" t="s">
        <v>17</v>
      </c>
      <c r="L2" s="66" t="s">
        <v>18</v>
      </c>
      <c r="M2" s="66" t="s">
        <v>129</v>
      </c>
      <c r="N2" s="66" t="s">
        <v>115</v>
      </c>
      <c r="O2" s="66" t="s">
        <v>112</v>
      </c>
      <c r="P2" s="66" t="s">
        <v>118</v>
      </c>
      <c r="Q2" s="66" t="s">
        <v>136</v>
      </c>
      <c r="R2" s="66" t="s">
        <v>132</v>
      </c>
    </row>
    <row r="3" spans="1:18" x14ac:dyDescent="0.4">
      <c r="A3" s="65">
        <v>0</v>
      </c>
      <c r="B3" s="62">
        <v>0</v>
      </c>
    </row>
    <row r="4" spans="1:18" x14ac:dyDescent="0.4">
      <c r="A4" s="65">
        <v>1</v>
      </c>
      <c r="B4" s="62">
        <v>97.4</v>
      </c>
      <c r="C4" s="62">
        <v>32.466666666666669</v>
      </c>
      <c r="D4" s="67">
        <v>2</v>
      </c>
      <c r="E4" s="63">
        <v>0.33333333333333331</v>
      </c>
      <c r="F4" s="63">
        <v>0</v>
      </c>
      <c r="G4" s="63">
        <v>0.66666666666666663</v>
      </c>
      <c r="H4" s="63">
        <v>0.3</v>
      </c>
      <c r="I4" s="63">
        <v>6.6666666666666666E-2</v>
      </c>
      <c r="J4" s="64">
        <v>22788.888888888891</v>
      </c>
      <c r="K4" s="64">
        <v>-8000</v>
      </c>
      <c r="L4" s="63">
        <v>0</v>
      </c>
      <c r="M4" s="63">
        <v>0.33333333333333331</v>
      </c>
      <c r="N4" s="63">
        <v>0.2</v>
      </c>
      <c r="O4" s="63">
        <v>3.3333333333333333E-2</v>
      </c>
      <c r="P4" s="63">
        <v>0.33333333333333331</v>
      </c>
      <c r="Q4" s="63">
        <v>1</v>
      </c>
      <c r="R4" s="63">
        <v>0.66666666666666663</v>
      </c>
    </row>
    <row r="5" spans="1:18" x14ac:dyDescent="0.4">
      <c r="A5" s="65">
        <v>2</v>
      </c>
      <c r="B5" s="62">
        <v>97.4</v>
      </c>
      <c r="C5" s="62">
        <v>13.914285714285715</v>
      </c>
      <c r="D5" s="67">
        <v>2.2857142857142856</v>
      </c>
      <c r="E5" s="63">
        <v>0.2857142857142857</v>
      </c>
      <c r="F5" s="63">
        <v>0.14285714285714285</v>
      </c>
      <c r="G5" s="63">
        <v>0.5714285714285714</v>
      </c>
      <c r="H5" s="63">
        <v>0.27142857142857141</v>
      </c>
      <c r="I5" s="63">
        <v>7.1428571428571425E-2</v>
      </c>
      <c r="J5" s="64">
        <v>22536.842105263157</v>
      </c>
      <c r="K5" s="64">
        <v>-19200</v>
      </c>
      <c r="L5" s="63">
        <v>0.14285714285714285</v>
      </c>
      <c r="M5" s="63">
        <v>0.2857142857142857</v>
      </c>
      <c r="N5" s="63">
        <v>0.2</v>
      </c>
      <c r="O5" s="63">
        <v>4.2857142857142858E-2</v>
      </c>
      <c r="P5" s="63">
        <v>0.35714285714285715</v>
      </c>
      <c r="Q5" s="63">
        <v>0.66666666666666663</v>
      </c>
      <c r="R5" s="63">
        <v>0.68421052631578949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3BA932-0877-4894-928D-12A42E9C7D4D}">
  <sheetPr codeName="Sheet4"/>
  <dimension ref="A1:Q47"/>
  <sheetViews>
    <sheetView showGridLines="0" zoomScaleNormal="100" workbookViewId="0"/>
  </sheetViews>
  <sheetFormatPr defaultColWidth="9" defaultRowHeight="18.75" x14ac:dyDescent="0.4"/>
  <cols>
    <col min="1" max="1" width="13" style="29" customWidth="1"/>
    <col min="2" max="3" width="9" style="29" customWidth="1"/>
    <col min="4" max="4" width="3.625" style="29" customWidth="1"/>
    <col min="5" max="5" width="3.625" style="123" bestFit="1" customWidth="1"/>
    <col min="6" max="6" width="11" style="39" bestFit="1" customWidth="1"/>
    <col min="7" max="9" width="9" style="29" customWidth="1"/>
    <col min="10" max="10" width="3.625" style="29" customWidth="1"/>
    <col min="11" max="11" width="3.5" style="34" customWidth="1"/>
    <col min="12" max="12" width="9" style="95" customWidth="1"/>
    <col min="13" max="13" width="3.625" style="29" customWidth="1"/>
    <col min="14" max="14" width="9" style="110" customWidth="1"/>
    <col min="15" max="15" width="9" style="120" customWidth="1"/>
    <col min="16" max="16" width="9" style="114" customWidth="1"/>
    <col min="17" max="17" width="3.625" style="102" customWidth="1"/>
    <col min="18" max="16384" width="9" style="29"/>
  </cols>
  <sheetData>
    <row r="1" spans="1:17" x14ac:dyDescent="0.4">
      <c r="A1" s="49" t="s">
        <v>0</v>
      </c>
      <c r="B1" s="141" t="s">
        <v>133</v>
      </c>
      <c r="C1" s="142"/>
      <c r="E1" s="124" t="s">
        <v>154</v>
      </c>
      <c r="F1" s="134" t="s">
        <v>108</v>
      </c>
      <c r="G1" s="133" t="s">
        <v>109</v>
      </c>
      <c r="H1" s="125" t="s">
        <v>110</v>
      </c>
      <c r="I1" s="134" t="s">
        <v>142</v>
      </c>
      <c r="K1" s="30" t="s">
        <v>20</v>
      </c>
      <c r="L1" s="31" t="s">
        <v>113</v>
      </c>
      <c r="M1" s="126"/>
      <c r="N1" s="108" t="s">
        <v>126</v>
      </c>
      <c r="O1" s="30" t="s">
        <v>127</v>
      </c>
      <c r="P1" s="112" t="s">
        <v>109</v>
      </c>
      <c r="Q1" s="96" t="s">
        <v>146</v>
      </c>
    </row>
    <row r="2" spans="1:17" x14ac:dyDescent="0.4">
      <c r="A2" s="50" t="s">
        <v>9</v>
      </c>
      <c r="B2" s="143">
        <v>8</v>
      </c>
      <c r="C2" s="144"/>
      <c r="E2" s="58" t="s">
        <v>61</v>
      </c>
      <c r="F2" s="55" t="s">
        <v>21</v>
      </c>
      <c r="G2" s="42">
        <v>2</v>
      </c>
      <c r="H2" s="127">
        <f>IF(B$19=0,0,G2/B$19)</f>
        <v>0.1</v>
      </c>
      <c r="I2" s="89">
        <v>2</v>
      </c>
      <c r="K2" s="32">
        <v>0</v>
      </c>
      <c r="L2" s="94">
        <v>0</v>
      </c>
      <c r="N2" s="109" t="s">
        <v>120</v>
      </c>
      <c r="O2" s="116">
        <f t="shared" ref="O2:O9" si="0">IF(P2=0,0,Q2/P2)</f>
        <v>0</v>
      </c>
      <c r="P2" s="113">
        <v>8</v>
      </c>
      <c r="Q2" s="97">
        <v>0</v>
      </c>
    </row>
    <row r="3" spans="1:17" x14ac:dyDescent="0.4">
      <c r="A3" s="51" t="s">
        <v>8</v>
      </c>
      <c r="B3" s="145">
        <v>80</v>
      </c>
      <c r="C3" s="146"/>
      <c r="E3" s="59" t="s">
        <v>62</v>
      </c>
      <c r="F3" s="56" t="s">
        <v>22</v>
      </c>
      <c r="G3" s="43">
        <v>2</v>
      </c>
      <c r="H3" s="128">
        <f>IF(B$19=0,0,G3/B$19)</f>
        <v>0.1</v>
      </c>
      <c r="I3" s="90">
        <v>2</v>
      </c>
      <c r="K3" s="34">
        <v>1</v>
      </c>
      <c r="L3" s="95">
        <v>-15</v>
      </c>
      <c r="N3" s="110" t="s">
        <v>121</v>
      </c>
      <c r="O3" s="117">
        <f t="shared" si="0"/>
        <v>0</v>
      </c>
      <c r="P3" s="114">
        <v>8</v>
      </c>
      <c r="Q3" s="98">
        <v>0</v>
      </c>
    </row>
    <row r="4" spans="1:17" x14ac:dyDescent="0.4">
      <c r="A4" s="51" t="s">
        <v>6</v>
      </c>
      <c r="B4" s="147">
        <v>0</v>
      </c>
      <c r="C4" s="148"/>
      <c r="E4" s="59" t="s">
        <v>63</v>
      </c>
      <c r="F4" s="56" t="s">
        <v>23</v>
      </c>
      <c r="G4" s="43">
        <v>8</v>
      </c>
      <c r="H4" s="128">
        <f>IF(B$19=0,0,G4/B$19)</f>
        <v>0.4</v>
      </c>
      <c r="I4" s="90">
        <v>3</v>
      </c>
      <c r="K4" s="34">
        <v>2</v>
      </c>
      <c r="L4" s="95">
        <v>66.3</v>
      </c>
      <c r="N4" s="110" t="s">
        <v>122</v>
      </c>
      <c r="O4" s="117">
        <f t="shared" si="0"/>
        <v>0</v>
      </c>
      <c r="P4" s="114">
        <v>8</v>
      </c>
      <c r="Q4" s="98">
        <v>0</v>
      </c>
    </row>
    <row r="5" spans="1:17" x14ac:dyDescent="0.4">
      <c r="A5" s="51" t="s">
        <v>7</v>
      </c>
      <c r="B5" s="149">
        <f>IF(B$2=0,0,B$4/B$2)</f>
        <v>0</v>
      </c>
      <c r="C5" s="150"/>
      <c r="E5" s="59" t="s">
        <v>64</v>
      </c>
      <c r="F5" s="56" t="s">
        <v>24</v>
      </c>
      <c r="G5" s="43">
        <v>6</v>
      </c>
      <c r="H5" s="128">
        <f>IF(B$19=0,0,G5/B$19)</f>
        <v>0.3</v>
      </c>
      <c r="I5" s="90">
        <v>3</v>
      </c>
      <c r="K5" s="34">
        <v>3</v>
      </c>
      <c r="L5" s="95">
        <v>97.4</v>
      </c>
      <c r="N5" s="110" t="s">
        <v>166</v>
      </c>
      <c r="O5" s="117">
        <f t="shared" si="0"/>
        <v>0</v>
      </c>
      <c r="P5" s="114">
        <v>8</v>
      </c>
      <c r="Q5" s="98">
        <v>0</v>
      </c>
    </row>
    <row r="6" spans="1:17" x14ac:dyDescent="0.4">
      <c r="A6" s="51" t="s">
        <v>1</v>
      </c>
      <c r="B6" s="139">
        <f>IF(B$2=0,0,(B$7*1+B$8*2+B$9*3+B$10*4)/B$2)</f>
        <v>2.5</v>
      </c>
      <c r="C6" s="140"/>
      <c r="E6" s="59" t="s">
        <v>65</v>
      </c>
      <c r="F6" s="56" t="s">
        <v>12</v>
      </c>
      <c r="G6" s="43">
        <v>10</v>
      </c>
      <c r="H6" s="128">
        <f>IF(B$19=0,0,G6/B$19)</f>
        <v>0.5</v>
      </c>
      <c r="I6" s="90">
        <v>2</v>
      </c>
      <c r="K6" s="34">
        <v>4</v>
      </c>
      <c r="L6" s="95">
        <v>0</v>
      </c>
      <c r="N6" s="110" t="s">
        <v>123</v>
      </c>
      <c r="O6" s="117">
        <f t="shared" si="0"/>
        <v>0</v>
      </c>
      <c r="P6" s="114">
        <v>8</v>
      </c>
      <c r="Q6" s="98">
        <v>0</v>
      </c>
    </row>
    <row r="7" spans="1:17" x14ac:dyDescent="0.4">
      <c r="A7" s="51" t="s">
        <v>2</v>
      </c>
      <c r="B7" s="43">
        <v>2</v>
      </c>
      <c r="C7" s="35">
        <f>IF(B$2=0,0,B7/B$2)</f>
        <v>0.25</v>
      </c>
      <c r="E7" s="59" t="s">
        <v>66</v>
      </c>
      <c r="F7" s="56" t="s">
        <v>25</v>
      </c>
      <c r="G7" s="43">
        <v>4</v>
      </c>
      <c r="H7" s="128">
        <f>IF(B$19=0,0,G7/B$19)</f>
        <v>0.2</v>
      </c>
      <c r="I7" s="90">
        <v>2</v>
      </c>
      <c r="K7" s="34">
        <v>5</v>
      </c>
      <c r="L7" s="95">
        <v>-15</v>
      </c>
      <c r="N7" s="110" t="s">
        <v>124</v>
      </c>
      <c r="O7" s="117">
        <f t="shared" si="0"/>
        <v>0</v>
      </c>
      <c r="P7" s="114">
        <v>8</v>
      </c>
      <c r="Q7" s="98">
        <v>0</v>
      </c>
    </row>
    <row r="8" spans="1:17" x14ac:dyDescent="0.4">
      <c r="A8" s="51" t="s">
        <v>3</v>
      </c>
      <c r="B8" s="43">
        <v>2</v>
      </c>
      <c r="C8" s="35">
        <f>IF(B$2=0,0,B8/B$2)</f>
        <v>0.25</v>
      </c>
      <c r="E8" s="59" t="s">
        <v>67</v>
      </c>
      <c r="F8" s="56" t="s">
        <v>26</v>
      </c>
      <c r="G8" s="43">
        <v>2</v>
      </c>
      <c r="H8" s="128">
        <f>IF(B$19=0,0,G8/B$19)</f>
        <v>0.1</v>
      </c>
      <c r="I8" s="90">
        <v>2</v>
      </c>
      <c r="K8" s="34">
        <v>6</v>
      </c>
      <c r="L8" s="95">
        <v>66.3</v>
      </c>
      <c r="N8" s="110" t="s">
        <v>125</v>
      </c>
      <c r="O8" s="117">
        <f t="shared" si="0"/>
        <v>0</v>
      </c>
      <c r="P8" s="114">
        <v>8</v>
      </c>
      <c r="Q8" s="98">
        <v>0</v>
      </c>
    </row>
    <row r="9" spans="1:17" x14ac:dyDescent="0.4">
      <c r="A9" s="52" t="s">
        <v>4</v>
      </c>
      <c r="B9" s="44">
        <v>2</v>
      </c>
      <c r="C9" s="36">
        <f t="shared" ref="C9:C10" si="1">IF(B$2=0,0,B9/B$2)</f>
        <v>0.25</v>
      </c>
      <c r="E9" s="59" t="s">
        <v>68</v>
      </c>
      <c r="F9" s="56" t="s">
        <v>27</v>
      </c>
      <c r="G9" s="43">
        <v>2</v>
      </c>
      <c r="H9" s="128">
        <f>IF(B$19=0,0,G9/B$19)</f>
        <v>0.1</v>
      </c>
      <c r="I9" s="90">
        <v>2</v>
      </c>
      <c r="K9" s="34">
        <v>7</v>
      </c>
      <c r="L9" s="95">
        <v>97.4</v>
      </c>
      <c r="N9" s="111" t="s">
        <v>165</v>
      </c>
      <c r="O9" s="118">
        <f t="shared" si="0"/>
        <v>0</v>
      </c>
      <c r="P9" s="115">
        <v>8</v>
      </c>
      <c r="Q9" s="99">
        <v>0</v>
      </c>
    </row>
    <row r="10" spans="1:17" x14ac:dyDescent="0.4">
      <c r="A10" s="52" t="s">
        <v>162</v>
      </c>
      <c r="B10" s="44">
        <v>2</v>
      </c>
      <c r="C10" s="36">
        <f t="shared" si="1"/>
        <v>0.25</v>
      </c>
      <c r="E10" s="59" t="s">
        <v>69</v>
      </c>
      <c r="F10" s="56" t="s">
        <v>28</v>
      </c>
      <c r="G10" s="43">
        <v>4</v>
      </c>
      <c r="H10" s="128">
        <f>IF(B$19=0,0,G10/B$19)</f>
        <v>0.2</v>
      </c>
      <c r="I10" s="90">
        <v>2</v>
      </c>
      <c r="K10" s="34">
        <v>8</v>
      </c>
      <c r="L10" s="95">
        <v>0</v>
      </c>
      <c r="N10" s="39"/>
      <c r="O10" s="122"/>
      <c r="P10" s="106"/>
      <c r="Q10" s="104"/>
    </row>
    <row r="11" spans="1:17" x14ac:dyDescent="0.4">
      <c r="A11" s="52" t="s">
        <v>171</v>
      </c>
      <c r="B11" s="44">
        <f>トップ数+B8</f>
        <v>4</v>
      </c>
      <c r="C11" s="36">
        <f>IF(B$2=0,0,B11/B$2)</f>
        <v>0.5</v>
      </c>
      <c r="E11" s="59" t="s">
        <v>70</v>
      </c>
      <c r="F11" s="56" t="s">
        <v>29</v>
      </c>
      <c r="G11" s="43">
        <v>0</v>
      </c>
      <c r="H11" s="128">
        <f>IF(B$19=0,0,G11/B$19)</f>
        <v>0</v>
      </c>
      <c r="I11" s="90">
        <v>1</v>
      </c>
      <c r="N11" s="108" t="s">
        <v>151</v>
      </c>
      <c r="O11" s="30" t="s">
        <v>113</v>
      </c>
      <c r="P11" s="112" t="s">
        <v>109</v>
      </c>
      <c r="Q11" s="100" t="s">
        <v>146</v>
      </c>
    </row>
    <row r="12" spans="1:17" x14ac:dyDescent="0.4">
      <c r="A12" s="52" t="s">
        <v>19</v>
      </c>
      <c r="B12" s="44">
        <v>2</v>
      </c>
      <c r="C12" s="36">
        <f>IF(B$2=0,0,B12/B$2)</f>
        <v>0.25</v>
      </c>
      <c r="E12" s="59" t="s">
        <v>71</v>
      </c>
      <c r="F12" s="56" t="s">
        <v>30</v>
      </c>
      <c r="G12" s="43">
        <v>2</v>
      </c>
      <c r="H12" s="128">
        <f>IF(B$19=0,0,G12/B$19)</f>
        <v>0.1</v>
      </c>
      <c r="I12" s="90">
        <v>2</v>
      </c>
      <c r="N12" s="109" t="s">
        <v>152</v>
      </c>
      <c r="O12" s="119">
        <f>IF(P12=0,0,Q12/P12)</f>
        <v>-15</v>
      </c>
      <c r="P12" s="113">
        <v>2</v>
      </c>
      <c r="Q12" s="101">
        <v>-30</v>
      </c>
    </row>
    <row r="13" spans="1:17" x14ac:dyDescent="0.4">
      <c r="A13" s="52" t="s">
        <v>128</v>
      </c>
      <c r="B13" s="44">
        <v>2</v>
      </c>
      <c r="C13" s="36">
        <f>IF(B$2=0,0,B13/B$2)</f>
        <v>0.25</v>
      </c>
      <c r="E13" s="59" t="s">
        <v>72</v>
      </c>
      <c r="F13" s="56" t="s">
        <v>31</v>
      </c>
      <c r="G13" s="43">
        <v>4</v>
      </c>
      <c r="H13" s="128">
        <f>IF(B$19=0,0,G13/B$19)</f>
        <v>0.2</v>
      </c>
      <c r="I13" s="90">
        <v>2</v>
      </c>
      <c r="N13" s="110" t="s">
        <v>153</v>
      </c>
      <c r="O13" s="120">
        <f>IF(P13=0,0,Q13/P13)</f>
        <v>81.3</v>
      </c>
      <c r="P13" s="114">
        <v>2</v>
      </c>
      <c r="Q13" s="102">
        <v>162.6</v>
      </c>
    </row>
    <row r="14" spans="1:17" x14ac:dyDescent="0.4">
      <c r="A14" s="53" t="s">
        <v>148</v>
      </c>
      <c r="B14" s="45">
        <v>2</v>
      </c>
      <c r="C14" s="38">
        <f>IF(B$2=0,0,B14/B$2)</f>
        <v>0.25</v>
      </c>
      <c r="E14" s="59" t="s">
        <v>73</v>
      </c>
      <c r="F14" s="56" t="s">
        <v>32</v>
      </c>
      <c r="G14" s="43">
        <v>0</v>
      </c>
      <c r="H14" s="128">
        <f>IF(B$19=0,0,G14/B$19)</f>
        <v>0</v>
      </c>
      <c r="I14" s="90">
        <v>1</v>
      </c>
      <c r="N14" s="110" t="s">
        <v>163</v>
      </c>
      <c r="O14" s="120">
        <f>IF(P14=0,0,Q14/P14)</f>
        <v>31.1</v>
      </c>
      <c r="P14" s="114">
        <v>2</v>
      </c>
      <c r="Q14" s="102">
        <v>62.2</v>
      </c>
    </row>
    <row r="15" spans="1:17" x14ac:dyDescent="0.4">
      <c r="A15" s="54" t="s">
        <v>114</v>
      </c>
      <c r="B15" s="46">
        <v>16</v>
      </c>
      <c r="C15" s="40">
        <f>IF(B$3=0,0,B15/B$3)</f>
        <v>0.2</v>
      </c>
      <c r="E15" s="59" t="s">
        <v>74</v>
      </c>
      <c r="F15" s="56" t="s">
        <v>33</v>
      </c>
      <c r="G15" s="43">
        <v>0</v>
      </c>
      <c r="H15" s="128">
        <f>IF(B$19=0,0,G15/B$19)</f>
        <v>0</v>
      </c>
      <c r="I15" s="90">
        <v>1</v>
      </c>
      <c r="N15" s="111" t="s">
        <v>164</v>
      </c>
      <c r="O15" s="121">
        <f>IF(P15=0,0,Q15/P15)</f>
        <v>-97.4</v>
      </c>
      <c r="P15" s="115">
        <v>2</v>
      </c>
      <c r="Q15" s="103">
        <v>-194.8</v>
      </c>
    </row>
    <row r="16" spans="1:17" x14ac:dyDescent="0.4">
      <c r="A16" s="51" t="s">
        <v>111</v>
      </c>
      <c r="B16" s="43">
        <v>4</v>
      </c>
      <c r="C16" s="35">
        <f>IF(B$3=0,0,B16/B$3)</f>
        <v>0.05</v>
      </c>
      <c r="E16" s="59" t="s">
        <v>75</v>
      </c>
      <c r="F16" s="56" t="s">
        <v>34</v>
      </c>
      <c r="G16" s="43">
        <v>2</v>
      </c>
      <c r="H16" s="128">
        <f>IF(B$19=0,0,G16/B$19)</f>
        <v>0.1</v>
      </c>
      <c r="I16" s="90">
        <v>2</v>
      </c>
      <c r="N16" s="29"/>
      <c r="O16" s="105"/>
      <c r="P16" s="107"/>
      <c r="Q16" s="105"/>
    </row>
    <row r="17" spans="1:17" x14ac:dyDescent="0.4">
      <c r="A17" s="50" t="s">
        <v>116</v>
      </c>
      <c r="B17" s="42">
        <v>6</v>
      </c>
      <c r="C17" s="33">
        <f>IF(B$15=0,0,B17/B$15)</f>
        <v>0.375</v>
      </c>
      <c r="E17" s="59" t="s">
        <v>76</v>
      </c>
      <c r="F17" s="56" t="s">
        <v>35</v>
      </c>
      <c r="G17" s="43">
        <v>2</v>
      </c>
      <c r="H17" s="128">
        <f>IF(B$19=0,0,G17/B$19)</f>
        <v>0.1</v>
      </c>
      <c r="I17" s="90">
        <v>2</v>
      </c>
      <c r="N17" s="108" t="s">
        <v>143</v>
      </c>
      <c r="O17" s="30" t="s">
        <v>113</v>
      </c>
      <c r="P17" s="112" t="s">
        <v>109</v>
      </c>
      <c r="Q17" s="100" t="s">
        <v>146</v>
      </c>
    </row>
    <row r="18" spans="1:17" x14ac:dyDescent="0.4">
      <c r="A18" s="50" t="s">
        <v>117</v>
      </c>
      <c r="B18" s="42">
        <v>2</v>
      </c>
      <c r="C18" s="33">
        <f>IF(B$16=0,0,B18/B$16)</f>
        <v>0.5</v>
      </c>
      <c r="E18" s="59" t="s">
        <v>168</v>
      </c>
      <c r="F18" s="56" t="s">
        <v>169</v>
      </c>
      <c r="G18" s="43">
        <v>2</v>
      </c>
      <c r="H18" s="128">
        <f>IF(B$19=0,0,G18/B$19)</f>
        <v>0.1</v>
      </c>
      <c r="I18" s="90">
        <v>2</v>
      </c>
      <c r="N18" s="109" t="s">
        <v>159</v>
      </c>
      <c r="O18" s="119">
        <f>IF(P18=0,0,Q18/P18)</f>
        <v>-108.39999999999999</v>
      </c>
      <c r="P18" s="113">
        <v>6</v>
      </c>
      <c r="Q18" s="101">
        <v>-650.4</v>
      </c>
    </row>
    <row r="19" spans="1:17" x14ac:dyDescent="0.4">
      <c r="A19" s="50" t="s">
        <v>10</v>
      </c>
      <c r="B19" s="42">
        <f>B21+B20</f>
        <v>20</v>
      </c>
      <c r="C19" s="33">
        <f>IF(B$3=0,0,B19/B$3)</f>
        <v>0.25</v>
      </c>
      <c r="E19" s="59" t="s">
        <v>77</v>
      </c>
      <c r="F19" s="56" t="s">
        <v>36</v>
      </c>
      <c r="G19" s="43">
        <v>0</v>
      </c>
      <c r="H19" s="128">
        <f>IF(B$19=0,0,G19/B$19)</f>
        <v>0</v>
      </c>
      <c r="I19" s="90">
        <v>1</v>
      </c>
      <c r="N19" s="110" t="s">
        <v>160</v>
      </c>
      <c r="O19" s="120">
        <f>IF(P19=0,0,Q19/P19)</f>
        <v>-41.466666666666669</v>
      </c>
      <c r="P19" s="114">
        <v>6</v>
      </c>
      <c r="Q19" s="102">
        <v>-248.8</v>
      </c>
    </row>
    <row r="20" spans="1:17" x14ac:dyDescent="0.4">
      <c r="A20" s="51" t="s">
        <v>12</v>
      </c>
      <c r="B20" s="43">
        <v>14</v>
      </c>
      <c r="C20" s="35">
        <f>IF(B$19=0,0,B20/B$19)</f>
        <v>0.7</v>
      </c>
      <c r="E20" s="59" t="s">
        <v>78</v>
      </c>
      <c r="F20" s="56" t="s">
        <v>37</v>
      </c>
      <c r="G20" s="43">
        <v>2</v>
      </c>
      <c r="H20" s="128">
        <f>IF(B$19=0,0,G20/B$19)</f>
        <v>0.1</v>
      </c>
      <c r="I20" s="90">
        <v>2</v>
      </c>
      <c r="N20" s="110" t="s">
        <v>167</v>
      </c>
      <c r="O20" s="120">
        <f>IF(P20=0,0,Q20/P20)</f>
        <v>129.86666666666665</v>
      </c>
      <c r="P20" s="114">
        <v>6</v>
      </c>
      <c r="Q20" s="102">
        <v>779.19999999999993</v>
      </c>
    </row>
    <row r="21" spans="1:17" x14ac:dyDescent="0.4">
      <c r="A21" s="51" t="s">
        <v>11</v>
      </c>
      <c r="B21" s="43">
        <v>6</v>
      </c>
      <c r="C21" s="35">
        <f>IF(B$19=0,0,B21/B$19)</f>
        <v>0.3</v>
      </c>
      <c r="E21" s="59" t="s">
        <v>79</v>
      </c>
      <c r="F21" s="56" t="s">
        <v>38</v>
      </c>
      <c r="G21" s="43">
        <v>2</v>
      </c>
      <c r="H21" s="128">
        <f>IF(B$19=0,0,G21/B$19)</f>
        <v>0.1</v>
      </c>
      <c r="I21" s="90">
        <v>2</v>
      </c>
      <c r="N21" s="110" t="s">
        <v>161</v>
      </c>
      <c r="O21" s="120">
        <f>IF(P21=0,0,Q21/P21)</f>
        <v>20</v>
      </c>
      <c r="P21" s="114">
        <v>6</v>
      </c>
      <c r="Q21" s="102">
        <v>120</v>
      </c>
    </row>
    <row r="22" spans="1:17" x14ac:dyDescent="0.4">
      <c r="A22" s="51" t="s">
        <v>13</v>
      </c>
      <c r="B22" s="43">
        <v>6</v>
      </c>
      <c r="C22" s="35">
        <f>IF(B$3=0,0,B22/B$3)</f>
        <v>7.4999999999999997E-2</v>
      </c>
      <c r="E22" s="59" t="s">
        <v>80</v>
      </c>
      <c r="F22" s="56" t="s">
        <v>39</v>
      </c>
      <c r="G22" s="43">
        <v>0</v>
      </c>
      <c r="H22" s="128">
        <f>IF(B$19=0,0,G22/B$19)</f>
        <v>0</v>
      </c>
      <c r="I22" s="90">
        <v>1</v>
      </c>
    </row>
    <row r="23" spans="1:17" x14ac:dyDescent="0.4">
      <c r="A23" s="51" t="s">
        <v>155</v>
      </c>
      <c r="B23" s="43">
        <v>0</v>
      </c>
      <c r="C23" s="130">
        <v>0</v>
      </c>
      <c r="E23" s="59" t="s">
        <v>81</v>
      </c>
      <c r="F23" s="56" t="s">
        <v>40</v>
      </c>
      <c r="G23" s="43">
        <v>0</v>
      </c>
      <c r="H23" s="128">
        <f>IF(B$19=0,0,G23/B$19)</f>
        <v>0</v>
      </c>
      <c r="I23" s="90">
        <v>1</v>
      </c>
    </row>
    <row r="24" spans="1:17" x14ac:dyDescent="0.4">
      <c r="A24" s="51" t="s">
        <v>156</v>
      </c>
      <c r="B24" s="43">
        <v>0</v>
      </c>
      <c r="C24" s="130">
        <v>0</v>
      </c>
      <c r="E24" s="59" t="s">
        <v>82</v>
      </c>
      <c r="F24" s="56" t="s">
        <v>41</v>
      </c>
      <c r="G24" s="43">
        <v>2</v>
      </c>
      <c r="H24" s="128">
        <f>IF(B$19=0,0,G24/B$19)</f>
        <v>0.1</v>
      </c>
      <c r="I24" s="90">
        <v>2</v>
      </c>
    </row>
    <row r="25" spans="1:17" x14ac:dyDescent="0.4">
      <c r="A25" s="51" t="s">
        <v>5</v>
      </c>
      <c r="B25" s="47">
        <f>IF(B$19=0,0,C25/B$19)</f>
        <v>22310</v>
      </c>
      <c r="C25" s="37">
        <v>446200</v>
      </c>
      <c r="E25" s="59" t="s">
        <v>83</v>
      </c>
      <c r="F25" s="56" t="s">
        <v>42</v>
      </c>
      <c r="G25" s="43">
        <v>2</v>
      </c>
      <c r="H25" s="128">
        <f>IF(B$19=0,0,G25/B$19)</f>
        <v>0.1</v>
      </c>
      <c r="I25" s="90">
        <v>2</v>
      </c>
    </row>
    <row r="26" spans="1:17" x14ac:dyDescent="0.4">
      <c r="A26" s="53" t="s">
        <v>14</v>
      </c>
      <c r="B26" s="48">
        <f>IF(B$22=0,0,C26/B$22)</f>
        <v>-26666.666666666668</v>
      </c>
      <c r="C26" s="41">
        <v>-160000</v>
      </c>
      <c r="E26" s="59" t="s">
        <v>84</v>
      </c>
      <c r="F26" s="56" t="s">
        <v>43</v>
      </c>
      <c r="G26" s="43">
        <v>0</v>
      </c>
      <c r="H26" s="128">
        <f>IF(B$19=0,0,G26/B$19)</f>
        <v>0</v>
      </c>
      <c r="I26" s="90">
        <v>1</v>
      </c>
    </row>
    <row r="27" spans="1:17" x14ac:dyDescent="0.4">
      <c r="A27" s="86" t="s">
        <v>130</v>
      </c>
      <c r="B27" s="137">
        <v>3</v>
      </c>
      <c r="C27" s="138"/>
      <c r="E27" s="59" t="s">
        <v>85</v>
      </c>
      <c r="F27" s="56" t="s">
        <v>44</v>
      </c>
      <c r="G27" s="43">
        <v>0</v>
      </c>
      <c r="H27" s="128">
        <f>IF(B$19=0,0,G27/B$19)</f>
        <v>0</v>
      </c>
      <c r="I27" s="90">
        <v>1</v>
      </c>
    </row>
    <row r="28" spans="1:17" x14ac:dyDescent="0.4">
      <c r="A28" s="54" t="s">
        <v>140</v>
      </c>
      <c r="B28" s="135">
        <v>91300</v>
      </c>
      <c r="C28" s="136"/>
      <c r="E28" s="59" t="s">
        <v>86</v>
      </c>
      <c r="F28" s="56" t="s">
        <v>45</v>
      </c>
      <c r="G28" s="43">
        <v>0</v>
      </c>
      <c r="H28" s="128">
        <f>IF(B$19=0,0,G28/B$19)</f>
        <v>0</v>
      </c>
      <c r="I28" s="90">
        <v>1</v>
      </c>
    </row>
    <row r="29" spans="1:17" x14ac:dyDescent="0.4">
      <c r="A29" s="53" t="s">
        <v>131</v>
      </c>
      <c r="B29" s="61">
        <v>0</v>
      </c>
      <c r="C29" s="38">
        <f>IF(B$3=0,0,B29/B$3)</f>
        <v>0</v>
      </c>
      <c r="E29" s="59" t="s">
        <v>87</v>
      </c>
      <c r="F29" s="56" t="s">
        <v>46</v>
      </c>
      <c r="G29" s="43">
        <v>0</v>
      </c>
      <c r="H29" s="128">
        <f>IF(B$19=0,0,G29/B$19)</f>
        <v>0</v>
      </c>
      <c r="I29" s="90">
        <v>1</v>
      </c>
    </row>
    <row r="30" spans="1:17" x14ac:dyDescent="0.4">
      <c r="E30" s="59" t="s">
        <v>88</v>
      </c>
      <c r="F30" s="56" t="s">
        <v>47</v>
      </c>
      <c r="G30" s="43">
        <v>0</v>
      </c>
      <c r="H30" s="128">
        <f>IF(B$19=0,0,G30/B$19)</f>
        <v>0</v>
      </c>
      <c r="I30" s="90">
        <v>1</v>
      </c>
    </row>
    <row r="31" spans="1:17" x14ac:dyDescent="0.4">
      <c r="E31" s="59" t="s">
        <v>89</v>
      </c>
      <c r="F31" s="56" t="s">
        <v>48</v>
      </c>
      <c r="G31" s="43">
        <v>0</v>
      </c>
      <c r="H31" s="128">
        <f>IF(B$19=0,0,G31/B$19)</f>
        <v>0</v>
      </c>
      <c r="I31" s="90">
        <v>1</v>
      </c>
    </row>
    <row r="32" spans="1:17" x14ac:dyDescent="0.4">
      <c r="E32" s="59" t="s">
        <v>90</v>
      </c>
      <c r="F32" s="56" t="s">
        <v>49</v>
      </c>
      <c r="G32" s="43">
        <v>0</v>
      </c>
      <c r="H32" s="128">
        <f>IF(B$19=0,0,G32/B$19)</f>
        <v>0</v>
      </c>
      <c r="I32" s="90">
        <v>1</v>
      </c>
    </row>
    <row r="33" spans="5:9" x14ac:dyDescent="0.4">
      <c r="E33" s="59" t="s">
        <v>91</v>
      </c>
      <c r="F33" s="56" t="s">
        <v>50</v>
      </c>
      <c r="G33" s="43">
        <v>0</v>
      </c>
      <c r="H33" s="128">
        <f>IF(B$19=0,0,G33/B$19)</f>
        <v>0</v>
      </c>
      <c r="I33" s="90">
        <v>1</v>
      </c>
    </row>
    <row r="34" spans="5:9" x14ac:dyDescent="0.4">
      <c r="E34" s="59" t="s">
        <v>92</v>
      </c>
      <c r="F34" s="56" t="s">
        <v>51</v>
      </c>
      <c r="G34" s="43">
        <v>0</v>
      </c>
      <c r="H34" s="128">
        <f>IF(B$19=0,0,G34/B$19)</f>
        <v>0</v>
      </c>
      <c r="I34" s="90">
        <v>1</v>
      </c>
    </row>
    <row r="35" spans="5:9" x14ac:dyDescent="0.4">
      <c r="E35" s="59" t="s">
        <v>93</v>
      </c>
      <c r="F35" s="56" t="s">
        <v>52</v>
      </c>
      <c r="G35" s="43">
        <v>0</v>
      </c>
      <c r="H35" s="128">
        <f>IF(B$19=0,0,G35/B$19)</f>
        <v>0</v>
      </c>
      <c r="I35" s="90">
        <v>1</v>
      </c>
    </row>
    <row r="36" spans="5:9" x14ac:dyDescent="0.4">
      <c r="E36" s="59" t="s">
        <v>94</v>
      </c>
      <c r="F36" s="56" t="s">
        <v>53</v>
      </c>
      <c r="G36" s="43">
        <v>0</v>
      </c>
      <c r="H36" s="128">
        <f>IF(B$19=0,0,G36/B$19)</f>
        <v>0</v>
      </c>
      <c r="I36" s="90">
        <v>1</v>
      </c>
    </row>
    <row r="37" spans="5:9" x14ac:dyDescent="0.4">
      <c r="E37" s="59" t="s">
        <v>95</v>
      </c>
      <c r="F37" s="56" t="s">
        <v>54</v>
      </c>
      <c r="G37" s="43">
        <v>2</v>
      </c>
      <c r="H37" s="128">
        <f>IF(B$19=0,0,G37/B$19)</f>
        <v>0.1</v>
      </c>
      <c r="I37" s="90">
        <v>2</v>
      </c>
    </row>
    <row r="38" spans="5:9" x14ac:dyDescent="0.4">
      <c r="E38" s="59" t="s">
        <v>96</v>
      </c>
      <c r="F38" s="56" t="s">
        <v>55</v>
      </c>
      <c r="G38" s="43">
        <v>0</v>
      </c>
      <c r="H38" s="128">
        <f>IF(B$19=0,0,G38/B$19)</f>
        <v>0</v>
      </c>
      <c r="I38" s="90">
        <v>1</v>
      </c>
    </row>
    <row r="39" spans="5:9" x14ac:dyDescent="0.4">
      <c r="E39" s="59" t="s">
        <v>97</v>
      </c>
      <c r="F39" s="56" t="s">
        <v>56</v>
      </c>
      <c r="G39" s="43">
        <v>0</v>
      </c>
      <c r="H39" s="128">
        <f>IF(B$19=0,0,G39/B$19)</f>
        <v>0</v>
      </c>
      <c r="I39" s="90">
        <v>1</v>
      </c>
    </row>
    <row r="40" spans="5:9" x14ac:dyDescent="0.4">
      <c r="E40" s="59" t="s">
        <v>98</v>
      </c>
      <c r="F40" s="56" t="s">
        <v>57</v>
      </c>
      <c r="G40" s="43">
        <v>0</v>
      </c>
      <c r="H40" s="128">
        <f>IF(B$19=0,0,G40/B$19)</f>
        <v>0</v>
      </c>
      <c r="I40" s="90">
        <v>1</v>
      </c>
    </row>
    <row r="41" spans="5:9" x14ac:dyDescent="0.4">
      <c r="E41" s="59" t="s">
        <v>99</v>
      </c>
      <c r="F41" s="56" t="s">
        <v>58</v>
      </c>
      <c r="G41" s="43">
        <v>2</v>
      </c>
      <c r="H41" s="128">
        <f>IF(B$19=0,0,G41/B$19)</f>
        <v>0.1</v>
      </c>
      <c r="I41" s="90">
        <v>2</v>
      </c>
    </row>
    <row r="42" spans="5:9" x14ac:dyDescent="0.4">
      <c r="E42" s="59" t="s">
        <v>100</v>
      </c>
      <c r="F42" s="56" t="s">
        <v>59</v>
      </c>
      <c r="G42" s="43">
        <v>0</v>
      </c>
      <c r="H42" s="128">
        <f>IF(B$19=0,0,G42/B$19)</f>
        <v>0</v>
      </c>
      <c r="I42" s="90">
        <v>1</v>
      </c>
    </row>
    <row r="43" spans="5:9" x14ac:dyDescent="0.4">
      <c r="E43" s="59" t="s">
        <v>101</v>
      </c>
      <c r="F43" s="56" t="s">
        <v>60</v>
      </c>
      <c r="G43" s="43">
        <v>0</v>
      </c>
      <c r="H43" s="128">
        <f>IF(B$19=0,0,G43/B$19)</f>
        <v>0</v>
      </c>
      <c r="I43" s="90">
        <v>1</v>
      </c>
    </row>
    <row r="44" spans="5:9" x14ac:dyDescent="0.4">
      <c r="E44" s="59" t="s">
        <v>102</v>
      </c>
      <c r="F44" s="56" t="s">
        <v>105</v>
      </c>
      <c r="G44" s="43">
        <v>0</v>
      </c>
      <c r="H44" s="128">
        <f>IF(B$19=0,0,G44/B$19)</f>
        <v>0</v>
      </c>
      <c r="I44" s="90">
        <v>1</v>
      </c>
    </row>
    <row r="45" spans="5:9" x14ac:dyDescent="0.4">
      <c r="E45" s="59" t="s">
        <v>103</v>
      </c>
      <c r="F45" s="56" t="s">
        <v>106</v>
      </c>
      <c r="G45" s="43">
        <v>0</v>
      </c>
      <c r="H45" s="128">
        <f>IF(B$19=0,0,G45/B$19)</f>
        <v>0</v>
      </c>
      <c r="I45" s="90">
        <v>1</v>
      </c>
    </row>
    <row r="46" spans="5:9" x14ac:dyDescent="0.4">
      <c r="E46" s="59" t="s">
        <v>104</v>
      </c>
      <c r="F46" s="56" t="s">
        <v>107</v>
      </c>
      <c r="G46" s="43">
        <v>2</v>
      </c>
      <c r="H46" s="128">
        <f>IF(B$19=0,0,G46/B$19)</f>
        <v>0.1</v>
      </c>
      <c r="I46" s="90">
        <v>2</v>
      </c>
    </row>
    <row r="47" spans="5:9" x14ac:dyDescent="0.4">
      <c r="E47" s="60" t="s">
        <v>157</v>
      </c>
      <c r="F47" s="57" t="s">
        <v>158</v>
      </c>
      <c r="G47" s="45">
        <v>4</v>
      </c>
      <c r="H47" s="129">
        <f>IF(B$19=0,0,G47/B$19)</f>
        <v>0.2</v>
      </c>
      <c r="I47" s="91">
        <v>2</v>
      </c>
    </row>
  </sheetData>
  <sortState xmlns:xlrd2="http://schemas.microsoft.com/office/spreadsheetml/2017/richdata2" ref="E2:I47">
    <sortCondition ref="E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E3DE5-1076-4E57-B874-D756CB3D4A8B}">
  <sheetPr codeName="Sheet8"/>
  <dimension ref="A1:R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9" width="10.75" style="63"/>
    <col min="10" max="11" width="10.75" style="64"/>
    <col min="12" max="18" width="10.75" style="63"/>
    <col min="19" max="16384" width="10.75" style="66"/>
  </cols>
  <sheetData>
    <row r="1" spans="1:18" x14ac:dyDescent="0.4">
      <c r="A1" s="66" t="s">
        <v>161</v>
      </c>
      <c r="B1" s="66" t="s">
        <v>161</v>
      </c>
      <c r="C1" s="66" t="s">
        <v>161</v>
      </c>
      <c r="D1" s="67" t="s">
        <v>161</v>
      </c>
      <c r="E1" s="66" t="s">
        <v>161</v>
      </c>
      <c r="F1" s="66" t="s">
        <v>161</v>
      </c>
      <c r="G1" s="66" t="s">
        <v>161</v>
      </c>
      <c r="H1" s="66" t="s">
        <v>161</v>
      </c>
      <c r="I1" s="66" t="s">
        <v>161</v>
      </c>
      <c r="J1" s="66" t="s">
        <v>161</v>
      </c>
      <c r="K1" s="66" t="s">
        <v>161</v>
      </c>
      <c r="L1" s="66" t="s">
        <v>161</v>
      </c>
      <c r="M1" s="66" t="s">
        <v>161</v>
      </c>
      <c r="N1" s="66" t="s">
        <v>161</v>
      </c>
      <c r="O1" s="66" t="s">
        <v>161</v>
      </c>
      <c r="P1" s="66" t="s">
        <v>161</v>
      </c>
      <c r="Q1" s="66" t="s">
        <v>161</v>
      </c>
      <c r="R1" s="66" t="s">
        <v>161</v>
      </c>
    </row>
    <row r="2" spans="1:18" x14ac:dyDescent="0.4">
      <c r="A2" s="66" t="s">
        <v>9</v>
      </c>
      <c r="B2" s="66" t="s">
        <v>6</v>
      </c>
      <c r="C2" s="66" t="s">
        <v>7</v>
      </c>
      <c r="D2" s="67" t="s">
        <v>16</v>
      </c>
      <c r="E2" s="66" t="s">
        <v>15</v>
      </c>
      <c r="F2" s="66" t="s">
        <v>150</v>
      </c>
      <c r="G2" s="66" t="s">
        <v>170</v>
      </c>
      <c r="H2" s="66" t="s">
        <v>135</v>
      </c>
      <c r="I2" s="66" t="s">
        <v>134</v>
      </c>
      <c r="J2" s="66" t="s">
        <v>5</v>
      </c>
      <c r="K2" s="66" t="s">
        <v>17</v>
      </c>
      <c r="L2" s="66" t="s">
        <v>18</v>
      </c>
      <c r="M2" s="66" t="s">
        <v>129</v>
      </c>
      <c r="N2" s="66" t="s">
        <v>115</v>
      </c>
      <c r="O2" s="66" t="s">
        <v>112</v>
      </c>
      <c r="P2" s="66" t="s">
        <v>118</v>
      </c>
      <c r="Q2" s="66" t="s">
        <v>136</v>
      </c>
      <c r="R2" s="66" t="s">
        <v>132</v>
      </c>
    </row>
    <row r="3" spans="1:18" x14ac:dyDescent="0.4">
      <c r="A3" s="65">
        <v>0</v>
      </c>
      <c r="B3" s="62">
        <v>0</v>
      </c>
    </row>
    <row r="4" spans="1:18" x14ac:dyDescent="0.4">
      <c r="A4" s="65">
        <v>1</v>
      </c>
      <c r="B4" s="62">
        <v>-15</v>
      </c>
      <c r="C4" s="62">
        <v>-15</v>
      </c>
      <c r="D4" s="67">
        <v>3</v>
      </c>
      <c r="E4" s="63">
        <v>0</v>
      </c>
      <c r="F4" s="63">
        <v>0</v>
      </c>
      <c r="G4" s="63">
        <v>0</v>
      </c>
      <c r="H4" s="63">
        <v>0.2</v>
      </c>
      <c r="I4" s="63">
        <v>0</v>
      </c>
      <c r="J4" s="64">
        <v>16550</v>
      </c>
      <c r="K4" s="64">
        <v>0</v>
      </c>
      <c r="L4" s="63">
        <v>0</v>
      </c>
      <c r="M4" s="63">
        <v>0</v>
      </c>
      <c r="N4" s="63">
        <v>0.2</v>
      </c>
      <c r="O4" s="63">
        <v>0</v>
      </c>
      <c r="P4" s="63">
        <v>0</v>
      </c>
      <c r="Q4" s="63">
        <v>0</v>
      </c>
      <c r="R4" s="63">
        <v>1</v>
      </c>
    </row>
    <row r="5" spans="1:18" x14ac:dyDescent="0.4">
      <c r="A5" s="65">
        <v>2</v>
      </c>
      <c r="B5" s="62">
        <v>-30</v>
      </c>
      <c r="C5" s="62">
        <v>-15</v>
      </c>
      <c r="D5" s="67">
        <v>3</v>
      </c>
      <c r="E5" s="63">
        <v>0</v>
      </c>
      <c r="F5" s="63">
        <v>0</v>
      </c>
      <c r="G5" s="63">
        <v>0</v>
      </c>
      <c r="H5" s="63">
        <v>0.2</v>
      </c>
      <c r="I5" s="63">
        <v>0</v>
      </c>
      <c r="J5" s="64">
        <v>16550</v>
      </c>
      <c r="K5" s="64">
        <v>0</v>
      </c>
      <c r="L5" s="63">
        <v>0</v>
      </c>
      <c r="M5" s="63">
        <v>0</v>
      </c>
      <c r="N5" s="63">
        <v>0.2</v>
      </c>
      <c r="O5" s="63">
        <v>0</v>
      </c>
      <c r="P5" s="63">
        <v>0</v>
      </c>
      <c r="Q5" s="63">
        <v>0</v>
      </c>
      <c r="R5" s="63">
        <v>1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EAF9A8-FC5A-49A9-9B59-CC90B4EBC7BB}">
  <sheetPr codeName="Sheet7"/>
  <dimension ref="A1:Q47"/>
  <sheetViews>
    <sheetView showGridLines="0" zoomScaleNormal="100" workbookViewId="0"/>
  </sheetViews>
  <sheetFormatPr defaultColWidth="9" defaultRowHeight="18.75" x14ac:dyDescent="0.4"/>
  <cols>
    <col min="1" max="1" width="13" style="29" customWidth="1"/>
    <col min="2" max="3" width="9" style="29" customWidth="1"/>
    <col min="4" max="4" width="3.625" style="29" customWidth="1"/>
    <col min="5" max="5" width="3.625" style="123" bestFit="1" customWidth="1"/>
    <col min="6" max="6" width="11" style="39" bestFit="1" customWidth="1"/>
    <col min="7" max="9" width="9" style="29" customWidth="1"/>
    <col min="10" max="10" width="3.625" style="29" customWidth="1"/>
    <col min="11" max="11" width="3.5" style="34" customWidth="1"/>
    <col min="12" max="12" width="9" style="95" customWidth="1"/>
    <col min="13" max="13" width="3.625" style="29" customWidth="1"/>
    <col min="14" max="14" width="9" style="110" customWidth="1"/>
    <col min="15" max="15" width="9" style="120" customWidth="1"/>
    <col min="16" max="16" width="9" style="114" customWidth="1"/>
    <col min="17" max="17" width="3.625" style="102" customWidth="1"/>
    <col min="18" max="16384" width="9" style="29"/>
  </cols>
  <sheetData>
    <row r="1" spans="1:17" x14ac:dyDescent="0.4">
      <c r="A1" s="49" t="s">
        <v>0</v>
      </c>
      <c r="B1" s="141" t="s">
        <v>161</v>
      </c>
      <c r="C1" s="142"/>
      <c r="E1" s="124" t="s">
        <v>154</v>
      </c>
      <c r="F1" s="134" t="s">
        <v>108</v>
      </c>
      <c r="G1" s="133" t="s">
        <v>109</v>
      </c>
      <c r="H1" s="125" t="s">
        <v>110</v>
      </c>
      <c r="I1" s="134" t="s">
        <v>142</v>
      </c>
      <c r="K1" s="30" t="s">
        <v>20</v>
      </c>
      <c r="L1" s="31" t="s">
        <v>113</v>
      </c>
      <c r="M1" s="126"/>
      <c r="N1" s="108" t="s">
        <v>126</v>
      </c>
      <c r="O1" s="30" t="s">
        <v>127</v>
      </c>
      <c r="P1" s="112" t="s">
        <v>109</v>
      </c>
      <c r="Q1" s="96" t="s">
        <v>146</v>
      </c>
    </row>
    <row r="2" spans="1:17" x14ac:dyDescent="0.4">
      <c r="A2" s="50" t="s">
        <v>9</v>
      </c>
      <c r="B2" s="143">
        <v>2</v>
      </c>
      <c r="C2" s="144"/>
      <c r="E2" s="58" t="s">
        <v>61</v>
      </c>
      <c r="F2" s="55" t="s">
        <v>21</v>
      </c>
      <c r="G2" s="42">
        <v>0</v>
      </c>
      <c r="H2" s="127">
        <f>IF(B$19=0,0,G2/B$19)</f>
        <v>0</v>
      </c>
      <c r="I2" s="89">
        <v>3</v>
      </c>
      <c r="K2" s="32">
        <v>0</v>
      </c>
      <c r="L2" s="94">
        <v>0</v>
      </c>
      <c r="N2" s="109" t="s">
        <v>120</v>
      </c>
      <c r="O2" s="116">
        <f t="shared" ref="O2:O9" si="0">IF(P2=0,0,Q2/P2)</f>
        <v>-1000</v>
      </c>
      <c r="P2" s="113">
        <v>2</v>
      </c>
      <c r="Q2" s="97">
        <v>-2000</v>
      </c>
    </row>
    <row r="3" spans="1:17" x14ac:dyDescent="0.4">
      <c r="A3" s="51" t="s">
        <v>8</v>
      </c>
      <c r="B3" s="145">
        <v>20</v>
      </c>
      <c r="C3" s="146"/>
      <c r="E3" s="59" t="s">
        <v>62</v>
      </c>
      <c r="F3" s="56" t="s">
        <v>22</v>
      </c>
      <c r="G3" s="43">
        <v>0</v>
      </c>
      <c r="H3" s="128">
        <f>IF(B$19=0,0,G3/B$19)</f>
        <v>0</v>
      </c>
      <c r="I3" s="90">
        <v>3</v>
      </c>
      <c r="K3" s="34">
        <v>1</v>
      </c>
      <c r="L3" s="95">
        <v>-15</v>
      </c>
      <c r="N3" s="110" t="s">
        <v>121</v>
      </c>
      <c r="O3" s="117">
        <f t="shared" si="0"/>
        <v>-1000</v>
      </c>
      <c r="P3" s="114">
        <v>2</v>
      </c>
      <c r="Q3" s="98">
        <v>-2000</v>
      </c>
    </row>
    <row r="4" spans="1:17" x14ac:dyDescent="0.4">
      <c r="A4" s="51" t="s">
        <v>6</v>
      </c>
      <c r="B4" s="147">
        <v>-30</v>
      </c>
      <c r="C4" s="148"/>
      <c r="E4" s="59" t="s">
        <v>63</v>
      </c>
      <c r="F4" s="56" t="s">
        <v>23</v>
      </c>
      <c r="G4" s="43">
        <v>0</v>
      </c>
      <c r="H4" s="128">
        <f>IF(B$19=0,0,G4/B$19)</f>
        <v>0</v>
      </c>
      <c r="I4" s="90">
        <v>8</v>
      </c>
      <c r="K4" s="34">
        <v>2</v>
      </c>
      <c r="L4" s="95">
        <v>-30</v>
      </c>
      <c r="N4" s="110" t="s">
        <v>122</v>
      </c>
      <c r="O4" s="117">
        <f t="shared" si="0"/>
        <v>1100</v>
      </c>
      <c r="P4" s="114">
        <v>2</v>
      </c>
      <c r="Q4" s="98">
        <v>2200</v>
      </c>
    </row>
    <row r="5" spans="1:17" x14ac:dyDescent="0.4">
      <c r="A5" s="51" t="s">
        <v>7</v>
      </c>
      <c r="B5" s="149">
        <f>IF(B$2=0,0,B$4/B$2)</f>
        <v>-15</v>
      </c>
      <c r="C5" s="150"/>
      <c r="E5" s="59" t="s">
        <v>64</v>
      </c>
      <c r="F5" s="56" t="s">
        <v>24</v>
      </c>
      <c r="G5" s="43">
        <v>0</v>
      </c>
      <c r="H5" s="128">
        <f>IF(B$19=0,0,G5/B$19)</f>
        <v>0</v>
      </c>
      <c r="I5" s="90">
        <v>7</v>
      </c>
      <c r="N5" s="110" t="s">
        <v>166</v>
      </c>
      <c r="O5" s="117">
        <f t="shared" si="0"/>
        <v>-7000</v>
      </c>
      <c r="P5" s="114">
        <v>2</v>
      </c>
      <c r="Q5" s="98">
        <v>-14000</v>
      </c>
    </row>
    <row r="6" spans="1:17" x14ac:dyDescent="0.4">
      <c r="A6" s="51" t="s">
        <v>1</v>
      </c>
      <c r="B6" s="139">
        <f>IF(B$2=0,0,(B$7*1+B$8*2+B$9*3+B$10*4)/B$2)</f>
        <v>3</v>
      </c>
      <c r="C6" s="140"/>
      <c r="E6" s="59" t="s">
        <v>65</v>
      </c>
      <c r="F6" s="56" t="s">
        <v>12</v>
      </c>
      <c r="G6" s="43">
        <v>2</v>
      </c>
      <c r="H6" s="128">
        <f>IF(B$19=0,0,G6/B$19)</f>
        <v>0.5</v>
      </c>
      <c r="I6" s="90">
        <v>2</v>
      </c>
      <c r="N6" s="110" t="s">
        <v>123</v>
      </c>
      <c r="O6" s="117">
        <f t="shared" si="0"/>
        <v>-16000</v>
      </c>
      <c r="P6" s="114">
        <v>2</v>
      </c>
      <c r="Q6" s="98">
        <v>-32000</v>
      </c>
    </row>
    <row r="7" spans="1:17" x14ac:dyDescent="0.4">
      <c r="A7" s="51" t="s">
        <v>2</v>
      </c>
      <c r="B7" s="43">
        <v>0</v>
      </c>
      <c r="C7" s="35">
        <f>IF(B$2=0,0,B7/B$2)</f>
        <v>0</v>
      </c>
      <c r="E7" s="59" t="s">
        <v>66</v>
      </c>
      <c r="F7" s="56" t="s">
        <v>25</v>
      </c>
      <c r="G7" s="43">
        <v>0</v>
      </c>
      <c r="H7" s="128">
        <f>IF(B$19=0,0,G7/B$19)</f>
        <v>0</v>
      </c>
      <c r="I7" s="90">
        <v>3</v>
      </c>
      <c r="N7" s="110" t="s">
        <v>124</v>
      </c>
      <c r="O7" s="117">
        <f t="shared" si="0"/>
        <v>32000</v>
      </c>
      <c r="P7" s="114">
        <v>2</v>
      </c>
      <c r="Q7" s="98">
        <v>64000</v>
      </c>
    </row>
    <row r="8" spans="1:17" x14ac:dyDescent="0.4">
      <c r="A8" s="51" t="s">
        <v>3</v>
      </c>
      <c r="B8" s="43">
        <v>0</v>
      </c>
      <c r="C8" s="35">
        <f>IF(B$2=0,0,B8/B$2)</f>
        <v>0</v>
      </c>
      <c r="E8" s="59" t="s">
        <v>67</v>
      </c>
      <c r="F8" s="56" t="s">
        <v>26</v>
      </c>
      <c r="G8" s="43">
        <v>0</v>
      </c>
      <c r="H8" s="128">
        <f>IF(B$19=0,0,G8/B$19)</f>
        <v>0</v>
      </c>
      <c r="I8" s="90">
        <v>3</v>
      </c>
      <c r="N8" s="110" t="s">
        <v>125</v>
      </c>
      <c r="O8" s="117">
        <f t="shared" si="0"/>
        <v>-18100</v>
      </c>
      <c r="P8" s="114">
        <v>2</v>
      </c>
      <c r="Q8" s="98">
        <v>-36200</v>
      </c>
    </row>
    <row r="9" spans="1:17" x14ac:dyDescent="0.4">
      <c r="A9" s="52" t="s">
        <v>4</v>
      </c>
      <c r="B9" s="44">
        <v>2</v>
      </c>
      <c r="C9" s="36">
        <f t="shared" ref="C9:C10" si="1">IF(B$2=0,0,B9/B$2)</f>
        <v>1</v>
      </c>
      <c r="E9" s="59" t="s">
        <v>68</v>
      </c>
      <c r="F9" s="56" t="s">
        <v>27</v>
      </c>
      <c r="G9" s="43">
        <v>0</v>
      </c>
      <c r="H9" s="128">
        <f>IF(B$19=0,0,G9/B$19)</f>
        <v>0</v>
      </c>
      <c r="I9" s="90">
        <v>3</v>
      </c>
      <c r="N9" s="111" t="s">
        <v>165</v>
      </c>
      <c r="O9" s="118">
        <f t="shared" si="0"/>
        <v>0</v>
      </c>
      <c r="P9" s="115">
        <v>2</v>
      </c>
      <c r="Q9" s="99">
        <v>0</v>
      </c>
    </row>
    <row r="10" spans="1:17" x14ac:dyDescent="0.4">
      <c r="A10" s="52" t="s">
        <v>162</v>
      </c>
      <c r="B10" s="44">
        <v>0</v>
      </c>
      <c r="C10" s="36">
        <f t="shared" si="1"/>
        <v>0</v>
      </c>
      <c r="E10" s="59" t="s">
        <v>69</v>
      </c>
      <c r="F10" s="56" t="s">
        <v>28</v>
      </c>
      <c r="G10" s="43">
        <v>0</v>
      </c>
      <c r="H10" s="128">
        <f>IF(B$19=0,0,G10/B$19)</f>
        <v>0</v>
      </c>
      <c r="I10" s="90">
        <v>3</v>
      </c>
      <c r="N10" s="39"/>
      <c r="O10" s="122"/>
      <c r="P10" s="106"/>
      <c r="Q10" s="104"/>
    </row>
    <row r="11" spans="1:17" x14ac:dyDescent="0.4">
      <c r="A11" s="52" t="s">
        <v>171</v>
      </c>
      <c r="B11" s="44">
        <f>トップ数+B8</f>
        <v>0</v>
      </c>
      <c r="C11" s="36">
        <f>IF(B$2=0,0,B11/B$2)</f>
        <v>0</v>
      </c>
      <c r="E11" s="59" t="s">
        <v>70</v>
      </c>
      <c r="F11" s="56" t="s">
        <v>29</v>
      </c>
      <c r="G11" s="43">
        <v>0</v>
      </c>
      <c r="H11" s="128">
        <f>IF(B$19=0,0,G11/B$19)</f>
        <v>0</v>
      </c>
      <c r="I11" s="90">
        <v>1</v>
      </c>
      <c r="N11" s="108" t="s">
        <v>151</v>
      </c>
      <c r="O11" s="30" t="s">
        <v>113</v>
      </c>
      <c r="P11" s="112" t="s">
        <v>109</v>
      </c>
      <c r="Q11" s="100" t="s">
        <v>146</v>
      </c>
    </row>
    <row r="12" spans="1:17" x14ac:dyDescent="0.4">
      <c r="A12" s="52" t="s">
        <v>19</v>
      </c>
      <c r="B12" s="44">
        <v>0</v>
      </c>
      <c r="C12" s="36">
        <f>IF(B$2=0,0,B12/B$2)</f>
        <v>0</v>
      </c>
      <c r="E12" s="59" t="s">
        <v>71</v>
      </c>
      <c r="F12" s="56" t="s">
        <v>30</v>
      </c>
      <c r="G12" s="43">
        <v>0</v>
      </c>
      <c r="H12" s="128">
        <f>IF(B$19=0,0,G12/B$19)</f>
        <v>0</v>
      </c>
      <c r="I12" s="90">
        <v>3</v>
      </c>
      <c r="N12" s="109" t="s">
        <v>152</v>
      </c>
      <c r="O12" s="119">
        <f>IF(P12=0,0,Q12/P12)</f>
        <v>-15</v>
      </c>
      <c r="P12" s="113">
        <v>2</v>
      </c>
      <c r="Q12" s="101">
        <v>-30</v>
      </c>
    </row>
    <row r="13" spans="1:17" x14ac:dyDescent="0.4">
      <c r="A13" s="52" t="s">
        <v>128</v>
      </c>
      <c r="B13" s="44">
        <v>0</v>
      </c>
      <c r="C13" s="36">
        <f>IF(B$2=0,0,B13/B$2)</f>
        <v>0</v>
      </c>
      <c r="E13" s="59" t="s">
        <v>72</v>
      </c>
      <c r="F13" s="56" t="s">
        <v>31</v>
      </c>
      <c r="G13" s="43">
        <v>0</v>
      </c>
      <c r="H13" s="128">
        <f>IF(B$19=0,0,G13/B$19)</f>
        <v>0</v>
      </c>
      <c r="I13" s="90">
        <v>3</v>
      </c>
      <c r="N13" s="110" t="s">
        <v>153</v>
      </c>
      <c r="O13" s="120">
        <f>IF(P13=0,0,Q13/P13)</f>
        <v>0</v>
      </c>
      <c r="P13" s="114">
        <v>0</v>
      </c>
      <c r="Q13" s="102">
        <v>0</v>
      </c>
    </row>
    <row r="14" spans="1:17" x14ac:dyDescent="0.4">
      <c r="A14" s="53" t="s">
        <v>148</v>
      </c>
      <c r="B14" s="45">
        <v>0</v>
      </c>
      <c r="C14" s="38">
        <f>IF(B$2=0,0,B14/B$2)</f>
        <v>0</v>
      </c>
      <c r="E14" s="59" t="s">
        <v>73</v>
      </c>
      <c r="F14" s="56" t="s">
        <v>32</v>
      </c>
      <c r="G14" s="43">
        <v>0</v>
      </c>
      <c r="H14" s="128">
        <f>IF(B$19=0,0,G14/B$19)</f>
        <v>0</v>
      </c>
      <c r="I14" s="90">
        <v>1</v>
      </c>
      <c r="N14" s="110" t="s">
        <v>163</v>
      </c>
      <c r="O14" s="120">
        <f>IF(P14=0,0,Q14/P14)</f>
        <v>0</v>
      </c>
      <c r="P14" s="114">
        <v>0</v>
      </c>
      <c r="Q14" s="102">
        <v>0</v>
      </c>
    </row>
    <row r="15" spans="1:17" x14ac:dyDescent="0.4">
      <c r="A15" s="54" t="s">
        <v>114</v>
      </c>
      <c r="B15" s="46">
        <v>4</v>
      </c>
      <c r="C15" s="40">
        <f>IF(B$3=0,0,B15/B$3)</f>
        <v>0.2</v>
      </c>
      <c r="E15" s="59" t="s">
        <v>74</v>
      </c>
      <c r="F15" s="56" t="s">
        <v>33</v>
      </c>
      <c r="G15" s="43">
        <v>0</v>
      </c>
      <c r="H15" s="128">
        <f>IF(B$19=0,0,G15/B$19)</f>
        <v>0</v>
      </c>
      <c r="I15" s="90">
        <v>1</v>
      </c>
      <c r="N15" s="111" t="s">
        <v>164</v>
      </c>
      <c r="O15" s="121">
        <f>IF(P15=0,0,Q15/P15)</f>
        <v>0</v>
      </c>
      <c r="P15" s="115">
        <v>0</v>
      </c>
      <c r="Q15" s="103">
        <v>0</v>
      </c>
    </row>
    <row r="16" spans="1:17" x14ac:dyDescent="0.4">
      <c r="A16" s="51" t="s">
        <v>111</v>
      </c>
      <c r="B16" s="43">
        <v>0</v>
      </c>
      <c r="C16" s="35">
        <f>IF(B$3=0,0,B16/B$3)</f>
        <v>0</v>
      </c>
      <c r="E16" s="59" t="s">
        <v>75</v>
      </c>
      <c r="F16" s="56" t="s">
        <v>34</v>
      </c>
      <c r="G16" s="43">
        <v>0</v>
      </c>
      <c r="H16" s="128">
        <f>IF(B$19=0,0,G16/B$19)</f>
        <v>0</v>
      </c>
      <c r="I16" s="90">
        <v>3</v>
      </c>
      <c r="N16" s="29"/>
      <c r="O16" s="105"/>
      <c r="P16" s="107"/>
      <c r="Q16" s="105"/>
    </row>
    <row r="17" spans="1:17" x14ac:dyDescent="0.4">
      <c r="A17" s="50" t="s">
        <v>116</v>
      </c>
      <c r="B17" s="42">
        <v>0</v>
      </c>
      <c r="C17" s="33">
        <f>IF(B$15=0,0,B17/B$15)</f>
        <v>0</v>
      </c>
      <c r="E17" s="59" t="s">
        <v>76</v>
      </c>
      <c r="F17" s="56" t="s">
        <v>35</v>
      </c>
      <c r="G17" s="43">
        <v>0</v>
      </c>
      <c r="H17" s="128">
        <f>IF(B$19=0,0,G17/B$19)</f>
        <v>0</v>
      </c>
      <c r="I17" s="90">
        <v>3</v>
      </c>
      <c r="N17" s="108" t="s">
        <v>143</v>
      </c>
      <c r="O17" s="30" t="s">
        <v>113</v>
      </c>
      <c r="P17" s="112" t="s">
        <v>109</v>
      </c>
      <c r="Q17" s="100" t="s">
        <v>146</v>
      </c>
    </row>
    <row r="18" spans="1:17" x14ac:dyDescent="0.4">
      <c r="A18" s="50" t="s">
        <v>117</v>
      </c>
      <c r="B18" s="42">
        <v>0</v>
      </c>
      <c r="C18" s="33">
        <f>IF(B$16=0,0,B18/B$16)</f>
        <v>0</v>
      </c>
      <c r="E18" s="59" t="s">
        <v>168</v>
      </c>
      <c r="F18" s="56" t="s">
        <v>169</v>
      </c>
      <c r="G18" s="43">
        <v>0</v>
      </c>
      <c r="H18" s="128">
        <f>IF(B$19=0,0,G18/B$19)</f>
        <v>0</v>
      </c>
      <c r="I18" s="90">
        <v>3</v>
      </c>
      <c r="N18" s="109" t="s">
        <v>159</v>
      </c>
      <c r="O18" s="119">
        <f>IF(P18=0,0,Q18/P18)</f>
        <v>-96.3</v>
      </c>
      <c r="P18" s="113">
        <v>2</v>
      </c>
      <c r="Q18" s="101">
        <v>-192.6</v>
      </c>
    </row>
    <row r="19" spans="1:17" x14ac:dyDescent="0.4">
      <c r="A19" s="50" t="s">
        <v>10</v>
      </c>
      <c r="B19" s="42">
        <f>B21+B20</f>
        <v>4</v>
      </c>
      <c r="C19" s="33">
        <f>IF(B$3=0,0,B19/B$3)</f>
        <v>0.2</v>
      </c>
      <c r="E19" s="59" t="s">
        <v>77</v>
      </c>
      <c r="F19" s="56" t="s">
        <v>36</v>
      </c>
      <c r="G19" s="43">
        <v>0</v>
      </c>
      <c r="H19" s="128">
        <f>IF(B$19=0,0,G19/B$19)</f>
        <v>0</v>
      </c>
      <c r="I19" s="90">
        <v>1</v>
      </c>
      <c r="N19" s="110" t="s">
        <v>160</v>
      </c>
      <c r="O19" s="120">
        <f>IF(P19=0,0,Q19/P19)</f>
        <v>-46.1</v>
      </c>
      <c r="P19" s="114">
        <v>2</v>
      </c>
      <c r="Q19" s="102">
        <v>-92.2</v>
      </c>
    </row>
    <row r="20" spans="1:17" x14ac:dyDescent="0.4">
      <c r="A20" s="51" t="s">
        <v>12</v>
      </c>
      <c r="B20" s="43">
        <v>4</v>
      </c>
      <c r="C20" s="35">
        <f>IF(B$19=0,0,B20/B$19)</f>
        <v>1</v>
      </c>
      <c r="E20" s="59" t="s">
        <v>78</v>
      </c>
      <c r="F20" s="56" t="s">
        <v>37</v>
      </c>
      <c r="G20" s="43">
        <v>0</v>
      </c>
      <c r="H20" s="128">
        <f>IF(B$19=0,0,G20/B$19)</f>
        <v>0</v>
      </c>
      <c r="I20" s="90">
        <v>3</v>
      </c>
      <c r="N20" s="110" t="s">
        <v>167</v>
      </c>
      <c r="O20" s="120">
        <f>IF(P20=0,0,Q20/P20)</f>
        <v>82.4</v>
      </c>
      <c r="P20" s="114">
        <v>2</v>
      </c>
      <c r="Q20" s="102">
        <v>164.8</v>
      </c>
    </row>
    <row r="21" spans="1:17" x14ac:dyDescent="0.4">
      <c r="A21" s="51" t="s">
        <v>11</v>
      </c>
      <c r="B21" s="43">
        <v>0</v>
      </c>
      <c r="C21" s="35">
        <f>IF(B$19=0,0,B21/B$19)</f>
        <v>0</v>
      </c>
      <c r="E21" s="59" t="s">
        <v>79</v>
      </c>
      <c r="F21" s="56" t="s">
        <v>38</v>
      </c>
      <c r="G21" s="43">
        <v>0</v>
      </c>
      <c r="H21" s="128">
        <f>IF(B$19=0,0,G21/B$19)</f>
        <v>0</v>
      </c>
      <c r="I21" s="90">
        <v>3</v>
      </c>
    </row>
    <row r="22" spans="1:17" x14ac:dyDescent="0.4">
      <c r="A22" s="51" t="s">
        <v>13</v>
      </c>
      <c r="B22" s="43">
        <v>0</v>
      </c>
      <c r="C22" s="35">
        <f>IF(B$3=0,0,B22/B$3)</f>
        <v>0</v>
      </c>
      <c r="E22" s="59" t="s">
        <v>80</v>
      </c>
      <c r="F22" s="56" t="s">
        <v>39</v>
      </c>
      <c r="G22" s="43">
        <v>0</v>
      </c>
      <c r="H22" s="128">
        <f>IF(B$19=0,0,G22/B$19)</f>
        <v>0</v>
      </c>
      <c r="I22" s="90">
        <v>1</v>
      </c>
    </row>
    <row r="23" spans="1:17" x14ac:dyDescent="0.4">
      <c r="A23" s="51" t="s">
        <v>155</v>
      </c>
      <c r="B23" s="43">
        <v>0</v>
      </c>
      <c r="C23" s="130">
        <v>0</v>
      </c>
      <c r="E23" s="59" t="s">
        <v>81</v>
      </c>
      <c r="F23" s="56" t="s">
        <v>40</v>
      </c>
      <c r="G23" s="43">
        <v>0</v>
      </c>
      <c r="H23" s="128">
        <f>IF(B$19=0,0,G23/B$19)</f>
        <v>0</v>
      </c>
      <c r="I23" s="90">
        <v>1</v>
      </c>
    </row>
    <row r="24" spans="1:17" x14ac:dyDescent="0.4">
      <c r="A24" s="51" t="s">
        <v>156</v>
      </c>
      <c r="B24" s="43">
        <v>0</v>
      </c>
      <c r="C24" s="130">
        <v>20</v>
      </c>
      <c r="E24" s="59" t="s">
        <v>82</v>
      </c>
      <c r="F24" s="56" t="s">
        <v>41</v>
      </c>
      <c r="G24" s="43">
        <v>0</v>
      </c>
      <c r="H24" s="128">
        <f>IF(B$19=0,0,G24/B$19)</f>
        <v>0</v>
      </c>
      <c r="I24" s="90">
        <v>3</v>
      </c>
    </row>
    <row r="25" spans="1:17" x14ac:dyDescent="0.4">
      <c r="A25" s="51" t="s">
        <v>5</v>
      </c>
      <c r="B25" s="47">
        <f>IF(B$19=0,0,C25/B$19)</f>
        <v>16550</v>
      </c>
      <c r="C25" s="37">
        <v>66200</v>
      </c>
      <c r="E25" s="59" t="s">
        <v>83</v>
      </c>
      <c r="F25" s="56" t="s">
        <v>42</v>
      </c>
      <c r="G25" s="43">
        <v>0</v>
      </c>
      <c r="H25" s="128">
        <f>IF(B$19=0,0,G25/B$19)</f>
        <v>0</v>
      </c>
      <c r="I25" s="90">
        <v>3</v>
      </c>
    </row>
    <row r="26" spans="1:17" x14ac:dyDescent="0.4">
      <c r="A26" s="53" t="s">
        <v>14</v>
      </c>
      <c r="B26" s="48">
        <f>IF(B$22=0,0,C26/B$22)</f>
        <v>0</v>
      </c>
      <c r="C26" s="41">
        <v>0</v>
      </c>
      <c r="E26" s="59" t="s">
        <v>84</v>
      </c>
      <c r="F26" s="56" t="s">
        <v>43</v>
      </c>
      <c r="G26" s="43">
        <v>0</v>
      </c>
      <c r="H26" s="128">
        <f>IF(B$19=0,0,G26/B$19)</f>
        <v>0</v>
      </c>
      <c r="I26" s="90">
        <v>1</v>
      </c>
    </row>
    <row r="27" spans="1:17" x14ac:dyDescent="0.4">
      <c r="A27" s="86" t="s">
        <v>130</v>
      </c>
      <c r="B27" s="137">
        <v>0</v>
      </c>
      <c r="C27" s="138"/>
      <c r="E27" s="59" t="s">
        <v>85</v>
      </c>
      <c r="F27" s="56" t="s">
        <v>44</v>
      </c>
      <c r="G27" s="43">
        <v>0</v>
      </c>
      <c r="H27" s="128">
        <f>IF(B$19=0,0,G27/B$19)</f>
        <v>0</v>
      </c>
      <c r="I27" s="90">
        <v>1</v>
      </c>
    </row>
    <row r="28" spans="1:17" x14ac:dyDescent="0.4">
      <c r="A28" s="54" t="s">
        <v>140</v>
      </c>
      <c r="B28" s="135">
        <v>15000</v>
      </c>
      <c r="C28" s="136"/>
      <c r="E28" s="59" t="s">
        <v>86</v>
      </c>
      <c r="F28" s="56" t="s">
        <v>45</v>
      </c>
      <c r="G28" s="43">
        <v>0</v>
      </c>
      <c r="H28" s="128">
        <f>IF(B$19=0,0,G28/B$19)</f>
        <v>0</v>
      </c>
      <c r="I28" s="90">
        <v>1</v>
      </c>
    </row>
    <row r="29" spans="1:17" x14ac:dyDescent="0.4">
      <c r="A29" s="53" t="s">
        <v>131</v>
      </c>
      <c r="B29" s="61">
        <v>0</v>
      </c>
      <c r="C29" s="38">
        <f>IF(B$3=0,0,B29/B$3)</f>
        <v>0</v>
      </c>
      <c r="E29" s="59" t="s">
        <v>87</v>
      </c>
      <c r="F29" s="56" t="s">
        <v>46</v>
      </c>
      <c r="G29" s="43">
        <v>0</v>
      </c>
      <c r="H29" s="128">
        <f>IF(B$19=0,0,G29/B$19)</f>
        <v>0</v>
      </c>
      <c r="I29" s="90">
        <v>1</v>
      </c>
    </row>
    <row r="30" spans="1:17" x14ac:dyDescent="0.4">
      <c r="E30" s="59" t="s">
        <v>88</v>
      </c>
      <c r="F30" s="56" t="s">
        <v>47</v>
      </c>
      <c r="G30" s="43">
        <v>0</v>
      </c>
      <c r="H30" s="128">
        <f>IF(B$19=0,0,G30/B$19)</f>
        <v>0</v>
      </c>
      <c r="I30" s="90">
        <v>1</v>
      </c>
    </row>
    <row r="31" spans="1:17" x14ac:dyDescent="0.4">
      <c r="E31" s="59" t="s">
        <v>89</v>
      </c>
      <c r="F31" s="56" t="s">
        <v>48</v>
      </c>
      <c r="G31" s="43">
        <v>0</v>
      </c>
      <c r="H31" s="128">
        <f>IF(B$19=0,0,G31/B$19)</f>
        <v>0</v>
      </c>
      <c r="I31" s="90">
        <v>1</v>
      </c>
    </row>
    <row r="32" spans="1:17" x14ac:dyDescent="0.4">
      <c r="E32" s="59" t="s">
        <v>90</v>
      </c>
      <c r="F32" s="56" t="s">
        <v>49</v>
      </c>
      <c r="G32" s="43">
        <v>0</v>
      </c>
      <c r="H32" s="128">
        <f>IF(B$19=0,0,G32/B$19)</f>
        <v>0</v>
      </c>
      <c r="I32" s="90">
        <v>1</v>
      </c>
    </row>
    <row r="33" spans="5:9" x14ac:dyDescent="0.4">
      <c r="E33" s="59" t="s">
        <v>91</v>
      </c>
      <c r="F33" s="56" t="s">
        <v>50</v>
      </c>
      <c r="G33" s="43">
        <v>0</v>
      </c>
      <c r="H33" s="128">
        <f>IF(B$19=0,0,G33/B$19)</f>
        <v>0</v>
      </c>
      <c r="I33" s="90">
        <v>1</v>
      </c>
    </row>
    <row r="34" spans="5:9" x14ac:dyDescent="0.4">
      <c r="E34" s="59" t="s">
        <v>92</v>
      </c>
      <c r="F34" s="56" t="s">
        <v>51</v>
      </c>
      <c r="G34" s="43">
        <v>0</v>
      </c>
      <c r="H34" s="128">
        <f>IF(B$19=0,0,G34/B$19)</f>
        <v>0</v>
      </c>
      <c r="I34" s="90">
        <v>1</v>
      </c>
    </row>
    <row r="35" spans="5:9" x14ac:dyDescent="0.4">
      <c r="E35" s="59" t="s">
        <v>93</v>
      </c>
      <c r="F35" s="56" t="s">
        <v>52</v>
      </c>
      <c r="G35" s="43">
        <v>0</v>
      </c>
      <c r="H35" s="128">
        <f>IF(B$19=0,0,G35/B$19)</f>
        <v>0</v>
      </c>
      <c r="I35" s="90">
        <v>1</v>
      </c>
    </row>
    <row r="36" spans="5:9" x14ac:dyDescent="0.4">
      <c r="E36" s="59" t="s">
        <v>94</v>
      </c>
      <c r="F36" s="56" t="s">
        <v>53</v>
      </c>
      <c r="G36" s="43">
        <v>0</v>
      </c>
      <c r="H36" s="128">
        <f>IF(B$19=0,0,G36/B$19)</f>
        <v>0</v>
      </c>
      <c r="I36" s="90">
        <v>1</v>
      </c>
    </row>
    <row r="37" spans="5:9" x14ac:dyDescent="0.4">
      <c r="E37" s="59" t="s">
        <v>95</v>
      </c>
      <c r="F37" s="56" t="s">
        <v>54</v>
      </c>
      <c r="G37" s="43">
        <v>0</v>
      </c>
      <c r="H37" s="128">
        <f>IF(B$19=0,0,G37/B$19)</f>
        <v>0</v>
      </c>
      <c r="I37" s="90">
        <v>3</v>
      </c>
    </row>
    <row r="38" spans="5:9" x14ac:dyDescent="0.4">
      <c r="E38" s="59" t="s">
        <v>96</v>
      </c>
      <c r="F38" s="56" t="s">
        <v>55</v>
      </c>
      <c r="G38" s="43">
        <v>0</v>
      </c>
      <c r="H38" s="128">
        <f>IF(B$19=0,0,G38/B$19)</f>
        <v>0</v>
      </c>
      <c r="I38" s="90">
        <v>1</v>
      </c>
    </row>
    <row r="39" spans="5:9" x14ac:dyDescent="0.4">
      <c r="E39" s="59" t="s">
        <v>97</v>
      </c>
      <c r="F39" s="56" t="s">
        <v>56</v>
      </c>
      <c r="G39" s="43">
        <v>0</v>
      </c>
      <c r="H39" s="128">
        <f>IF(B$19=0,0,G39/B$19)</f>
        <v>0</v>
      </c>
      <c r="I39" s="90">
        <v>1</v>
      </c>
    </row>
    <row r="40" spans="5:9" x14ac:dyDescent="0.4">
      <c r="E40" s="59" t="s">
        <v>98</v>
      </c>
      <c r="F40" s="56" t="s">
        <v>57</v>
      </c>
      <c r="G40" s="43">
        <v>0</v>
      </c>
      <c r="H40" s="128">
        <f>IF(B$19=0,0,G40/B$19)</f>
        <v>0</v>
      </c>
      <c r="I40" s="90">
        <v>1</v>
      </c>
    </row>
    <row r="41" spans="5:9" x14ac:dyDescent="0.4">
      <c r="E41" s="59" t="s">
        <v>99</v>
      </c>
      <c r="F41" s="56" t="s">
        <v>58</v>
      </c>
      <c r="G41" s="43">
        <v>2</v>
      </c>
      <c r="H41" s="128">
        <f>IF(B$19=0,0,G41/B$19)</f>
        <v>0.5</v>
      </c>
      <c r="I41" s="90">
        <v>1</v>
      </c>
    </row>
    <row r="42" spans="5:9" x14ac:dyDescent="0.4">
      <c r="E42" s="59" t="s">
        <v>100</v>
      </c>
      <c r="F42" s="56" t="s">
        <v>59</v>
      </c>
      <c r="G42" s="43">
        <v>0</v>
      </c>
      <c r="H42" s="128">
        <f>IF(B$19=0,0,G42/B$19)</f>
        <v>0</v>
      </c>
      <c r="I42" s="90">
        <v>1</v>
      </c>
    </row>
    <row r="43" spans="5:9" x14ac:dyDescent="0.4">
      <c r="E43" s="59" t="s">
        <v>101</v>
      </c>
      <c r="F43" s="56" t="s">
        <v>60</v>
      </c>
      <c r="G43" s="43">
        <v>0</v>
      </c>
      <c r="H43" s="128">
        <f>IF(B$19=0,0,G43/B$19)</f>
        <v>0</v>
      </c>
      <c r="I43" s="90">
        <v>1</v>
      </c>
    </row>
    <row r="44" spans="5:9" x14ac:dyDescent="0.4">
      <c r="E44" s="59" t="s">
        <v>102</v>
      </c>
      <c r="F44" s="56" t="s">
        <v>105</v>
      </c>
      <c r="G44" s="43">
        <v>0</v>
      </c>
      <c r="H44" s="128">
        <f>IF(B$19=0,0,G44/B$19)</f>
        <v>0</v>
      </c>
      <c r="I44" s="90">
        <v>1</v>
      </c>
    </row>
    <row r="45" spans="5:9" x14ac:dyDescent="0.4">
      <c r="E45" s="59" t="s">
        <v>103</v>
      </c>
      <c r="F45" s="56" t="s">
        <v>106</v>
      </c>
      <c r="G45" s="43">
        <v>0</v>
      </c>
      <c r="H45" s="128">
        <f>IF(B$19=0,0,G45/B$19)</f>
        <v>0</v>
      </c>
      <c r="I45" s="90">
        <v>1</v>
      </c>
    </row>
    <row r="46" spans="5:9" x14ac:dyDescent="0.4">
      <c r="E46" s="59" t="s">
        <v>104</v>
      </c>
      <c r="F46" s="56" t="s">
        <v>107</v>
      </c>
      <c r="G46" s="43">
        <v>0</v>
      </c>
      <c r="H46" s="128">
        <f>IF(B$19=0,0,G46/B$19)</f>
        <v>0</v>
      </c>
      <c r="I46" s="90">
        <v>3</v>
      </c>
    </row>
    <row r="47" spans="5:9" x14ac:dyDescent="0.4">
      <c r="E47" s="60" t="s">
        <v>157</v>
      </c>
      <c r="F47" s="57" t="s">
        <v>158</v>
      </c>
      <c r="G47" s="45">
        <v>0</v>
      </c>
      <c r="H47" s="129">
        <f>IF(B$19=0,0,G47/B$19)</f>
        <v>0</v>
      </c>
      <c r="I47" s="91">
        <v>3</v>
      </c>
    </row>
  </sheetData>
  <sortState xmlns:xlrd2="http://schemas.microsoft.com/office/spreadsheetml/2017/richdata2" ref="E2:I47">
    <sortCondition ref="E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F2FCA6-67ED-40FA-BD7F-F5E358ADB6B6}">
  <sheetPr codeName="Sheet10"/>
  <dimension ref="A1:R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9" width="10.75" style="63"/>
    <col min="10" max="11" width="10.75" style="64"/>
    <col min="12" max="18" width="10.75" style="63"/>
    <col min="19" max="16384" width="10.75" style="66"/>
  </cols>
  <sheetData>
    <row r="1" spans="1:18" x14ac:dyDescent="0.4">
      <c r="A1" s="66" t="s">
        <v>159</v>
      </c>
      <c r="B1" s="66" t="s">
        <v>159</v>
      </c>
      <c r="C1" s="66" t="s">
        <v>159</v>
      </c>
      <c r="D1" s="67" t="s">
        <v>159</v>
      </c>
      <c r="E1" s="66" t="s">
        <v>159</v>
      </c>
      <c r="F1" s="66" t="s">
        <v>159</v>
      </c>
      <c r="G1" s="66" t="s">
        <v>159</v>
      </c>
      <c r="H1" s="66" t="s">
        <v>159</v>
      </c>
      <c r="I1" s="66" t="s">
        <v>159</v>
      </c>
      <c r="J1" s="66" t="s">
        <v>159</v>
      </c>
      <c r="K1" s="66" t="s">
        <v>159</v>
      </c>
      <c r="L1" s="66" t="s">
        <v>159</v>
      </c>
      <c r="M1" s="66" t="s">
        <v>159</v>
      </c>
      <c r="N1" s="66" t="s">
        <v>159</v>
      </c>
      <c r="O1" s="66" t="s">
        <v>159</v>
      </c>
      <c r="P1" s="66" t="s">
        <v>159</v>
      </c>
      <c r="Q1" s="66" t="s">
        <v>159</v>
      </c>
      <c r="R1" s="66" t="s">
        <v>159</v>
      </c>
    </row>
    <row r="2" spans="1:18" x14ac:dyDescent="0.4">
      <c r="A2" s="66" t="s">
        <v>9</v>
      </c>
      <c r="B2" s="66" t="s">
        <v>6</v>
      </c>
      <c r="C2" s="66" t="s">
        <v>7</v>
      </c>
      <c r="D2" s="67" t="s">
        <v>16</v>
      </c>
      <c r="E2" s="66" t="s">
        <v>15</v>
      </c>
      <c r="F2" s="66" t="s">
        <v>150</v>
      </c>
      <c r="G2" s="66" t="s">
        <v>170</v>
      </c>
      <c r="H2" s="66" t="s">
        <v>135</v>
      </c>
      <c r="I2" s="66" t="s">
        <v>134</v>
      </c>
      <c r="J2" s="66" t="s">
        <v>5</v>
      </c>
      <c r="K2" s="66" t="s">
        <v>17</v>
      </c>
      <c r="L2" s="66" t="s">
        <v>18</v>
      </c>
      <c r="M2" s="66" t="s">
        <v>129</v>
      </c>
      <c r="N2" s="66" t="s">
        <v>115</v>
      </c>
      <c r="O2" s="66" t="s">
        <v>112</v>
      </c>
      <c r="P2" s="66" t="s">
        <v>118</v>
      </c>
      <c r="Q2" s="66" t="s">
        <v>136</v>
      </c>
      <c r="R2" s="66" t="s">
        <v>132</v>
      </c>
    </row>
    <row r="3" spans="1:18" x14ac:dyDescent="0.4">
      <c r="A3" s="65">
        <v>0</v>
      </c>
      <c r="B3" s="62">
        <v>0</v>
      </c>
    </row>
    <row r="4" spans="1:18" x14ac:dyDescent="0.4">
      <c r="A4" s="65">
        <v>1</v>
      </c>
      <c r="B4" s="62">
        <v>81.3</v>
      </c>
      <c r="C4" s="62">
        <v>81.3</v>
      </c>
      <c r="D4" s="67">
        <v>1</v>
      </c>
      <c r="E4" s="63">
        <v>1</v>
      </c>
      <c r="F4" s="63">
        <v>0</v>
      </c>
      <c r="G4" s="63">
        <v>1</v>
      </c>
      <c r="H4" s="63">
        <v>0.4</v>
      </c>
      <c r="I4" s="63">
        <v>0.1</v>
      </c>
      <c r="J4" s="64">
        <v>28000</v>
      </c>
      <c r="K4" s="64">
        <v>-8000</v>
      </c>
      <c r="L4" s="63">
        <v>0</v>
      </c>
      <c r="M4" s="63">
        <v>1</v>
      </c>
      <c r="N4" s="63">
        <v>0.2</v>
      </c>
      <c r="O4" s="63">
        <v>0</v>
      </c>
      <c r="P4" s="63">
        <v>0.5</v>
      </c>
      <c r="Q4" s="63">
        <v>0</v>
      </c>
      <c r="R4" s="63">
        <v>0.5</v>
      </c>
    </row>
    <row r="5" spans="1:18" x14ac:dyDescent="0.4">
      <c r="A5" s="65">
        <v>2</v>
      </c>
      <c r="B5" s="62">
        <v>162.6</v>
      </c>
      <c r="C5" s="62">
        <v>81.3</v>
      </c>
      <c r="D5" s="67">
        <v>1</v>
      </c>
      <c r="E5" s="63">
        <v>1</v>
      </c>
      <c r="F5" s="63">
        <v>0</v>
      </c>
      <c r="G5" s="63">
        <v>1</v>
      </c>
      <c r="H5" s="63">
        <v>0.4</v>
      </c>
      <c r="I5" s="63">
        <v>0.1</v>
      </c>
      <c r="J5" s="64">
        <v>28000</v>
      </c>
      <c r="K5" s="64">
        <v>-8000</v>
      </c>
      <c r="L5" s="63">
        <v>0</v>
      </c>
      <c r="M5" s="63">
        <v>1</v>
      </c>
      <c r="N5" s="63">
        <v>0.2</v>
      </c>
      <c r="O5" s="63">
        <v>0</v>
      </c>
      <c r="P5" s="63">
        <v>0.5</v>
      </c>
      <c r="Q5" s="63">
        <v>0</v>
      </c>
      <c r="R5" s="63">
        <v>0.5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859E8D-CC57-4BC8-B9A6-54E13F03472A}">
  <sheetPr codeName="Sheet9"/>
  <dimension ref="A1:Q47"/>
  <sheetViews>
    <sheetView showGridLines="0" zoomScaleNormal="100" workbookViewId="0"/>
  </sheetViews>
  <sheetFormatPr defaultColWidth="9" defaultRowHeight="18.75" x14ac:dyDescent="0.4"/>
  <cols>
    <col min="1" max="1" width="13" style="29" customWidth="1"/>
    <col min="2" max="3" width="9" style="29" customWidth="1"/>
    <col min="4" max="4" width="3.625" style="29" customWidth="1"/>
    <col min="5" max="5" width="3.625" style="123" bestFit="1" customWidth="1"/>
    <col min="6" max="6" width="11" style="39" bestFit="1" customWidth="1"/>
    <col min="7" max="9" width="9" style="29" customWidth="1"/>
    <col min="10" max="10" width="3.625" style="29" customWidth="1"/>
    <col min="11" max="11" width="3.5" style="34" customWidth="1"/>
    <col min="12" max="12" width="9" style="95" customWidth="1"/>
    <col min="13" max="13" width="3.625" style="29" customWidth="1"/>
    <col min="14" max="14" width="9" style="110" customWidth="1"/>
    <col min="15" max="15" width="9" style="120" customWidth="1"/>
    <col min="16" max="16" width="9" style="114" customWidth="1"/>
    <col min="17" max="17" width="3.625" style="102" customWidth="1"/>
    <col min="18" max="16384" width="9" style="29"/>
  </cols>
  <sheetData>
    <row r="1" spans="1:17" x14ac:dyDescent="0.4">
      <c r="A1" s="49" t="s">
        <v>0</v>
      </c>
      <c r="B1" s="141" t="s">
        <v>159</v>
      </c>
      <c r="C1" s="142"/>
      <c r="E1" s="124" t="s">
        <v>154</v>
      </c>
      <c r="F1" s="134" t="s">
        <v>108</v>
      </c>
      <c r="G1" s="133" t="s">
        <v>109</v>
      </c>
      <c r="H1" s="125" t="s">
        <v>110</v>
      </c>
      <c r="I1" s="134" t="s">
        <v>142</v>
      </c>
      <c r="K1" s="30" t="s">
        <v>20</v>
      </c>
      <c r="L1" s="31" t="s">
        <v>113</v>
      </c>
      <c r="M1" s="126"/>
      <c r="N1" s="108" t="s">
        <v>126</v>
      </c>
      <c r="O1" s="30" t="s">
        <v>127</v>
      </c>
      <c r="P1" s="112" t="s">
        <v>109</v>
      </c>
      <c r="Q1" s="96" t="s">
        <v>146</v>
      </c>
    </row>
    <row r="2" spans="1:17" x14ac:dyDescent="0.4">
      <c r="A2" s="50" t="s">
        <v>9</v>
      </c>
      <c r="B2" s="143">
        <v>2</v>
      </c>
      <c r="C2" s="144"/>
      <c r="E2" s="58" t="s">
        <v>61</v>
      </c>
      <c r="F2" s="55" t="s">
        <v>21</v>
      </c>
      <c r="G2" s="42">
        <v>0</v>
      </c>
      <c r="H2" s="127">
        <f>IF(B$19=0,0,G2/B$19)</f>
        <v>0</v>
      </c>
      <c r="I2" s="89">
        <v>3</v>
      </c>
      <c r="K2" s="32">
        <v>0</v>
      </c>
      <c r="L2" s="94">
        <v>0</v>
      </c>
      <c r="N2" s="109" t="s">
        <v>120</v>
      </c>
      <c r="O2" s="116">
        <f t="shared" ref="O2:O9" si="0">IF(P2=0,0,Q2/P2)</f>
        <v>-8000</v>
      </c>
      <c r="P2" s="113">
        <v>2</v>
      </c>
      <c r="Q2" s="97">
        <v>-16000</v>
      </c>
    </row>
    <row r="3" spans="1:17" x14ac:dyDescent="0.4">
      <c r="A3" s="51" t="s">
        <v>8</v>
      </c>
      <c r="B3" s="145">
        <v>20</v>
      </c>
      <c r="C3" s="146"/>
      <c r="E3" s="59" t="s">
        <v>62</v>
      </c>
      <c r="F3" s="56" t="s">
        <v>22</v>
      </c>
      <c r="G3" s="43">
        <v>0</v>
      </c>
      <c r="H3" s="128">
        <f>IF(B$19=0,0,G3/B$19)</f>
        <v>0</v>
      </c>
      <c r="I3" s="90">
        <v>3</v>
      </c>
      <c r="K3" s="34">
        <v>1</v>
      </c>
      <c r="L3" s="95">
        <v>81.3</v>
      </c>
      <c r="N3" s="110" t="s">
        <v>121</v>
      </c>
      <c r="O3" s="117">
        <f t="shared" si="0"/>
        <v>-3000</v>
      </c>
      <c r="P3" s="114">
        <v>2</v>
      </c>
      <c r="Q3" s="98">
        <v>-6000</v>
      </c>
    </row>
    <row r="4" spans="1:17" x14ac:dyDescent="0.4">
      <c r="A4" s="51" t="s">
        <v>6</v>
      </c>
      <c r="B4" s="147">
        <v>162.6</v>
      </c>
      <c r="C4" s="148"/>
      <c r="E4" s="59" t="s">
        <v>63</v>
      </c>
      <c r="F4" s="56" t="s">
        <v>23</v>
      </c>
      <c r="G4" s="43">
        <v>6</v>
      </c>
      <c r="H4" s="128">
        <f>IF(B$19=0,0,G4/B$19)</f>
        <v>0.75</v>
      </c>
      <c r="I4" s="90">
        <v>2</v>
      </c>
      <c r="K4" s="34">
        <v>2</v>
      </c>
      <c r="L4" s="95">
        <v>162.6</v>
      </c>
      <c r="N4" s="110" t="s">
        <v>122</v>
      </c>
      <c r="O4" s="117">
        <f t="shared" si="0"/>
        <v>-300</v>
      </c>
      <c r="P4" s="114">
        <v>2</v>
      </c>
      <c r="Q4" s="98">
        <v>-600</v>
      </c>
    </row>
    <row r="5" spans="1:17" x14ac:dyDescent="0.4">
      <c r="A5" s="51" t="s">
        <v>7</v>
      </c>
      <c r="B5" s="149">
        <f>IF(B$2=0,0,B$4/B$2)</f>
        <v>81.3</v>
      </c>
      <c r="C5" s="150"/>
      <c r="E5" s="59" t="s">
        <v>64</v>
      </c>
      <c r="F5" s="56" t="s">
        <v>24</v>
      </c>
      <c r="G5" s="43">
        <v>6</v>
      </c>
      <c r="H5" s="128">
        <f>IF(B$19=0,0,G5/B$19)</f>
        <v>0.75</v>
      </c>
      <c r="I5" s="90">
        <v>1</v>
      </c>
      <c r="N5" s="110" t="s">
        <v>166</v>
      </c>
      <c r="O5" s="117">
        <f t="shared" si="0"/>
        <v>5300</v>
      </c>
      <c r="P5" s="114">
        <v>2</v>
      </c>
      <c r="Q5" s="98">
        <v>10600</v>
      </c>
    </row>
    <row r="6" spans="1:17" x14ac:dyDescent="0.4">
      <c r="A6" s="51" t="s">
        <v>1</v>
      </c>
      <c r="B6" s="139">
        <f>IF(B$2=0,0,(B$7*1+B$8*2+B$9*3+B$10*4)/B$2)</f>
        <v>1</v>
      </c>
      <c r="C6" s="140"/>
      <c r="E6" s="59" t="s">
        <v>65</v>
      </c>
      <c r="F6" s="56" t="s">
        <v>12</v>
      </c>
      <c r="G6" s="43">
        <v>4</v>
      </c>
      <c r="H6" s="128">
        <f>IF(B$19=0,0,G6/B$19)</f>
        <v>0.5</v>
      </c>
      <c r="I6" s="90">
        <v>2</v>
      </c>
      <c r="N6" s="110" t="s">
        <v>123</v>
      </c>
      <c r="O6" s="117">
        <f t="shared" si="0"/>
        <v>32000</v>
      </c>
      <c r="P6" s="114">
        <v>2</v>
      </c>
      <c r="Q6" s="98">
        <v>64000</v>
      </c>
    </row>
    <row r="7" spans="1:17" x14ac:dyDescent="0.4">
      <c r="A7" s="51" t="s">
        <v>2</v>
      </c>
      <c r="B7" s="43">
        <v>2</v>
      </c>
      <c r="C7" s="35">
        <f>IF(B$2=0,0,B7/B$2)</f>
        <v>1</v>
      </c>
      <c r="E7" s="59" t="s">
        <v>66</v>
      </c>
      <c r="F7" s="56" t="s">
        <v>25</v>
      </c>
      <c r="G7" s="43">
        <v>4</v>
      </c>
      <c r="H7" s="128">
        <f>IF(B$19=0,0,G7/B$19)</f>
        <v>0.5</v>
      </c>
      <c r="I7" s="90">
        <v>1</v>
      </c>
      <c r="N7" s="110" t="s">
        <v>124</v>
      </c>
      <c r="O7" s="117">
        <f t="shared" si="0"/>
        <v>-16000</v>
      </c>
      <c r="P7" s="114">
        <v>2</v>
      </c>
      <c r="Q7" s="98">
        <v>-32000</v>
      </c>
    </row>
    <row r="8" spans="1:17" x14ac:dyDescent="0.4">
      <c r="A8" s="51" t="s">
        <v>3</v>
      </c>
      <c r="B8" s="43">
        <v>0</v>
      </c>
      <c r="C8" s="35">
        <f>IF(B$2=0,0,B8/B$2)</f>
        <v>0</v>
      </c>
      <c r="E8" s="59" t="s">
        <v>67</v>
      </c>
      <c r="F8" s="56" t="s">
        <v>26</v>
      </c>
      <c r="G8" s="43">
        <v>2</v>
      </c>
      <c r="H8" s="128">
        <f>IF(B$19=0,0,G8/B$19)</f>
        <v>0.25</v>
      </c>
      <c r="I8" s="90">
        <v>1</v>
      </c>
      <c r="N8" s="110" t="s">
        <v>125</v>
      </c>
      <c r="O8" s="117">
        <f t="shared" si="0"/>
        <v>-7700</v>
      </c>
      <c r="P8" s="114">
        <v>2</v>
      </c>
      <c r="Q8" s="98">
        <v>-15400</v>
      </c>
    </row>
    <row r="9" spans="1:17" x14ac:dyDescent="0.4">
      <c r="A9" s="52" t="s">
        <v>4</v>
      </c>
      <c r="B9" s="44">
        <v>0</v>
      </c>
      <c r="C9" s="36">
        <f t="shared" ref="C9:C10" si="1">IF(B$2=0,0,B9/B$2)</f>
        <v>0</v>
      </c>
      <c r="E9" s="59" t="s">
        <v>68</v>
      </c>
      <c r="F9" s="56" t="s">
        <v>27</v>
      </c>
      <c r="G9" s="43">
        <v>2</v>
      </c>
      <c r="H9" s="128">
        <f>IF(B$19=0,0,G9/B$19)</f>
        <v>0.25</v>
      </c>
      <c r="I9" s="90">
        <v>1</v>
      </c>
      <c r="N9" s="111" t="s">
        <v>165</v>
      </c>
      <c r="O9" s="118">
        <f t="shared" si="0"/>
        <v>64000</v>
      </c>
      <c r="P9" s="115">
        <v>2</v>
      </c>
      <c r="Q9" s="99">
        <v>128000</v>
      </c>
    </row>
    <row r="10" spans="1:17" x14ac:dyDescent="0.4">
      <c r="A10" s="52" t="s">
        <v>162</v>
      </c>
      <c r="B10" s="44">
        <v>0</v>
      </c>
      <c r="C10" s="36">
        <f t="shared" si="1"/>
        <v>0</v>
      </c>
      <c r="E10" s="59" t="s">
        <v>69</v>
      </c>
      <c r="F10" s="56" t="s">
        <v>28</v>
      </c>
      <c r="G10" s="43">
        <v>4</v>
      </c>
      <c r="H10" s="128">
        <f>IF(B$19=0,0,G10/B$19)</f>
        <v>0.5</v>
      </c>
      <c r="I10" s="90">
        <v>1</v>
      </c>
      <c r="N10" s="39"/>
      <c r="O10" s="122"/>
      <c r="P10" s="106"/>
      <c r="Q10" s="104"/>
    </row>
    <row r="11" spans="1:17" x14ac:dyDescent="0.4">
      <c r="A11" s="52" t="s">
        <v>171</v>
      </c>
      <c r="B11" s="44">
        <f>トップ数+B8</f>
        <v>2</v>
      </c>
      <c r="C11" s="36">
        <f>IF(B$2=0,0,B11/B$2)</f>
        <v>1</v>
      </c>
      <c r="E11" s="59" t="s">
        <v>70</v>
      </c>
      <c r="F11" s="56" t="s">
        <v>29</v>
      </c>
      <c r="G11" s="43">
        <v>0</v>
      </c>
      <c r="H11" s="128">
        <f>IF(B$19=0,0,G11/B$19)</f>
        <v>0</v>
      </c>
      <c r="I11" s="90">
        <v>1</v>
      </c>
      <c r="N11" s="108" t="s">
        <v>151</v>
      </c>
      <c r="O11" s="30" t="s">
        <v>113</v>
      </c>
      <c r="P11" s="112" t="s">
        <v>109</v>
      </c>
      <c r="Q11" s="100" t="s">
        <v>146</v>
      </c>
    </row>
    <row r="12" spans="1:17" x14ac:dyDescent="0.4">
      <c r="A12" s="52" t="s">
        <v>19</v>
      </c>
      <c r="B12" s="44">
        <v>0</v>
      </c>
      <c r="C12" s="36">
        <f>IF(B$2=0,0,B12/B$2)</f>
        <v>0</v>
      </c>
      <c r="E12" s="59" t="s">
        <v>71</v>
      </c>
      <c r="F12" s="56" t="s">
        <v>30</v>
      </c>
      <c r="G12" s="43">
        <v>2</v>
      </c>
      <c r="H12" s="128">
        <f>IF(B$19=0,0,G12/B$19)</f>
        <v>0.25</v>
      </c>
      <c r="I12" s="90">
        <v>1</v>
      </c>
      <c r="N12" s="109" t="s">
        <v>152</v>
      </c>
      <c r="O12" s="119">
        <f>IF(P12=0,0,Q12/P12)</f>
        <v>0</v>
      </c>
      <c r="P12" s="113">
        <v>0</v>
      </c>
      <c r="Q12" s="101">
        <v>0</v>
      </c>
    </row>
    <row r="13" spans="1:17" x14ac:dyDescent="0.4">
      <c r="A13" s="52" t="s">
        <v>128</v>
      </c>
      <c r="B13" s="44">
        <v>2</v>
      </c>
      <c r="C13" s="36">
        <f>IF(B$2=0,0,B13/B$2)</f>
        <v>1</v>
      </c>
      <c r="E13" s="59" t="s">
        <v>72</v>
      </c>
      <c r="F13" s="56" t="s">
        <v>31</v>
      </c>
      <c r="G13" s="43">
        <v>4</v>
      </c>
      <c r="H13" s="128">
        <f>IF(B$19=0,0,G13/B$19)</f>
        <v>0.5</v>
      </c>
      <c r="I13" s="90">
        <v>1</v>
      </c>
      <c r="N13" s="110" t="s">
        <v>153</v>
      </c>
      <c r="O13" s="120">
        <f>IF(P13=0,0,Q13/P13)</f>
        <v>81.3</v>
      </c>
      <c r="P13" s="114">
        <v>2</v>
      </c>
      <c r="Q13" s="102">
        <v>162.6</v>
      </c>
    </row>
    <row r="14" spans="1:17" x14ac:dyDescent="0.4">
      <c r="A14" s="53" t="s">
        <v>148</v>
      </c>
      <c r="B14" s="45">
        <v>2</v>
      </c>
      <c r="C14" s="38">
        <f>IF(B$2=0,0,B14/B$2)</f>
        <v>1</v>
      </c>
      <c r="E14" s="59" t="s">
        <v>73</v>
      </c>
      <c r="F14" s="56" t="s">
        <v>32</v>
      </c>
      <c r="G14" s="43">
        <v>0</v>
      </c>
      <c r="H14" s="128">
        <f>IF(B$19=0,0,G14/B$19)</f>
        <v>0</v>
      </c>
      <c r="I14" s="90">
        <v>1</v>
      </c>
      <c r="N14" s="110" t="s">
        <v>163</v>
      </c>
      <c r="O14" s="120">
        <f>IF(P14=0,0,Q14/P14)</f>
        <v>0</v>
      </c>
      <c r="P14" s="114">
        <v>0</v>
      </c>
      <c r="Q14" s="102">
        <v>0</v>
      </c>
    </row>
    <row r="15" spans="1:17" x14ac:dyDescent="0.4">
      <c r="A15" s="54" t="s">
        <v>114</v>
      </c>
      <c r="B15" s="46">
        <v>4</v>
      </c>
      <c r="C15" s="40">
        <f>IF(B$3=0,0,B15/B$3)</f>
        <v>0.2</v>
      </c>
      <c r="E15" s="59" t="s">
        <v>74</v>
      </c>
      <c r="F15" s="56" t="s">
        <v>33</v>
      </c>
      <c r="G15" s="43">
        <v>0</v>
      </c>
      <c r="H15" s="128">
        <f>IF(B$19=0,0,G15/B$19)</f>
        <v>0</v>
      </c>
      <c r="I15" s="90">
        <v>1</v>
      </c>
      <c r="N15" s="111" t="s">
        <v>164</v>
      </c>
      <c r="O15" s="121">
        <f>IF(P15=0,0,Q15/P15)</f>
        <v>0</v>
      </c>
      <c r="P15" s="115">
        <v>0</v>
      </c>
      <c r="Q15" s="103">
        <v>0</v>
      </c>
    </row>
    <row r="16" spans="1:17" x14ac:dyDescent="0.4">
      <c r="A16" s="51" t="s">
        <v>111</v>
      </c>
      <c r="B16" s="43">
        <v>0</v>
      </c>
      <c r="C16" s="35">
        <f>IF(B$3=0,0,B16/B$3)</f>
        <v>0</v>
      </c>
      <c r="E16" s="59" t="s">
        <v>75</v>
      </c>
      <c r="F16" s="56" t="s">
        <v>34</v>
      </c>
      <c r="G16" s="43">
        <v>0</v>
      </c>
      <c r="H16" s="128">
        <f>IF(B$19=0,0,G16/B$19)</f>
        <v>0</v>
      </c>
      <c r="I16" s="90">
        <v>3</v>
      </c>
      <c r="N16" s="29"/>
      <c r="O16" s="105"/>
      <c r="P16" s="107"/>
      <c r="Q16" s="105"/>
    </row>
    <row r="17" spans="1:17" x14ac:dyDescent="0.4">
      <c r="A17" s="50" t="s">
        <v>116</v>
      </c>
      <c r="B17" s="42">
        <v>2</v>
      </c>
      <c r="C17" s="33">
        <f>IF(B$15=0,0,B17/B$15)</f>
        <v>0.5</v>
      </c>
      <c r="E17" s="59" t="s">
        <v>76</v>
      </c>
      <c r="F17" s="56" t="s">
        <v>35</v>
      </c>
      <c r="G17" s="43">
        <v>0</v>
      </c>
      <c r="H17" s="128">
        <f>IF(B$19=0,0,G17/B$19)</f>
        <v>0</v>
      </c>
      <c r="I17" s="90">
        <v>3</v>
      </c>
      <c r="N17" s="108" t="s">
        <v>143</v>
      </c>
      <c r="O17" s="30" t="s">
        <v>113</v>
      </c>
      <c r="P17" s="112" t="s">
        <v>109</v>
      </c>
      <c r="Q17" s="100" t="s">
        <v>146</v>
      </c>
    </row>
    <row r="18" spans="1:17" x14ac:dyDescent="0.4">
      <c r="A18" s="50" t="s">
        <v>117</v>
      </c>
      <c r="B18" s="42">
        <v>0</v>
      </c>
      <c r="C18" s="33">
        <f>IF(B$16=0,0,B18/B$16)</f>
        <v>0</v>
      </c>
      <c r="E18" s="59" t="s">
        <v>168</v>
      </c>
      <c r="F18" s="56" t="s">
        <v>169</v>
      </c>
      <c r="G18" s="43">
        <v>2</v>
      </c>
      <c r="H18" s="128">
        <f>IF(B$19=0,0,G18/B$19)</f>
        <v>0.25</v>
      </c>
      <c r="I18" s="90">
        <v>1</v>
      </c>
      <c r="N18" s="109" t="s">
        <v>160</v>
      </c>
      <c r="O18" s="119">
        <f>IF(P18=0,0,Q18/P18)</f>
        <v>50.2</v>
      </c>
      <c r="P18" s="113">
        <v>2</v>
      </c>
      <c r="Q18" s="101">
        <v>100.4</v>
      </c>
    </row>
    <row r="19" spans="1:17" x14ac:dyDescent="0.4">
      <c r="A19" s="50" t="s">
        <v>10</v>
      </c>
      <c r="B19" s="42">
        <f>B21+B20</f>
        <v>8</v>
      </c>
      <c r="C19" s="33">
        <f>IF(B$3=0,0,B19/B$3)</f>
        <v>0.4</v>
      </c>
      <c r="E19" s="59" t="s">
        <v>77</v>
      </c>
      <c r="F19" s="56" t="s">
        <v>36</v>
      </c>
      <c r="G19" s="43">
        <v>0</v>
      </c>
      <c r="H19" s="128">
        <f>IF(B$19=0,0,G19/B$19)</f>
        <v>0</v>
      </c>
      <c r="I19" s="90">
        <v>1</v>
      </c>
      <c r="N19" s="110" t="s">
        <v>167</v>
      </c>
      <c r="O19" s="120">
        <f>IF(P19=0,0,Q19/P19)</f>
        <v>178.7</v>
      </c>
      <c r="P19" s="114">
        <v>2</v>
      </c>
      <c r="Q19" s="102">
        <v>357.4</v>
      </c>
    </row>
    <row r="20" spans="1:17" x14ac:dyDescent="0.4">
      <c r="A20" s="51" t="s">
        <v>12</v>
      </c>
      <c r="B20" s="43">
        <v>4</v>
      </c>
      <c r="C20" s="35">
        <f>IF(B$19=0,0,B20/B$19)</f>
        <v>0.5</v>
      </c>
      <c r="E20" s="59" t="s">
        <v>78</v>
      </c>
      <c r="F20" s="56" t="s">
        <v>37</v>
      </c>
      <c r="G20" s="43">
        <v>0</v>
      </c>
      <c r="H20" s="128">
        <f>IF(B$19=0,0,G20/B$19)</f>
        <v>0</v>
      </c>
      <c r="I20" s="90">
        <v>3</v>
      </c>
      <c r="N20" s="110" t="s">
        <v>161</v>
      </c>
      <c r="O20" s="120">
        <f>IF(P20=0,0,Q20/P20)</f>
        <v>96.3</v>
      </c>
      <c r="P20" s="114">
        <v>2</v>
      </c>
      <c r="Q20" s="102">
        <v>192.6</v>
      </c>
    </row>
    <row r="21" spans="1:17" x14ac:dyDescent="0.4">
      <c r="A21" s="51" t="s">
        <v>11</v>
      </c>
      <c r="B21" s="43">
        <v>4</v>
      </c>
      <c r="C21" s="35">
        <f>IF(B$19=0,0,B21/B$19)</f>
        <v>0.5</v>
      </c>
      <c r="E21" s="59" t="s">
        <v>79</v>
      </c>
      <c r="F21" s="56" t="s">
        <v>38</v>
      </c>
      <c r="G21" s="43">
        <v>2</v>
      </c>
      <c r="H21" s="128">
        <f>IF(B$19=0,0,G21/B$19)</f>
        <v>0.25</v>
      </c>
      <c r="I21" s="90">
        <v>1</v>
      </c>
    </row>
    <row r="22" spans="1:17" x14ac:dyDescent="0.4">
      <c r="A22" s="51" t="s">
        <v>13</v>
      </c>
      <c r="B22" s="43">
        <v>2</v>
      </c>
      <c r="C22" s="35">
        <f>IF(B$3=0,0,B22/B$3)</f>
        <v>0.1</v>
      </c>
      <c r="E22" s="59" t="s">
        <v>80</v>
      </c>
      <c r="F22" s="56" t="s">
        <v>39</v>
      </c>
      <c r="G22" s="43">
        <v>0</v>
      </c>
      <c r="H22" s="128">
        <f>IF(B$19=0,0,G22/B$19)</f>
        <v>0</v>
      </c>
      <c r="I22" s="90">
        <v>1</v>
      </c>
    </row>
    <row r="23" spans="1:17" x14ac:dyDescent="0.4">
      <c r="A23" s="51" t="s">
        <v>155</v>
      </c>
      <c r="B23" s="43">
        <v>2</v>
      </c>
      <c r="C23" s="130">
        <v>2</v>
      </c>
      <c r="E23" s="59" t="s">
        <v>81</v>
      </c>
      <c r="F23" s="56" t="s">
        <v>40</v>
      </c>
      <c r="G23" s="43">
        <v>0</v>
      </c>
      <c r="H23" s="128">
        <f>IF(B$19=0,0,G23/B$19)</f>
        <v>0</v>
      </c>
      <c r="I23" s="90">
        <v>1</v>
      </c>
    </row>
    <row r="24" spans="1:17" x14ac:dyDescent="0.4">
      <c r="A24" s="51" t="s">
        <v>156</v>
      </c>
      <c r="B24" s="43">
        <v>0</v>
      </c>
      <c r="C24" s="130">
        <v>9</v>
      </c>
      <c r="E24" s="59" t="s">
        <v>82</v>
      </c>
      <c r="F24" s="56" t="s">
        <v>41</v>
      </c>
      <c r="G24" s="43">
        <v>0</v>
      </c>
      <c r="H24" s="128">
        <f>IF(B$19=0,0,G24/B$19)</f>
        <v>0</v>
      </c>
      <c r="I24" s="90">
        <v>3</v>
      </c>
    </row>
    <row r="25" spans="1:17" x14ac:dyDescent="0.4">
      <c r="A25" s="51" t="s">
        <v>5</v>
      </c>
      <c r="B25" s="47">
        <f>IF(B$19=0,0,C25/B$19)</f>
        <v>28000</v>
      </c>
      <c r="C25" s="37">
        <v>224000</v>
      </c>
      <c r="E25" s="59" t="s">
        <v>83</v>
      </c>
      <c r="F25" s="56" t="s">
        <v>42</v>
      </c>
      <c r="G25" s="43">
        <v>0</v>
      </c>
      <c r="H25" s="128">
        <f>IF(B$19=0,0,G25/B$19)</f>
        <v>0</v>
      </c>
      <c r="I25" s="90">
        <v>3</v>
      </c>
    </row>
    <row r="26" spans="1:17" x14ac:dyDescent="0.4">
      <c r="A26" s="53" t="s">
        <v>14</v>
      </c>
      <c r="B26" s="48">
        <f>IF(B$22=0,0,C26/B$22)</f>
        <v>-8000</v>
      </c>
      <c r="C26" s="41">
        <v>-16000</v>
      </c>
      <c r="E26" s="59" t="s">
        <v>84</v>
      </c>
      <c r="F26" s="56" t="s">
        <v>43</v>
      </c>
      <c r="G26" s="43">
        <v>0</v>
      </c>
      <c r="H26" s="128">
        <f>IF(B$19=0,0,G26/B$19)</f>
        <v>0</v>
      </c>
      <c r="I26" s="90">
        <v>1</v>
      </c>
    </row>
    <row r="27" spans="1:17" x14ac:dyDescent="0.4">
      <c r="A27" s="86" t="s">
        <v>130</v>
      </c>
      <c r="B27" s="137">
        <v>3</v>
      </c>
      <c r="C27" s="138"/>
      <c r="E27" s="59" t="s">
        <v>85</v>
      </c>
      <c r="F27" s="56" t="s">
        <v>44</v>
      </c>
      <c r="G27" s="43">
        <v>0</v>
      </c>
      <c r="H27" s="128">
        <f>IF(B$19=0,0,G27/B$19)</f>
        <v>0</v>
      </c>
      <c r="I27" s="90">
        <v>1</v>
      </c>
    </row>
    <row r="28" spans="1:17" x14ac:dyDescent="0.4">
      <c r="A28" s="54" t="s">
        <v>140</v>
      </c>
      <c r="B28" s="135">
        <v>91300</v>
      </c>
      <c r="C28" s="136"/>
      <c r="E28" s="59" t="s">
        <v>86</v>
      </c>
      <c r="F28" s="56" t="s">
        <v>45</v>
      </c>
      <c r="G28" s="43">
        <v>0</v>
      </c>
      <c r="H28" s="128">
        <f>IF(B$19=0,0,G28/B$19)</f>
        <v>0</v>
      </c>
      <c r="I28" s="90">
        <v>1</v>
      </c>
    </row>
    <row r="29" spans="1:17" x14ac:dyDescent="0.4">
      <c r="A29" s="53" t="s">
        <v>131</v>
      </c>
      <c r="B29" s="61">
        <v>0</v>
      </c>
      <c r="C29" s="38">
        <f>IF(B$3=0,0,B29/B$3)</f>
        <v>0</v>
      </c>
      <c r="E29" s="59" t="s">
        <v>87</v>
      </c>
      <c r="F29" s="56" t="s">
        <v>46</v>
      </c>
      <c r="G29" s="43">
        <v>0</v>
      </c>
      <c r="H29" s="128">
        <f>IF(B$19=0,0,G29/B$19)</f>
        <v>0</v>
      </c>
      <c r="I29" s="90">
        <v>1</v>
      </c>
    </row>
    <row r="30" spans="1:17" x14ac:dyDescent="0.4">
      <c r="E30" s="59" t="s">
        <v>88</v>
      </c>
      <c r="F30" s="56" t="s">
        <v>47</v>
      </c>
      <c r="G30" s="43">
        <v>0</v>
      </c>
      <c r="H30" s="128">
        <f>IF(B$19=0,0,G30/B$19)</f>
        <v>0</v>
      </c>
      <c r="I30" s="90">
        <v>1</v>
      </c>
    </row>
    <row r="31" spans="1:17" x14ac:dyDescent="0.4">
      <c r="E31" s="59" t="s">
        <v>89</v>
      </c>
      <c r="F31" s="56" t="s">
        <v>48</v>
      </c>
      <c r="G31" s="43">
        <v>0</v>
      </c>
      <c r="H31" s="128">
        <f>IF(B$19=0,0,G31/B$19)</f>
        <v>0</v>
      </c>
      <c r="I31" s="90">
        <v>1</v>
      </c>
    </row>
    <row r="32" spans="1:17" x14ac:dyDescent="0.4">
      <c r="E32" s="59" t="s">
        <v>90</v>
      </c>
      <c r="F32" s="56" t="s">
        <v>49</v>
      </c>
      <c r="G32" s="43">
        <v>0</v>
      </c>
      <c r="H32" s="128">
        <f>IF(B$19=0,0,G32/B$19)</f>
        <v>0</v>
      </c>
      <c r="I32" s="90">
        <v>1</v>
      </c>
    </row>
    <row r="33" spans="5:9" x14ac:dyDescent="0.4">
      <c r="E33" s="59" t="s">
        <v>91</v>
      </c>
      <c r="F33" s="56" t="s">
        <v>50</v>
      </c>
      <c r="G33" s="43">
        <v>0</v>
      </c>
      <c r="H33" s="128">
        <f>IF(B$19=0,0,G33/B$19)</f>
        <v>0</v>
      </c>
      <c r="I33" s="90">
        <v>1</v>
      </c>
    </row>
    <row r="34" spans="5:9" x14ac:dyDescent="0.4">
      <c r="E34" s="59" t="s">
        <v>92</v>
      </c>
      <c r="F34" s="56" t="s">
        <v>51</v>
      </c>
      <c r="G34" s="43">
        <v>0</v>
      </c>
      <c r="H34" s="128">
        <f>IF(B$19=0,0,G34/B$19)</f>
        <v>0</v>
      </c>
      <c r="I34" s="90">
        <v>1</v>
      </c>
    </row>
    <row r="35" spans="5:9" x14ac:dyDescent="0.4">
      <c r="E35" s="59" t="s">
        <v>93</v>
      </c>
      <c r="F35" s="56" t="s">
        <v>52</v>
      </c>
      <c r="G35" s="43">
        <v>0</v>
      </c>
      <c r="H35" s="128">
        <f>IF(B$19=0,0,G35/B$19)</f>
        <v>0</v>
      </c>
      <c r="I35" s="90">
        <v>1</v>
      </c>
    </row>
    <row r="36" spans="5:9" x14ac:dyDescent="0.4">
      <c r="E36" s="59" t="s">
        <v>94</v>
      </c>
      <c r="F36" s="56" t="s">
        <v>53</v>
      </c>
      <c r="G36" s="43">
        <v>0</v>
      </c>
      <c r="H36" s="128">
        <f>IF(B$19=0,0,G36/B$19)</f>
        <v>0</v>
      </c>
      <c r="I36" s="90">
        <v>1</v>
      </c>
    </row>
    <row r="37" spans="5:9" x14ac:dyDescent="0.4">
      <c r="E37" s="59" t="s">
        <v>95</v>
      </c>
      <c r="F37" s="56" t="s">
        <v>54</v>
      </c>
      <c r="G37" s="43">
        <v>0</v>
      </c>
      <c r="H37" s="128">
        <f>IF(B$19=0,0,G37/B$19)</f>
        <v>0</v>
      </c>
      <c r="I37" s="90">
        <v>3</v>
      </c>
    </row>
    <row r="38" spans="5:9" x14ac:dyDescent="0.4">
      <c r="E38" s="59" t="s">
        <v>96</v>
      </c>
      <c r="F38" s="56" t="s">
        <v>55</v>
      </c>
      <c r="G38" s="43">
        <v>0</v>
      </c>
      <c r="H38" s="128">
        <f>IF(B$19=0,0,G38/B$19)</f>
        <v>0</v>
      </c>
      <c r="I38" s="90">
        <v>1</v>
      </c>
    </row>
    <row r="39" spans="5:9" x14ac:dyDescent="0.4">
      <c r="E39" s="59" t="s">
        <v>97</v>
      </c>
      <c r="F39" s="56" t="s">
        <v>56</v>
      </c>
      <c r="G39" s="43">
        <v>0</v>
      </c>
      <c r="H39" s="128">
        <f>IF(B$19=0,0,G39/B$19)</f>
        <v>0</v>
      </c>
      <c r="I39" s="90">
        <v>1</v>
      </c>
    </row>
    <row r="40" spans="5:9" x14ac:dyDescent="0.4">
      <c r="E40" s="59" t="s">
        <v>98</v>
      </c>
      <c r="F40" s="56" t="s">
        <v>57</v>
      </c>
      <c r="G40" s="43">
        <v>0</v>
      </c>
      <c r="H40" s="128">
        <f>IF(B$19=0,0,G40/B$19)</f>
        <v>0</v>
      </c>
      <c r="I40" s="90">
        <v>1</v>
      </c>
    </row>
    <row r="41" spans="5:9" x14ac:dyDescent="0.4">
      <c r="E41" s="59" t="s">
        <v>99</v>
      </c>
      <c r="F41" s="56" t="s">
        <v>58</v>
      </c>
      <c r="G41" s="43">
        <v>0</v>
      </c>
      <c r="H41" s="128">
        <f>IF(B$19=0,0,G41/B$19)</f>
        <v>0</v>
      </c>
      <c r="I41" s="90">
        <v>3</v>
      </c>
    </row>
    <row r="42" spans="5:9" x14ac:dyDescent="0.4">
      <c r="E42" s="59" t="s">
        <v>100</v>
      </c>
      <c r="F42" s="56" t="s">
        <v>59</v>
      </c>
      <c r="G42" s="43">
        <v>0</v>
      </c>
      <c r="H42" s="128">
        <f>IF(B$19=0,0,G42/B$19)</f>
        <v>0</v>
      </c>
      <c r="I42" s="90">
        <v>1</v>
      </c>
    </row>
    <row r="43" spans="5:9" x14ac:dyDescent="0.4">
      <c r="E43" s="59" t="s">
        <v>101</v>
      </c>
      <c r="F43" s="56" t="s">
        <v>60</v>
      </c>
      <c r="G43" s="43">
        <v>0</v>
      </c>
      <c r="H43" s="128">
        <f>IF(B$19=0,0,G43/B$19)</f>
        <v>0</v>
      </c>
      <c r="I43" s="90">
        <v>1</v>
      </c>
    </row>
    <row r="44" spans="5:9" x14ac:dyDescent="0.4">
      <c r="E44" s="59" t="s">
        <v>102</v>
      </c>
      <c r="F44" s="56" t="s">
        <v>105</v>
      </c>
      <c r="G44" s="43">
        <v>0</v>
      </c>
      <c r="H44" s="128">
        <f>IF(B$19=0,0,G44/B$19)</f>
        <v>0</v>
      </c>
      <c r="I44" s="90">
        <v>1</v>
      </c>
    </row>
    <row r="45" spans="5:9" x14ac:dyDescent="0.4">
      <c r="E45" s="59" t="s">
        <v>103</v>
      </c>
      <c r="F45" s="56" t="s">
        <v>106</v>
      </c>
      <c r="G45" s="43">
        <v>0</v>
      </c>
      <c r="H45" s="128">
        <f>IF(B$19=0,0,G45/B$19)</f>
        <v>0</v>
      </c>
      <c r="I45" s="90">
        <v>1</v>
      </c>
    </row>
    <row r="46" spans="5:9" x14ac:dyDescent="0.4">
      <c r="E46" s="59" t="s">
        <v>104</v>
      </c>
      <c r="F46" s="56" t="s">
        <v>107</v>
      </c>
      <c r="G46" s="43">
        <v>2</v>
      </c>
      <c r="H46" s="128">
        <f>IF(B$19=0,0,G46/B$19)</f>
        <v>0.25</v>
      </c>
      <c r="I46" s="90">
        <v>1</v>
      </c>
    </row>
    <row r="47" spans="5:9" x14ac:dyDescent="0.4">
      <c r="E47" s="60" t="s">
        <v>157</v>
      </c>
      <c r="F47" s="57" t="s">
        <v>158</v>
      </c>
      <c r="G47" s="45">
        <v>4</v>
      </c>
      <c r="H47" s="129">
        <f>IF(B$19=0,0,G47/B$19)</f>
        <v>0.5</v>
      </c>
      <c r="I47" s="91">
        <v>1</v>
      </c>
    </row>
  </sheetData>
  <sortState xmlns:xlrd2="http://schemas.microsoft.com/office/spreadsheetml/2017/richdata2" ref="E2:I47">
    <sortCondition ref="E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6993C-EC69-45BC-865F-9D0F088CB443}">
  <sheetPr codeName="Sheet12"/>
  <dimension ref="A1:R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9" width="10.75" style="63"/>
    <col min="10" max="11" width="10.75" style="64"/>
    <col min="12" max="18" width="10.75" style="63"/>
    <col min="19" max="16384" width="10.75" style="66"/>
  </cols>
  <sheetData>
    <row r="1" spans="1:18" x14ac:dyDescent="0.4">
      <c r="A1" s="66" t="s">
        <v>160</v>
      </c>
      <c r="B1" s="66" t="s">
        <v>160</v>
      </c>
      <c r="C1" s="66" t="s">
        <v>160</v>
      </c>
      <c r="D1" s="67" t="s">
        <v>160</v>
      </c>
      <c r="E1" s="66" t="s">
        <v>160</v>
      </c>
      <c r="F1" s="66" t="s">
        <v>160</v>
      </c>
      <c r="G1" s="66" t="s">
        <v>160</v>
      </c>
      <c r="H1" s="66" t="s">
        <v>160</v>
      </c>
      <c r="I1" s="66" t="s">
        <v>160</v>
      </c>
      <c r="J1" s="66" t="s">
        <v>160</v>
      </c>
      <c r="K1" s="66" t="s">
        <v>160</v>
      </c>
      <c r="L1" s="66" t="s">
        <v>160</v>
      </c>
      <c r="M1" s="66" t="s">
        <v>160</v>
      </c>
      <c r="N1" s="66" t="s">
        <v>160</v>
      </c>
      <c r="O1" s="66" t="s">
        <v>160</v>
      </c>
      <c r="P1" s="66" t="s">
        <v>160</v>
      </c>
      <c r="Q1" s="66" t="s">
        <v>160</v>
      </c>
      <c r="R1" s="66" t="s">
        <v>160</v>
      </c>
    </row>
    <row r="2" spans="1:18" x14ac:dyDescent="0.4">
      <c r="A2" s="66" t="s">
        <v>9</v>
      </c>
      <c r="B2" s="66" t="s">
        <v>6</v>
      </c>
      <c r="C2" s="66" t="s">
        <v>7</v>
      </c>
      <c r="D2" s="67" t="s">
        <v>16</v>
      </c>
      <c r="E2" s="66" t="s">
        <v>15</v>
      </c>
      <c r="F2" s="66" t="s">
        <v>150</v>
      </c>
      <c r="G2" s="66" t="s">
        <v>170</v>
      </c>
      <c r="H2" s="66" t="s">
        <v>135</v>
      </c>
      <c r="I2" s="66" t="s">
        <v>134</v>
      </c>
      <c r="J2" s="66" t="s">
        <v>5</v>
      </c>
      <c r="K2" s="66" t="s">
        <v>17</v>
      </c>
      <c r="L2" s="66" t="s">
        <v>18</v>
      </c>
      <c r="M2" s="66" t="s">
        <v>129</v>
      </c>
      <c r="N2" s="66" t="s">
        <v>115</v>
      </c>
      <c r="O2" s="66" t="s">
        <v>112</v>
      </c>
      <c r="P2" s="66" t="s">
        <v>118</v>
      </c>
      <c r="Q2" s="66" t="s">
        <v>136</v>
      </c>
      <c r="R2" s="66" t="s">
        <v>132</v>
      </c>
    </row>
    <row r="3" spans="1:18" x14ac:dyDescent="0.4">
      <c r="A3" s="65">
        <v>0</v>
      </c>
      <c r="B3" s="62">
        <v>0</v>
      </c>
    </row>
    <row r="4" spans="1:18" x14ac:dyDescent="0.4">
      <c r="A4" s="65">
        <v>1</v>
      </c>
      <c r="B4" s="62">
        <v>31.1</v>
      </c>
      <c r="C4" s="62">
        <v>31.1</v>
      </c>
      <c r="D4" s="67">
        <v>2</v>
      </c>
      <c r="E4" s="63">
        <v>0</v>
      </c>
      <c r="F4" s="63">
        <v>0</v>
      </c>
      <c r="G4" s="63">
        <v>1</v>
      </c>
      <c r="H4" s="63">
        <v>0.3</v>
      </c>
      <c r="I4" s="63">
        <v>0.1</v>
      </c>
      <c r="J4" s="64">
        <v>20000</v>
      </c>
      <c r="K4" s="64">
        <v>-8000</v>
      </c>
      <c r="L4" s="63">
        <v>0</v>
      </c>
      <c r="M4" s="63">
        <v>0</v>
      </c>
      <c r="N4" s="63">
        <v>0.2</v>
      </c>
      <c r="O4" s="63">
        <v>0.1</v>
      </c>
      <c r="P4" s="63">
        <v>0.5</v>
      </c>
      <c r="Q4" s="63">
        <v>1</v>
      </c>
      <c r="R4" s="63">
        <v>0.66666666666666663</v>
      </c>
    </row>
    <row r="5" spans="1:18" x14ac:dyDescent="0.4">
      <c r="A5" s="65">
        <v>2</v>
      </c>
      <c r="B5" s="62">
        <v>62.2</v>
      </c>
      <c r="C5" s="62">
        <v>31.1</v>
      </c>
      <c r="D5" s="67">
        <v>2</v>
      </c>
      <c r="E5" s="63">
        <v>0</v>
      </c>
      <c r="F5" s="63">
        <v>0</v>
      </c>
      <c r="G5" s="63">
        <v>1</v>
      </c>
      <c r="H5" s="63">
        <v>0.3</v>
      </c>
      <c r="I5" s="63">
        <v>0.1</v>
      </c>
      <c r="J5" s="64">
        <v>20000</v>
      </c>
      <c r="K5" s="64">
        <v>-8000</v>
      </c>
      <c r="L5" s="63">
        <v>0</v>
      </c>
      <c r="M5" s="63">
        <v>0</v>
      </c>
      <c r="N5" s="63">
        <v>0.2</v>
      </c>
      <c r="O5" s="63">
        <v>0.1</v>
      </c>
      <c r="P5" s="63">
        <v>0.5</v>
      </c>
      <c r="Q5" s="63">
        <v>1</v>
      </c>
      <c r="R5" s="63">
        <v>0.66666666666666663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B5035-7C89-4145-BBAF-5181EA9D189A}">
  <sheetPr codeName="Sheet11"/>
  <dimension ref="A1:Q47"/>
  <sheetViews>
    <sheetView showGridLines="0" zoomScaleNormal="100" workbookViewId="0"/>
  </sheetViews>
  <sheetFormatPr defaultColWidth="9" defaultRowHeight="18.75" x14ac:dyDescent="0.4"/>
  <cols>
    <col min="1" max="1" width="13" style="29" customWidth="1"/>
    <col min="2" max="3" width="9" style="29" customWidth="1"/>
    <col min="4" max="4" width="3.625" style="29" customWidth="1"/>
    <col min="5" max="5" width="3.625" style="123" bestFit="1" customWidth="1"/>
    <col min="6" max="6" width="11" style="39" bestFit="1" customWidth="1"/>
    <col min="7" max="9" width="9" style="29" customWidth="1"/>
    <col min="10" max="10" width="3.625" style="29" customWidth="1"/>
    <col min="11" max="11" width="3.5" style="34" customWidth="1"/>
    <col min="12" max="12" width="9" style="95" customWidth="1"/>
    <col min="13" max="13" width="3.625" style="29" customWidth="1"/>
    <col min="14" max="14" width="9" style="110" customWidth="1"/>
    <col min="15" max="15" width="9" style="120" customWidth="1"/>
    <col min="16" max="16" width="9" style="114" customWidth="1"/>
    <col min="17" max="17" width="3.625" style="102" customWidth="1"/>
    <col min="18" max="16384" width="9" style="29"/>
  </cols>
  <sheetData>
    <row r="1" spans="1:17" x14ac:dyDescent="0.4">
      <c r="A1" s="49" t="s">
        <v>0</v>
      </c>
      <c r="B1" s="141" t="s">
        <v>160</v>
      </c>
      <c r="C1" s="142"/>
      <c r="E1" s="124" t="s">
        <v>154</v>
      </c>
      <c r="F1" s="134" t="s">
        <v>108</v>
      </c>
      <c r="G1" s="133" t="s">
        <v>109</v>
      </c>
      <c r="H1" s="125" t="s">
        <v>110</v>
      </c>
      <c r="I1" s="134" t="s">
        <v>142</v>
      </c>
      <c r="K1" s="30" t="s">
        <v>20</v>
      </c>
      <c r="L1" s="31" t="s">
        <v>113</v>
      </c>
      <c r="M1" s="126"/>
      <c r="N1" s="108" t="s">
        <v>126</v>
      </c>
      <c r="O1" s="30" t="s">
        <v>127</v>
      </c>
      <c r="P1" s="112" t="s">
        <v>109</v>
      </c>
      <c r="Q1" s="96" t="s">
        <v>146</v>
      </c>
    </row>
    <row r="2" spans="1:17" x14ac:dyDescent="0.4">
      <c r="A2" s="50" t="s">
        <v>9</v>
      </c>
      <c r="B2" s="143">
        <v>2</v>
      </c>
      <c r="C2" s="144"/>
      <c r="E2" s="58" t="s">
        <v>61</v>
      </c>
      <c r="F2" s="55" t="s">
        <v>21</v>
      </c>
      <c r="G2" s="42">
        <v>2</v>
      </c>
      <c r="H2" s="127">
        <f>IF(B$19=0,0,G2/B$19)</f>
        <v>0.33333333333333331</v>
      </c>
      <c r="I2" s="89">
        <v>1</v>
      </c>
      <c r="K2" s="32">
        <v>0</v>
      </c>
      <c r="L2" s="94">
        <v>0</v>
      </c>
      <c r="N2" s="109" t="s">
        <v>120</v>
      </c>
      <c r="O2" s="116">
        <f t="shared" ref="O2:O9" si="0">IF(P2=0,0,Q2/P2)</f>
        <v>9000</v>
      </c>
      <c r="P2" s="113">
        <v>2</v>
      </c>
      <c r="Q2" s="97">
        <v>18000</v>
      </c>
    </row>
    <row r="3" spans="1:17" x14ac:dyDescent="0.4">
      <c r="A3" s="51" t="s">
        <v>8</v>
      </c>
      <c r="B3" s="145">
        <v>20</v>
      </c>
      <c r="C3" s="146"/>
      <c r="E3" s="59" t="s">
        <v>62</v>
      </c>
      <c r="F3" s="56" t="s">
        <v>22</v>
      </c>
      <c r="G3" s="43">
        <v>2</v>
      </c>
      <c r="H3" s="128">
        <f>IF(B$19=0,0,G3/B$19)</f>
        <v>0.33333333333333331</v>
      </c>
      <c r="I3" s="90">
        <v>1</v>
      </c>
      <c r="K3" s="34">
        <v>1</v>
      </c>
      <c r="L3" s="95">
        <v>31.1</v>
      </c>
      <c r="N3" s="110" t="s">
        <v>121</v>
      </c>
      <c r="O3" s="117">
        <f t="shared" si="0"/>
        <v>5000</v>
      </c>
      <c r="P3" s="114">
        <v>2</v>
      </c>
      <c r="Q3" s="98">
        <v>10000</v>
      </c>
    </row>
    <row r="4" spans="1:17" x14ac:dyDescent="0.4">
      <c r="A4" s="51" t="s">
        <v>6</v>
      </c>
      <c r="B4" s="147">
        <v>62.2</v>
      </c>
      <c r="C4" s="148"/>
      <c r="E4" s="59" t="s">
        <v>63</v>
      </c>
      <c r="F4" s="56" t="s">
        <v>23</v>
      </c>
      <c r="G4" s="43">
        <v>0</v>
      </c>
      <c r="H4" s="128">
        <f>IF(B$19=0,0,G4/B$19)</f>
        <v>0</v>
      </c>
      <c r="I4" s="90">
        <v>8</v>
      </c>
      <c r="K4" s="34">
        <v>2</v>
      </c>
      <c r="L4" s="95">
        <v>62.2</v>
      </c>
      <c r="N4" s="110" t="s">
        <v>122</v>
      </c>
      <c r="O4" s="117">
        <f t="shared" si="0"/>
        <v>-500</v>
      </c>
      <c r="P4" s="114">
        <v>2</v>
      </c>
      <c r="Q4" s="98">
        <v>-1000</v>
      </c>
    </row>
    <row r="5" spans="1:17" x14ac:dyDescent="0.4">
      <c r="A5" s="51" t="s">
        <v>7</v>
      </c>
      <c r="B5" s="149">
        <f>IF(B$2=0,0,B$4/B$2)</f>
        <v>31.1</v>
      </c>
      <c r="C5" s="150"/>
      <c r="E5" s="59" t="s">
        <v>64</v>
      </c>
      <c r="F5" s="56" t="s">
        <v>24</v>
      </c>
      <c r="G5" s="43">
        <v>0</v>
      </c>
      <c r="H5" s="128">
        <f>IF(B$19=0,0,G5/B$19)</f>
        <v>0</v>
      </c>
      <c r="I5" s="90">
        <v>7</v>
      </c>
      <c r="N5" s="110" t="s">
        <v>166</v>
      </c>
      <c r="O5" s="117">
        <f t="shared" si="0"/>
        <v>-15300</v>
      </c>
      <c r="P5" s="114">
        <v>2</v>
      </c>
      <c r="Q5" s="98">
        <v>-30600</v>
      </c>
    </row>
    <row r="6" spans="1:17" x14ac:dyDescent="0.4">
      <c r="A6" s="51" t="s">
        <v>1</v>
      </c>
      <c r="B6" s="139">
        <f>IF(B$2=0,0,(B$7*1+B$8*2+B$9*3+B$10*4)/B$2)</f>
        <v>2</v>
      </c>
      <c r="C6" s="140"/>
      <c r="E6" s="59" t="s">
        <v>65</v>
      </c>
      <c r="F6" s="56" t="s">
        <v>12</v>
      </c>
      <c r="G6" s="43">
        <v>2</v>
      </c>
      <c r="H6" s="128">
        <f>IF(B$19=0,0,G6/B$19)</f>
        <v>0.33333333333333331</v>
      </c>
      <c r="I6" s="90">
        <v>5</v>
      </c>
      <c r="N6" s="110" t="s">
        <v>123</v>
      </c>
      <c r="O6" s="117">
        <f t="shared" si="0"/>
        <v>-8000</v>
      </c>
      <c r="P6" s="114">
        <v>2</v>
      </c>
      <c r="Q6" s="98">
        <v>-16000</v>
      </c>
    </row>
    <row r="7" spans="1:17" x14ac:dyDescent="0.4">
      <c r="A7" s="51" t="s">
        <v>2</v>
      </c>
      <c r="B7" s="43">
        <v>0</v>
      </c>
      <c r="C7" s="35">
        <f>IF(B$2=0,0,B7/B$2)</f>
        <v>0</v>
      </c>
      <c r="E7" s="59" t="s">
        <v>66</v>
      </c>
      <c r="F7" s="56" t="s">
        <v>25</v>
      </c>
      <c r="G7" s="43">
        <v>0</v>
      </c>
      <c r="H7" s="128">
        <f>IF(B$19=0,0,G7/B$19)</f>
        <v>0</v>
      </c>
      <c r="I7" s="90">
        <v>3</v>
      </c>
      <c r="N7" s="110" t="s">
        <v>124</v>
      </c>
      <c r="O7" s="117">
        <f t="shared" si="0"/>
        <v>-8000</v>
      </c>
      <c r="P7" s="114">
        <v>2</v>
      </c>
      <c r="Q7" s="98">
        <v>-16000</v>
      </c>
    </row>
    <row r="8" spans="1:17" x14ac:dyDescent="0.4">
      <c r="A8" s="51" t="s">
        <v>3</v>
      </c>
      <c r="B8" s="43">
        <v>2</v>
      </c>
      <c r="C8" s="35">
        <f>IF(B$2=0,0,B8/B$2)</f>
        <v>1</v>
      </c>
      <c r="E8" s="59" t="s">
        <v>67</v>
      </c>
      <c r="F8" s="56" t="s">
        <v>26</v>
      </c>
      <c r="G8" s="43">
        <v>0</v>
      </c>
      <c r="H8" s="128">
        <f>IF(B$19=0,0,G8/B$19)</f>
        <v>0</v>
      </c>
      <c r="I8" s="90">
        <v>3</v>
      </c>
      <c r="N8" s="110" t="s">
        <v>125</v>
      </c>
      <c r="O8" s="117">
        <f t="shared" si="0"/>
        <v>43900</v>
      </c>
      <c r="P8" s="114">
        <v>2</v>
      </c>
      <c r="Q8" s="98">
        <v>87800</v>
      </c>
    </row>
    <row r="9" spans="1:17" x14ac:dyDescent="0.4">
      <c r="A9" s="52" t="s">
        <v>4</v>
      </c>
      <c r="B9" s="44">
        <v>0</v>
      </c>
      <c r="C9" s="36">
        <f t="shared" ref="C9:C10" si="1">IF(B$2=0,0,B9/B$2)</f>
        <v>0</v>
      </c>
      <c r="E9" s="59" t="s">
        <v>68</v>
      </c>
      <c r="F9" s="56" t="s">
        <v>27</v>
      </c>
      <c r="G9" s="43">
        <v>0</v>
      </c>
      <c r="H9" s="128">
        <f>IF(B$19=0,0,G9/B$19)</f>
        <v>0</v>
      </c>
      <c r="I9" s="90">
        <v>3</v>
      </c>
      <c r="N9" s="111" t="s">
        <v>165</v>
      </c>
      <c r="O9" s="118">
        <f t="shared" si="0"/>
        <v>0</v>
      </c>
      <c r="P9" s="115">
        <v>2</v>
      </c>
      <c r="Q9" s="99">
        <v>0</v>
      </c>
    </row>
    <row r="10" spans="1:17" x14ac:dyDescent="0.4">
      <c r="A10" s="52" t="s">
        <v>162</v>
      </c>
      <c r="B10" s="44">
        <v>0</v>
      </c>
      <c r="C10" s="36">
        <f t="shared" si="1"/>
        <v>0</v>
      </c>
      <c r="E10" s="59" t="s">
        <v>69</v>
      </c>
      <c r="F10" s="56" t="s">
        <v>28</v>
      </c>
      <c r="G10" s="43">
        <v>0</v>
      </c>
      <c r="H10" s="128">
        <f>IF(B$19=0,0,G10/B$19)</f>
        <v>0</v>
      </c>
      <c r="I10" s="90">
        <v>3</v>
      </c>
      <c r="N10" s="39"/>
      <c r="O10" s="122"/>
      <c r="P10" s="106"/>
      <c r="Q10" s="104"/>
    </row>
    <row r="11" spans="1:17" x14ac:dyDescent="0.4">
      <c r="A11" s="52" t="s">
        <v>171</v>
      </c>
      <c r="B11" s="44">
        <f>トップ数+B8</f>
        <v>2</v>
      </c>
      <c r="C11" s="36">
        <f>IF(B$2=0,0,B11/B$2)</f>
        <v>1</v>
      </c>
      <c r="E11" s="59" t="s">
        <v>70</v>
      </c>
      <c r="F11" s="56" t="s">
        <v>29</v>
      </c>
      <c r="G11" s="43">
        <v>0</v>
      </c>
      <c r="H11" s="128">
        <f>IF(B$19=0,0,G11/B$19)</f>
        <v>0</v>
      </c>
      <c r="I11" s="90">
        <v>1</v>
      </c>
      <c r="N11" s="108" t="s">
        <v>151</v>
      </c>
      <c r="O11" s="30" t="s">
        <v>113</v>
      </c>
      <c r="P11" s="112" t="s">
        <v>109</v>
      </c>
      <c r="Q11" s="100" t="s">
        <v>146</v>
      </c>
    </row>
    <row r="12" spans="1:17" x14ac:dyDescent="0.4">
      <c r="A12" s="52" t="s">
        <v>19</v>
      </c>
      <c r="B12" s="44">
        <v>0</v>
      </c>
      <c r="C12" s="36">
        <f>IF(B$2=0,0,B12/B$2)</f>
        <v>0</v>
      </c>
      <c r="E12" s="59" t="s">
        <v>71</v>
      </c>
      <c r="F12" s="56" t="s">
        <v>30</v>
      </c>
      <c r="G12" s="43">
        <v>0</v>
      </c>
      <c r="H12" s="128">
        <f>IF(B$19=0,0,G12/B$19)</f>
        <v>0</v>
      </c>
      <c r="I12" s="90">
        <v>3</v>
      </c>
      <c r="N12" s="109" t="s">
        <v>152</v>
      </c>
      <c r="O12" s="119">
        <f>IF(P12=0,0,Q12/P12)</f>
        <v>0</v>
      </c>
      <c r="P12" s="113">
        <v>0</v>
      </c>
      <c r="Q12" s="101">
        <v>0</v>
      </c>
    </row>
    <row r="13" spans="1:17" x14ac:dyDescent="0.4">
      <c r="A13" s="52" t="s">
        <v>128</v>
      </c>
      <c r="B13" s="44">
        <v>0</v>
      </c>
      <c r="C13" s="36">
        <f>IF(B$2=0,0,B13/B$2)</f>
        <v>0</v>
      </c>
      <c r="E13" s="59" t="s">
        <v>72</v>
      </c>
      <c r="F13" s="56" t="s">
        <v>31</v>
      </c>
      <c r="G13" s="43">
        <v>0</v>
      </c>
      <c r="H13" s="128">
        <f>IF(B$19=0,0,G13/B$19)</f>
        <v>0</v>
      </c>
      <c r="I13" s="90">
        <v>3</v>
      </c>
      <c r="N13" s="110" t="s">
        <v>153</v>
      </c>
      <c r="O13" s="120">
        <f>IF(P13=0,0,Q13/P13)</f>
        <v>0</v>
      </c>
      <c r="P13" s="114">
        <v>0</v>
      </c>
      <c r="Q13" s="102">
        <v>0</v>
      </c>
    </row>
    <row r="14" spans="1:17" x14ac:dyDescent="0.4">
      <c r="A14" s="53" t="s">
        <v>148</v>
      </c>
      <c r="B14" s="45">
        <v>0</v>
      </c>
      <c r="C14" s="38">
        <f>IF(B$2=0,0,B14/B$2)</f>
        <v>0</v>
      </c>
      <c r="E14" s="59" t="s">
        <v>73</v>
      </c>
      <c r="F14" s="56" t="s">
        <v>32</v>
      </c>
      <c r="G14" s="43">
        <v>0</v>
      </c>
      <c r="H14" s="128">
        <f>IF(B$19=0,0,G14/B$19)</f>
        <v>0</v>
      </c>
      <c r="I14" s="90">
        <v>1</v>
      </c>
      <c r="N14" s="110" t="s">
        <v>163</v>
      </c>
      <c r="O14" s="120">
        <f>IF(P14=0,0,Q14/P14)</f>
        <v>31.1</v>
      </c>
      <c r="P14" s="114">
        <v>2</v>
      </c>
      <c r="Q14" s="102">
        <v>62.2</v>
      </c>
    </row>
    <row r="15" spans="1:17" x14ac:dyDescent="0.4">
      <c r="A15" s="54" t="s">
        <v>114</v>
      </c>
      <c r="B15" s="46">
        <v>4</v>
      </c>
      <c r="C15" s="40">
        <f>IF(B$3=0,0,B15/B$3)</f>
        <v>0.2</v>
      </c>
      <c r="E15" s="59" t="s">
        <v>74</v>
      </c>
      <c r="F15" s="56" t="s">
        <v>33</v>
      </c>
      <c r="G15" s="43">
        <v>0</v>
      </c>
      <c r="H15" s="128">
        <f>IF(B$19=0,0,G15/B$19)</f>
        <v>0</v>
      </c>
      <c r="I15" s="90">
        <v>1</v>
      </c>
      <c r="N15" s="111" t="s">
        <v>164</v>
      </c>
      <c r="O15" s="121">
        <f>IF(P15=0,0,Q15/P15)</f>
        <v>0</v>
      </c>
      <c r="P15" s="115">
        <v>0</v>
      </c>
      <c r="Q15" s="103">
        <v>0</v>
      </c>
    </row>
    <row r="16" spans="1:17" x14ac:dyDescent="0.4">
      <c r="A16" s="51" t="s">
        <v>111</v>
      </c>
      <c r="B16" s="43">
        <v>2</v>
      </c>
      <c r="C16" s="35">
        <f>IF(B$3=0,0,B16/B$3)</f>
        <v>0.1</v>
      </c>
      <c r="E16" s="59" t="s">
        <v>75</v>
      </c>
      <c r="F16" s="56" t="s">
        <v>34</v>
      </c>
      <c r="G16" s="43">
        <v>2</v>
      </c>
      <c r="H16" s="128">
        <f>IF(B$19=0,0,G16/B$19)</f>
        <v>0.33333333333333331</v>
      </c>
      <c r="I16" s="90">
        <v>1</v>
      </c>
      <c r="N16" s="29"/>
      <c r="O16" s="105"/>
      <c r="P16" s="107"/>
      <c r="Q16" s="105"/>
    </row>
    <row r="17" spans="1:17" x14ac:dyDescent="0.4">
      <c r="A17" s="50" t="s">
        <v>116</v>
      </c>
      <c r="B17" s="42">
        <v>2</v>
      </c>
      <c r="C17" s="33">
        <f>IF(B$15=0,0,B17/B$15)</f>
        <v>0.5</v>
      </c>
      <c r="E17" s="59" t="s">
        <v>76</v>
      </c>
      <c r="F17" s="56" t="s">
        <v>35</v>
      </c>
      <c r="G17" s="43">
        <v>0</v>
      </c>
      <c r="H17" s="128">
        <f>IF(B$19=0,0,G17/B$19)</f>
        <v>0</v>
      </c>
      <c r="I17" s="90">
        <v>3</v>
      </c>
      <c r="N17" s="108" t="s">
        <v>143</v>
      </c>
      <c r="O17" s="30" t="s">
        <v>113</v>
      </c>
      <c r="P17" s="112" t="s">
        <v>109</v>
      </c>
      <c r="Q17" s="100" t="s">
        <v>146</v>
      </c>
    </row>
    <row r="18" spans="1:17" x14ac:dyDescent="0.4">
      <c r="A18" s="50" t="s">
        <v>117</v>
      </c>
      <c r="B18" s="42">
        <v>2</v>
      </c>
      <c r="C18" s="33">
        <f>IF(B$16=0,0,B18/B$16)</f>
        <v>1</v>
      </c>
      <c r="E18" s="59" t="s">
        <v>168</v>
      </c>
      <c r="F18" s="56" t="s">
        <v>169</v>
      </c>
      <c r="G18" s="43">
        <v>0</v>
      </c>
      <c r="H18" s="128">
        <f>IF(B$19=0,0,G18/B$19)</f>
        <v>0</v>
      </c>
      <c r="I18" s="90">
        <v>3</v>
      </c>
      <c r="N18" s="109" t="s">
        <v>167</v>
      </c>
      <c r="O18" s="119">
        <f>IF(P18=0,0,Q18/P18)</f>
        <v>128.5</v>
      </c>
      <c r="P18" s="113">
        <v>2</v>
      </c>
      <c r="Q18" s="101">
        <v>257</v>
      </c>
    </row>
    <row r="19" spans="1:17" x14ac:dyDescent="0.4">
      <c r="A19" s="50" t="s">
        <v>10</v>
      </c>
      <c r="B19" s="42">
        <f>B21+B20</f>
        <v>6</v>
      </c>
      <c r="C19" s="33">
        <f>IF(B$3=0,0,B19/B$3)</f>
        <v>0.3</v>
      </c>
      <c r="E19" s="59" t="s">
        <v>77</v>
      </c>
      <c r="F19" s="56" t="s">
        <v>36</v>
      </c>
      <c r="G19" s="43">
        <v>0</v>
      </c>
      <c r="H19" s="128">
        <f>IF(B$19=0,0,G19/B$19)</f>
        <v>0</v>
      </c>
      <c r="I19" s="90">
        <v>1</v>
      </c>
      <c r="N19" s="110" t="s">
        <v>161</v>
      </c>
      <c r="O19" s="120">
        <f>IF(P19=0,0,Q19/P19)</f>
        <v>46.1</v>
      </c>
      <c r="P19" s="114">
        <v>2</v>
      </c>
      <c r="Q19" s="102">
        <v>92.2</v>
      </c>
    </row>
    <row r="20" spans="1:17" x14ac:dyDescent="0.4">
      <c r="A20" s="51" t="s">
        <v>12</v>
      </c>
      <c r="B20" s="43">
        <v>4</v>
      </c>
      <c r="C20" s="35">
        <f>IF(B$19=0,0,B20/B$19)</f>
        <v>0.66666666666666663</v>
      </c>
      <c r="E20" s="59" t="s">
        <v>78</v>
      </c>
      <c r="F20" s="56" t="s">
        <v>37</v>
      </c>
      <c r="G20" s="43">
        <v>2</v>
      </c>
      <c r="H20" s="128">
        <f>IF(B$19=0,0,G20/B$19)</f>
        <v>0.33333333333333331</v>
      </c>
      <c r="I20" s="90">
        <v>1</v>
      </c>
      <c r="N20" s="110" t="s">
        <v>159</v>
      </c>
      <c r="O20" s="120">
        <f>IF(P20=0,0,Q20/P20)</f>
        <v>-50.199999999999996</v>
      </c>
      <c r="P20" s="114">
        <v>2</v>
      </c>
      <c r="Q20" s="102">
        <v>-100.39999999999999</v>
      </c>
    </row>
    <row r="21" spans="1:17" x14ac:dyDescent="0.4">
      <c r="A21" s="51" t="s">
        <v>11</v>
      </c>
      <c r="B21" s="43">
        <v>2</v>
      </c>
      <c r="C21" s="35">
        <f>IF(B$19=0,0,B21/B$19)</f>
        <v>0.33333333333333331</v>
      </c>
      <c r="E21" s="59" t="s">
        <v>79</v>
      </c>
      <c r="F21" s="56" t="s">
        <v>38</v>
      </c>
      <c r="G21" s="43">
        <v>0</v>
      </c>
      <c r="H21" s="128">
        <f>IF(B$19=0,0,G21/B$19)</f>
        <v>0</v>
      </c>
      <c r="I21" s="90">
        <v>3</v>
      </c>
    </row>
    <row r="22" spans="1:17" x14ac:dyDescent="0.4">
      <c r="A22" s="51" t="s">
        <v>13</v>
      </c>
      <c r="B22" s="43">
        <v>2</v>
      </c>
      <c r="C22" s="35">
        <f>IF(B$3=0,0,B22/B$3)</f>
        <v>0.1</v>
      </c>
      <c r="E22" s="59" t="s">
        <v>80</v>
      </c>
      <c r="F22" s="56" t="s">
        <v>39</v>
      </c>
      <c r="G22" s="43">
        <v>0</v>
      </c>
      <c r="H22" s="128">
        <f>IF(B$19=0,0,G22/B$19)</f>
        <v>0</v>
      </c>
      <c r="I22" s="90">
        <v>1</v>
      </c>
    </row>
    <row r="23" spans="1:17" x14ac:dyDescent="0.4">
      <c r="A23" s="51" t="s">
        <v>155</v>
      </c>
      <c r="B23" s="43">
        <v>0</v>
      </c>
      <c r="C23" s="130">
        <v>0</v>
      </c>
      <c r="E23" s="59" t="s">
        <v>81</v>
      </c>
      <c r="F23" s="56" t="s">
        <v>40</v>
      </c>
      <c r="G23" s="43">
        <v>0</v>
      </c>
      <c r="H23" s="128">
        <f>IF(B$19=0,0,G23/B$19)</f>
        <v>0</v>
      </c>
      <c r="I23" s="90">
        <v>1</v>
      </c>
    </row>
    <row r="24" spans="1:17" x14ac:dyDescent="0.4">
      <c r="A24" s="51" t="s">
        <v>156</v>
      </c>
      <c r="B24" s="43">
        <v>0</v>
      </c>
      <c r="C24" s="130">
        <v>5</v>
      </c>
      <c r="E24" s="59" t="s">
        <v>82</v>
      </c>
      <c r="F24" s="56" t="s">
        <v>41</v>
      </c>
      <c r="G24" s="43">
        <v>2</v>
      </c>
      <c r="H24" s="128">
        <f>IF(B$19=0,0,G24/B$19)</f>
        <v>0.33333333333333331</v>
      </c>
      <c r="I24" s="90">
        <v>1</v>
      </c>
    </row>
    <row r="25" spans="1:17" x14ac:dyDescent="0.4">
      <c r="A25" s="51" t="s">
        <v>5</v>
      </c>
      <c r="B25" s="47">
        <f>IF(B$19=0,0,C25/B$19)</f>
        <v>20000</v>
      </c>
      <c r="C25" s="37">
        <v>120000</v>
      </c>
      <c r="E25" s="59" t="s">
        <v>83</v>
      </c>
      <c r="F25" s="56" t="s">
        <v>42</v>
      </c>
      <c r="G25" s="43">
        <v>0</v>
      </c>
      <c r="H25" s="128">
        <f>IF(B$19=0,0,G25/B$19)</f>
        <v>0</v>
      </c>
      <c r="I25" s="90">
        <v>3</v>
      </c>
    </row>
    <row r="26" spans="1:17" x14ac:dyDescent="0.4">
      <c r="A26" s="53" t="s">
        <v>14</v>
      </c>
      <c r="B26" s="48">
        <f>IF(B$22=0,0,C26/B$22)</f>
        <v>-8000</v>
      </c>
      <c r="C26" s="41">
        <v>-16000</v>
      </c>
      <c r="E26" s="59" t="s">
        <v>84</v>
      </c>
      <c r="F26" s="56" t="s">
        <v>43</v>
      </c>
      <c r="G26" s="43">
        <v>0</v>
      </c>
      <c r="H26" s="128">
        <f>IF(B$19=0,0,G26/B$19)</f>
        <v>0</v>
      </c>
      <c r="I26" s="90">
        <v>1</v>
      </c>
    </row>
    <row r="27" spans="1:17" x14ac:dyDescent="0.4">
      <c r="A27" s="86" t="s">
        <v>130</v>
      </c>
      <c r="B27" s="137">
        <v>0</v>
      </c>
      <c r="C27" s="138"/>
      <c r="E27" s="59" t="s">
        <v>85</v>
      </c>
      <c r="F27" s="56" t="s">
        <v>44</v>
      </c>
      <c r="G27" s="43">
        <v>0</v>
      </c>
      <c r="H27" s="128">
        <f>IF(B$19=0,0,G27/B$19)</f>
        <v>0</v>
      </c>
      <c r="I27" s="90">
        <v>1</v>
      </c>
    </row>
    <row r="28" spans="1:17" x14ac:dyDescent="0.4">
      <c r="A28" s="54" t="s">
        <v>140</v>
      </c>
      <c r="B28" s="135">
        <v>51100</v>
      </c>
      <c r="C28" s="136"/>
      <c r="E28" s="59" t="s">
        <v>86</v>
      </c>
      <c r="F28" s="56" t="s">
        <v>45</v>
      </c>
      <c r="G28" s="43">
        <v>0</v>
      </c>
      <c r="H28" s="128">
        <f>IF(B$19=0,0,G28/B$19)</f>
        <v>0</v>
      </c>
      <c r="I28" s="90">
        <v>1</v>
      </c>
    </row>
    <row r="29" spans="1:17" x14ac:dyDescent="0.4">
      <c r="A29" s="53" t="s">
        <v>131</v>
      </c>
      <c r="B29" s="61">
        <v>0</v>
      </c>
      <c r="C29" s="38">
        <f>IF(B$3=0,0,B29/B$3)</f>
        <v>0</v>
      </c>
      <c r="E29" s="59" t="s">
        <v>87</v>
      </c>
      <c r="F29" s="56" t="s">
        <v>46</v>
      </c>
      <c r="G29" s="43">
        <v>0</v>
      </c>
      <c r="H29" s="128">
        <f>IF(B$19=0,0,G29/B$19)</f>
        <v>0</v>
      </c>
      <c r="I29" s="90">
        <v>1</v>
      </c>
    </row>
    <row r="30" spans="1:17" x14ac:dyDescent="0.4">
      <c r="E30" s="59" t="s">
        <v>88</v>
      </c>
      <c r="F30" s="56" t="s">
        <v>47</v>
      </c>
      <c r="G30" s="43">
        <v>0</v>
      </c>
      <c r="H30" s="128">
        <f>IF(B$19=0,0,G30/B$19)</f>
        <v>0</v>
      </c>
      <c r="I30" s="90">
        <v>1</v>
      </c>
    </row>
    <row r="31" spans="1:17" x14ac:dyDescent="0.4">
      <c r="E31" s="59" t="s">
        <v>89</v>
      </c>
      <c r="F31" s="56" t="s">
        <v>48</v>
      </c>
      <c r="G31" s="43">
        <v>0</v>
      </c>
      <c r="H31" s="128">
        <f>IF(B$19=0,0,G31/B$19)</f>
        <v>0</v>
      </c>
      <c r="I31" s="90">
        <v>1</v>
      </c>
    </row>
    <row r="32" spans="1:17" x14ac:dyDescent="0.4">
      <c r="E32" s="59" t="s">
        <v>90</v>
      </c>
      <c r="F32" s="56" t="s">
        <v>49</v>
      </c>
      <c r="G32" s="43">
        <v>0</v>
      </c>
      <c r="H32" s="128">
        <f>IF(B$19=0,0,G32/B$19)</f>
        <v>0</v>
      </c>
      <c r="I32" s="90">
        <v>1</v>
      </c>
    </row>
    <row r="33" spans="5:9" x14ac:dyDescent="0.4">
      <c r="E33" s="59" t="s">
        <v>91</v>
      </c>
      <c r="F33" s="56" t="s">
        <v>50</v>
      </c>
      <c r="G33" s="43">
        <v>0</v>
      </c>
      <c r="H33" s="128">
        <f>IF(B$19=0,0,G33/B$19)</f>
        <v>0</v>
      </c>
      <c r="I33" s="90">
        <v>1</v>
      </c>
    </row>
    <row r="34" spans="5:9" x14ac:dyDescent="0.4">
      <c r="E34" s="59" t="s">
        <v>92</v>
      </c>
      <c r="F34" s="56" t="s">
        <v>51</v>
      </c>
      <c r="G34" s="43">
        <v>0</v>
      </c>
      <c r="H34" s="128">
        <f>IF(B$19=0,0,G34/B$19)</f>
        <v>0</v>
      </c>
      <c r="I34" s="90">
        <v>1</v>
      </c>
    </row>
    <row r="35" spans="5:9" x14ac:dyDescent="0.4">
      <c r="E35" s="59" t="s">
        <v>93</v>
      </c>
      <c r="F35" s="56" t="s">
        <v>52</v>
      </c>
      <c r="G35" s="43">
        <v>0</v>
      </c>
      <c r="H35" s="128">
        <f>IF(B$19=0,0,G35/B$19)</f>
        <v>0</v>
      </c>
      <c r="I35" s="90">
        <v>1</v>
      </c>
    </row>
    <row r="36" spans="5:9" x14ac:dyDescent="0.4">
      <c r="E36" s="59" t="s">
        <v>94</v>
      </c>
      <c r="F36" s="56" t="s">
        <v>53</v>
      </c>
      <c r="G36" s="43">
        <v>0</v>
      </c>
      <c r="H36" s="128">
        <f>IF(B$19=0,0,G36/B$19)</f>
        <v>0</v>
      </c>
      <c r="I36" s="90">
        <v>1</v>
      </c>
    </row>
    <row r="37" spans="5:9" x14ac:dyDescent="0.4">
      <c r="E37" s="59" t="s">
        <v>95</v>
      </c>
      <c r="F37" s="56" t="s">
        <v>54</v>
      </c>
      <c r="G37" s="43">
        <v>2</v>
      </c>
      <c r="H37" s="128">
        <f>IF(B$19=0,0,G37/B$19)</f>
        <v>0.33333333333333331</v>
      </c>
      <c r="I37" s="90">
        <v>1</v>
      </c>
    </row>
    <row r="38" spans="5:9" x14ac:dyDescent="0.4">
      <c r="E38" s="59" t="s">
        <v>96</v>
      </c>
      <c r="F38" s="56" t="s">
        <v>55</v>
      </c>
      <c r="G38" s="43">
        <v>0</v>
      </c>
      <c r="H38" s="128">
        <f>IF(B$19=0,0,G38/B$19)</f>
        <v>0</v>
      </c>
      <c r="I38" s="90">
        <v>1</v>
      </c>
    </row>
    <row r="39" spans="5:9" x14ac:dyDescent="0.4">
      <c r="E39" s="59" t="s">
        <v>97</v>
      </c>
      <c r="F39" s="56" t="s">
        <v>56</v>
      </c>
      <c r="G39" s="43">
        <v>0</v>
      </c>
      <c r="H39" s="128">
        <f>IF(B$19=0,0,G39/B$19)</f>
        <v>0</v>
      </c>
      <c r="I39" s="90">
        <v>1</v>
      </c>
    </row>
    <row r="40" spans="5:9" x14ac:dyDescent="0.4">
      <c r="E40" s="59" t="s">
        <v>98</v>
      </c>
      <c r="F40" s="56" t="s">
        <v>57</v>
      </c>
      <c r="G40" s="43">
        <v>0</v>
      </c>
      <c r="H40" s="128">
        <f>IF(B$19=0,0,G40/B$19)</f>
        <v>0</v>
      </c>
      <c r="I40" s="90">
        <v>1</v>
      </c>
    </row>
    <row r="41" spans="5:9" x14ac:dyDescent="0.4">
      <c r="E41" s="59" t="s">
        <v>99</v>
      </c>
      <c r="F41" s="56" t="s">
        <v>58</v>
      </c>
      <c r="G41" s="43">
        <v>0</v>
      </c>
      <c r="H41" s="128">
        <f>IF(B$19=0,0,G41/B$19)</f>
        <v>0</v>
      </c>
      <c r="I41" s="90">
        <v>3</v>
      </c>
    </row>
    <row r="42" spans="5:9" x14ac:dyDescent="0.4">
      <c r="E42" s="59" t="s">
        <v>100</v>
      </c>
      <c r="F42" s="56" t="s">
        <v>59</v>
      </c>
      <c r="G42" s="43">
        <v>0</v>
      </c>
      <c r="H42" s="128">
        <f>IF(B$19=0,0,G42/B$19)</f>
        <v>0</v>
      </c>
      <c r="I42" s="90">
        <v>1</v>
      </c>
    </row>
    <row r="43" spans="5:9" x14ac:dyDescent="0.4">
      <c r="E43" s="59" t="s">
        <v>101</v>
      </c>
      <c r="F43" s="56" t="s">
        <v>60</v>
      </c>
      <c r="G43" s="43">
        <v>0</v>
      </c>
      <c r="H43" s="128">
        <f>IF(B$19=0,0,G43/B$19)</f>
        <v>0</v>
      </c>
      <c r="I43" s="90">
        <v>1</v>
      </c>
    </row>
    <row r="44" spans="5:9" x14ac:dyDescent="0.4">
      <c r="E44" s="59" t="s">
        <v>102</v>
      </c>
      <c r="F44" s="56" t="s">
        <v>105</v>
      </c>
      <c r="G44" s="43">
        <v>0</v>
      </c>
      <c r="H44" s="128">
        <f>IF(B$19=0,0,G44/B$19)</f>
        <v>0</v>
      </c>
      <c r="I44" s="90">
        <v>1</v>
      </c>
    </row>
    <row r="45" spans="5:9" x14ac:dyDescent="0.4">
      <c r="E45" s="59" t="s">
        <v>103</v>
      </c>
      <c r="F45" s="56" t="s">
        <v>106</v>
      </c>
      <c r="G45" s="43">
        <v>0</v>
      </c>
      <c r="H45" s="128">
        <f>IF(B$19=0,0,G45/B$19)</f>
        <v>0</v>
      </c>
      <c r="I45" s="90">
        <v>1</v>
      </c>
    </row>
    <row r="46" spans="5:9" x14ac:dyDescent="0.4">
      <c r="E46" s="59" t="s">
        <v>104</v>
      </c>
      <c r="F46" s="56" t="s">
        <v>107</v>
      </c>
      <c r="G46" s="43">
        <v>0</v>
      </c>
      <c r="H46" s="128">
        <f>IF(B$19=0,0,G46/B$19)</f>
        <v>0</v>
      </c>
      <c r="I46" s="90">
        <v>3</v>
      </c>
    </row>
    <row r="47" spans="5:9" x14ac:dyDescent="0.4">
      <c r="E47" s="60" t="s">
        <v>157</v>
      </c>
      <c r="F47" s="57" t="s">
        <v>158</v>
      </c>
      <c r="G47" s="45">
        <v>0</v>
      </c>
      <c r="H47" s="129">
        <f>IF(B$19=0,0,G47/B$19)</f>
        <v>0</v>
      </c>
      <c r="I47" s="91">
        <v>3</v>
      </c>
    </row>
  </sheetData>
  <sortState xmlns:xlrd2="http://schemas.microsoft.com/office/spreadsheetml/2017/richdata2" ref="E2:I47">
    <sortCondition ref="E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8F3889-2612-4750-975C-3E51138BDF65}">
  <sheetPr codeName="Sheet14"/>
  <dimension ref="A1:R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9" width="10.75" style="63"/>
    <col min="10" max="11" width="10.75" style="64"/>
    <col min="12" max="18" width="10.75" style="63"/>
    <col min="19" max="16384" width="10.75" style="66"/>
  </cols>
  <sheetData>
    <row r="1" spans="1:18" x14ac:dyDescent="0.4">
      <c r="A1" s="66" t="s">
        <v>167</v>
      </c>
      <c r="B1" s="66" t="s">
        <v>167</v>
      </c>
      <c r="C1" s="66" t="s">
        <v>167</v>
      </c>
      <c r="D1" s="67" t="s">
        <v>167</v>
      </c>
      <c r="E1" s="66" t="s">
        <v>167</v>
      </c>
      <c r="F1" s="66" t="s">
        <v>167</v>
      </c>
      <c r="G1" s="66" t="s">
        <v>167</v>
      </c>
      <c r="H1" s="66" t="s">
        <v>167</v>
      </c>
      <c r="I1" s="66" t="s">
        <v>167</v>
      </c>
      <c r="J1" s="66" t="s">
        <v>167</v>
      </c>
      <c r="K1" s="66" t="s">
        <v>167</v>
      </c>
      <c r="L1" s="66" t="s">
        <v>167</v>
      </c>
      <c r="M1" s="66" t="s">
        <v>167</v>
      </c>
      <c r="N1" s="66" t="s">
        <v>167</v>
      </c>
      <c r="O1" s="66" t="s">
        <v>167</v>
      </c>
      <c r="P1" s="66" t="s">
        <v>167</v>
      </c>
      <c r="Q1" s="66" t="s">
        <v>167</v>
      </c>
      <c r="R1" s="66" t="s">
        <v>167</v>
      </c>
    </row>
    <row r="2" spans="1:18" x14ac:dyDescent="0.4">
      <c r="A2" s="66" t="s">
        <v>9</v>
      </c>
      <c r="B2" s="66" t="s">
        <v>6</v>
      </c>
      <c r="C2" s="66" t="s">
        <v>7</v>
      </c>
      <c r="D2" s="67" t="s">
        <v>16</v>
      </c>
      <c r="E2" s="66" t="s">
        <v>15</v>
      </c>
      <c r="F2" s="66" t="s">
        <v>150</v>
      </c>
      <c r="G2" s="66" t="s">
        <v>170</v>
      </c>
      <c r="H2" s="66" t="s">
        <v>135</v>
      </c>
      <c r="I2" s="66" t="s">
        <v>134</v>
      </c>
      <c r="J2" s="66" t="s">
        <v>5</v>
      </c>
      <c r="K2" s="66" t="s">
        <v>17</v>
      </c>
      <c r="L2" s="66" t="s">
        <v>18</v>
      </c>
      <c r="M2" s="66" t="s">
        <v>129</v>
      </c>
      <c r="N2" s="66" t="s">
        <v>115</v>
      </c>
      <c r="O2" s="66" t="s">
        <v>112</v>
      </c>
      <c r="P2" s="66" t="s">
        <v>118</v>
      </c>
      <c r="Q2" s="66" t="s">
        <v>136</v>
      </c>
      <c r="R2" s="66" t="s">
        <v>132</v>
      </c>
    </row>
    <row r="3" spans="1:18" x14ac:dyDescent="0.4">
      <c r="A3" s="65">
        <v>0</v>
      </c>
      <c r="B3" s="62">
        <v>0</v>
      </c>
    </row>
    <row r="4" spans="1:18" x14ac:dyDescent="0.4">
      <c r="A4" s="65">
        <v>1</v>
      </c>
      <c r="B4" s="62">
        <v>-97.4</v>
      </c>
      <c r="C4" s="62">
        <v>-97.4</v>
      </c>
      <c r="D4" s="67">
        <v>4</v>
      </c>
      <c r="E4" s="63">
        <v>0</v>
      </c>
      <c r="F4" s="63">
        <v>1</v>
      </c>
      <c r="G4" s="63">
        <v>0</v>
      </c>
      <c r="H4" s="63">
        <v>0.1</v>
      </c>
      <c r="I4" s="63">
        <v>0.1</v>
      </c>
      <c r="J4" s="64">
        <v>18000</v>
      </c>
      <c r="K4" s="64">
        <v>-64000</v>
      </c>
      <c r="L4" s="63">
        <v>1</v>
      </c>
      <c r="M4" s="63">
        <v>0</v>
      </c>
      <c r="N4" s="63">
        <v>0.2</v>
      </c>
      <c r="O4" s="63">
        <v>0.1</v>
      </c>
      <c r="P4" s="63">
        <v>0.5</v>
      </c>
      <c r="Q4" s="63">
        <v>0</v>
      </c>
      <c r="R4" s="63">
        <v>1</v>
      </c>
    </row>
    <row r="5" spans="1:18" x14ac:dyDescent="0.4">
      <c r="A5" s="65">
        <v>2</v>
      </c>
      <c r="B5" s="62">
        <v>-194.8</v>
      </c>
      <c r="C5" s="62">
        <v>-97.4</v>
      </c>
      <c r="D5" s="67">
        <v>4</v>
      </c>
      <c r="E5" s="63">
        <v>0</v>
      </c>
      <c r="F5" s="63">
        <v>1</v>
      </c>
      <c r="G5" s="63">
        <v>0</v>
      </c>
      <c r="H5" s="63">
        <v>0.1</v>
      </c>
      <c r="I5" s="63">
        <v>0.1</v>
      </c>
      <c r="J5" s="64">
        <v>18000</v>
      </c>
      <c r="K5" s="64">
        <v>-64000</v>
      </c>
      <c r="L5" s="63">
        <v>1</v>
      </c>
      <c r="M5" s="63">
        <v>0</v>
      </c>
      <c r="N5" s="63">
        <v>0.2</v>
      </c>
      <c r="O5" s="63">
        <v>0.1</v>
      </c>
      <c r="P5" s="63">
        <v>0.5</v>
      </c>
      <c r="Q5" s="63">
        <v>0</v>
      </c>
      <c r="R5" s="63">
        <v>1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72462E-D176-4DD7-9333-3701BF41D7B4}">
  <sheetPr codeName="Sheet13"/>
  <dimension ref="A1:Q47"/>
  <sheetViews>
    <sheetView showGridLines="0" zoomScaleNormal="100" workbookViewId="0"/>
  </sheetViews>
  <sheetFormatPr defaultColWidth="9" defaultRowHeight="18.75" x14ac:dyDescent="0.4"/>
  <cols>
    <col min="1" max="1" width="13" style="29" customWidth="1"/>
    <col min="2" max="3" width="9" style="29" customWidth="1"/>
    <col min="4" max="4" width="3.625" style="29" customWidth="1"/>
    <col min="5" max="5" width="3.625" style="123" bestFit="1" customWidth="1"/>
    <col min="6" max="6" width="11" style="39" bestFit="1" customWidth="1"/>
    <col min="7" max="9" width="9" style="29" customWidth="1"/>
    <col min="10" max="10" width="3.625" style="29" customWidth="1"/>
    <col min="11" max="11" width="3.5" style="34" customWidth="1"/>
    <col min="12" max="12" width="9" style="95" customWidth="1"/>
    <col min="13" max="13" width="3.625" style="29" customWidth="1"/>
    <col min="14" max="14" width="9" style="110" customWidth="1"/>
    <col min="15" max="15" width="9" style="120" customWidth="1"/>
    <col min="16" max="16" width="9" style="114" customWidth="1"/>
    <col min="17" max="17" width="3.625" style="102" customWidth="1"/>
    <col min="18" max="16384" width="9" style="29"/>
  </cols>
  <sheetData>
    <row r="1" spans="1:17" x14ac:dyDescent="0.4">
      <c r="A1" s="49" t="s">
        <v>0</v>
      </c>
      <c r="B1" s="141" t="s">
        <v>167</v>
      </c>
      <c r="C1" s="142"/>
      <c r="E1" s="124" t="s">
        <v>154</v>
      </c>
      <c r="F1" s="134" t="s">
        <v>108</v>
      </c>
      <c r="G1" s="133" t="s">
        <v>109</v>
      </c>
      <c r="H1" s="125" t="s">
        <v>110</v>
      </c>
      <c r="I1" s="134" t="s">
        <v>142</v>
      </c>
      <c r="K1" s="30" t="s">
        <v>20</v>
      </c>
      <c r="L1" s="31" t="s">
        <v>113</v>
      </c>
      <c r="M1" s="126"/>
      <c r="N1" s="108" t="s">
        <v>126</v>
      </c>
      <c r="O1" s="30" t="s">
        <v>127</v>
      </c>
      <c r="P1" s="112" t="s">
        <v>109</v>
      </c>
      <c r="Q1" s="96" t="s">
        <v>146</v>
      </c>
    </row>
    <row r="2" spans="1:17" x14ac:dyDescent="0.4">
      <c r="A2" s="50" t="s">
        <v>9</v>
      </c>
      <c r="B2" s="143">
        <v>2</v>
      </c>
      <c r="C2" s="144"/>
      <c r="E2" s="58" t="s">
        <v>61</v>
      </c>
      <c r="F2" s="55" t="s">
        <v>21</v>
      </c>
      <c r="G2" s="42">
        <v>0</v>
      </c>
      <c r="H2" s="127">
        <f>IF(B$19=0,0,G2/B$19)</f>
        <v>0</v>
      </c>
      <c r="I2" s="89">
        <v>3</v>
      </c>
      <c r="K2" s="32">
        <v>0</v>
      </c>
      <c r="L2" s="94">
        <v>0</v>
      </c>
      <c r="N2" s="109" t="s">
        <v>120</v>
      </c>
      <c r="O2" s="116">
        <f t="shared" ref="O2:O9" si="0">IF(P2=0,0,Q2/P2)</f>
        <v>0</v>
      </c>
      <c r="P2" s="113">
        <v>2</v>
      </c>
      <c r="Q2" s="97">
        <v>0</v>
      </c>
    </row>
    <row r="3" spans="1:17" x14ac:dyDescent="0.4">
      <c r="A3" s="51" t="s">
        <v>8</v>
      </c>
      <c r="B3" s="145">
        <v>20</v>
      </c>
      <c r="C3" s="146"/>
      <c r="E3" s="59" t="s">
        <v>62</v>
      </c>
      <c r="F3" s="56" t="s">
        <v>22</v>
      </c>
      <c r="G3" s="43">
        <v>0</v>
      </c>
      <c r="H3" s="128">
        <f>IF(B$19=0,0,G3/B$19)</f>
        <v>0</v>
      </c>
      <c r="I3" s="90">
        <v>3</v>
      </c>
      <c r="K3" s="34">
        <v>1</v>
      </c>
      <c r="L3" s="95">
        <v>-97.4</v>
      </c>
      <c r="N3" s="110" t="s">
        <v>121</v>
      </c>
      <c r="O3" s="117">
        <f t="shared" si="0"/>
        <v>-1000</v>
      </c>
      <c r="P3" s="114">
        <v>2</v>
      </c>
      <c r="Q3" s="98">
        <v>-2000</v>
      </c>
    </row>
    <row r="4" spans="1:17" x14ac:dyDescent="0.4">
      <c r="A4" s="51" t="s">
        <v>6</v>
      </c>
      <c r="B4" s="147">
        <v>-194.8</v>
      </c>
      <c r="C4" s="148"/>
      <c r="E4" s="59" t="s">
        <v>63</v>
      </c>
      <c r="F4" s="56" t="s">
        <v>23</v>
      </c>
      <c r="G4" s="43">
        <v>2</v>
      </c>
      <c r="H4" s="128">
        <f>IF(B$19=0,0,G4/B$19)</f>
        <v>1</v>
      </c>
      <c r="I4" s="90">
        <v>1</v>
      </c>
      <c r="K4" s="34">
        <v>2</v>
      </c>
      <c r="L4" s="95">
        <v>-194.8</v>
      </c>
      <c r="N4" s="110" t="s">
        <v>122</v>
      </c>
      <c r="O4" s="117">
        <f t="shared" si="0"/>
        <v>-300</v>
      </c>
      <c r="P4" s="114">
        <v>2</v>
      </c>
      <c r="Q4" s="98">
        <v>-600</v>
      </c>
    </row>
    <row r="5" spans="1:17" x14ac:dyDescent="0.4">
      <c r="A5" s="51" t="s">
        <v>7</v>
      </c>
      <c r="B5" s="149">
        <f>IF(B$2=0,0,B$4/B$2)</f>
        <v>-97.4</v>
      </c>
      <c r="C5" s="150"/>
      <c r="E5" s="59" t="s">
        <v>64</v>
      </c>
      <c r="F5" s="56" t="s">
        <v>24</v>
      </c>
      <c r="G5" s="43">
        <v>0</v>
      </c>
      <c r="H5" s="128">
        <f>IF(B$19=0,0,G5/B$19)</f>
        <v>0</v>
      </c>
      <c r="I5" s="90">
        <v>7</v>
      </c>
      <c r="N5" s="110" t="s">
        <v>166</v>
      </c>
      <c r="O5" s="117">
        <f t="shared" si="0"/>
        <v>17000</v>
      </c>
      <c r="P5" s="114">
        <v>2</v>
      </c>
      <c r="Q5" s="98">
        <v>34000</v>
      </c>
    </row>
    <row r="6" spans="1:17" x14ac:dyDescent="0.4">
      <c r="A6" s="51" t="s">
        <v>1</v>
      </c>
      <c r="B6" s="139">
        <f>IF(B$2=0,0,(B$7*1+B$8*2+B$9*3+B$10*4)/B$2)</f>
        <v>4</v>
      </c>
      <c r="C6" s="140"/>
      <c r="E6" s="59" t="s">
        <v>65</v>
      </c>
      <c r="F6" s="56" t="s">
        <v>12</v>
      </c>
      <c r="G6" s="43">
        <v>2</v>
      </c>
      <c r="H6" s="128">
        <f>IF(B$19=0,0,G6/B$19)</f>
        <v>1</v>
      </c>
      <c r="I6" s="90">
        <v>1</v>
      </c>
      <c r="N6" s="110" t="s">
        <v>123</v>
      </c>
      <c r="O6" s="117">
        <f t="shared" si="0"/>
        <v>-8000</v>
      </c>
      <c r="P6" s="114">
        <v>2</v>
      </c>
      <c r="Q6" s="98">
        <v>-16000</v>
      </c>
    </row>
    <row r="7" spans="1:17" x14ac:dyDescent="0.4">
      <c r="A7" s="51" t="s">
        <v>2</v>
      </c>
      <c r="B7" s="43">
        <v>0</v>
      </c>
      <c r="C7" s="35">
        <f>IF(B$2=0,0,B7/B$2)</f>
        <v>0</v>
      </c>
      <c r="E7" s="59" t="s">
        <v>66</v>
      </c>
      <c r="F7" s="56" t="s">
        <v>25</v>
      </c>
      <c r="G7" s="43">
        <v>0</v>
      </c>
      <c r="H7" s="128">
        <f>IF(B$19=0,0,G7/B$19)</f>
        <v>0</v>
      </c>
      <c r="I7" s="90">
        <v>3</v>
      </c>
      <c r="N7" s="110" t="s">
        <v>124</v>
      </c>
      <c r="O7" s="117">
        <f t="shared" si="0"/>
        <v>-8000</v>
      </c>
      <c r="P7" s="114">
        <v>2</v>
      </c>
      <c r="Q7" s="98">
        <v>-16000</v>
      </c>
    </row>
    <row r="8" spans="1:17" x14ac:dyDescent="0.4">
      <c r="A8" s="51" t="s">
        <v>3</v>
      </c>
      <c r="B8" s="43">
        <v>0</v>
      </c>
      <c r="C8" s="35">
        <f>IF(B$2=0,0,B8/B$2)</f>
        <v>0</v>
      </c>
      <c r="E8" s="59" t="s">
        <v>67</v>
      </c>
      <c r="F8" s="56" t="s">
        <v>26</v>
      </c>
      <c r="G8" s="43">
        <v>0</v>
      </c>
      <c r="H8" s="128">
        <f>IF(B$19=0,0,G8/B$19)</f>
        <v>0</v>
      </c>
      <c r="I8" s="90">
        <v>3</v>
      </c>
      <c r="N8" s="110" t="s">
        <v>125</v>
      </c>
      <c r="O8" s="117">
        <f t="shared" si="0"/>
        <v>-18100</v>
      </c>
      <c r="P8" s="114">
        <v>2</v>
      </c>
      <c r="Q8" s="98">
        <v>-36200</v>
      </c>
    </row>
    <row r="9" spans="1:17" x14ac:dyDescent="0.4">
      <c r="A9" s="52" t="s">
        <v>4</v>
      </c>
      <c r="B9" s="44">
        <v>0</v>
      </c>
      <c r="C9" s="36">
        <f t="shared" ref="C9:C10" si="1">IF(B$2=0,0,B9/B$2)</f>
        <v>0</v>
      </c>
      <c r="E9" s="59" t="s">
        <v>68</v>
      </c>
      <c r="F9" s="56" t="s">
        <v>27</v>
      </c>
      <c r="G9" s="43">
        <v>0</v>
      </c>
      <c r="H9" s="128">
        <f>IF(B$19=0,0,G9/B$19)</f>
        <v>0</v>
      </c>
      <c r="I9" s="90">
        <v>3</v>
      </c>
      <c r="N9" s="111" t="s">
        <v>165</v>
      </c>
      <c r="O9" s="118">
        <f t="shared" si="0"/>
        <v>-64000</v>
      </c>
      <c r="P9" s="115">
        <v>2</v>
      </c>
      <c r="Q9" s="99">
        <v>-128000</v>
      </c>
    </row>
    <row r="10" spans="1:17" x14ac:dyDescent="0.4">
      <c r="A10" s="52" t="s">
        <v>162</v>
      </c>
      <c r="B10" s="44">
        <v>2</v>
      </c>
      <c r="C10" s="36">
        <f t="shared" si="1"/>
        <v>1</v>
      </c>
      <c r="E10" s="59" t="s">
        <v>69</v>
      </c>
      <c r="F10" s="56" t="s">
        <v>28</v>
      </c>
      <c r="G10" s="43">
        <v>0</v>
      </c>
      <c r="H10" s="128">
        <f>IF(B$19=0,0,G10/B$19)</f>
        <v>0</v>
      </c>
      <c r="I10" s="90">
        <v>3</v>
      </c>
      <c r="N10" s="39"/>
      <c r="O10" s="122"/>
      <c r="P10" s="106"/>
      <c r="Q10" s="104"/>
    </row>
    <row r="11" spans="1:17" x14ac:dyDescent="0.4">
      <c r="A11" s="52" t="s">
        <v>171</v>
      </c>
      <c r="B11" s="44">
        <f>トップ数+B8</f>
        <v>0</v>
      </c>
      <c r="C11" s="36">
        <f>IF(B$2=0,0,B11/B$2)</f>
        <v>0</v>
      </c>
      <c r="E11" s="59" t="s">
        <v>70</v>
      </c>
      <c r="F11" s="56" t="s">
        <v>29</v>
      </c>
      <c r="G11" s="43">
        <v>0</v>
      </c>
      <c r="H11" s="128">
        <f>IF(B$19=0,0,G11/B$19)</f>
        <v>0</v>
      </c>
      <c r="I11" s="90">
        <v>1</v>
      </c>
      <c r="N11" s="108" t="s">
        <v>151</v>
      </c>
      <c r="O11" s="30" t="s">
        <v>113</v>
      </c>
      <c r="P11" s="112" t="s">
        <v>109</v>
      </c>
      <c r="Q11" s="100" t="s">
        <v>146</v>
      </c>
    </row>
    <row r="12" spans="1:17" x14ac:dyDescent="0.4">
      <c r="A12" s="52" t="s">
        <v>19</v>
      </c>
      <c r="B12" s="44">
        <v>2</v>
      </c>
      <c r="C12" s="36">
        <f>IF(B$2=0,0,B12/B$2)</f>
        <v>1</v>
      </c>
      <c r="E12" s="59" t="s">
        <v>71</v>
      </c>
      <c r="F12" s="56" t="s">
        <v>30</v>
      </c>
      <c r="G12" s="43">
        <v>0</v>
      </c>
      <c r="H12" s="128">
        <f>IF(B$19=0,0,G12/B$19)</f>
        <v>0</v>
      </c>
      <c r="I12" s="90">
        <v>3</v>
      </c>
      <c r="N12" s="109" t="s">
        <v>152</v>
      </c>
      <c r="O12" s="119">
        <f>IF(P12=0,0,Q12/P12)</f>
        <v>0</v>
      </c>
      <c r="P12" s="113">
        <v>0</v>
      </c>
      <c r="Q12" s="101">
        <v>0</v>
      </c>
    </row>
    <row r="13" spans="1:17" x14ac:dyDescent="0.4">
      <c r="A13" s="52" t="s">
        <v>128</v>
      </c>
      <c r="B13" s="44">
        <v>0</v>
      </c>
      <c r="C13" s="36">
        <f>IF(B$2=0,0,B13/B$2)</f>
        <v>0</v>
      </c>
      <c r="E13" s="59" t="s">
        <v>72</v>
      </c>
      <c r="F13" s="56" t="s">
        <v>31</v>
      </c>
      <c r="G13" s="43">
        <v>0</v>
      </c>
      <c r="H13" s="128">
        <f>IF(B$19=0,0,G13/B$19)</f>
        <v>0</v>
      </c>
      <c r="I13" s="90">
        <v>3</v>
      </c>
      <c r="N13" s="110" t="s">
        <v>153</v>
      </c>
      <c r="O13" s="120">
        <f>IF(P13=0,0,Q13/P13)</f>
        <v>0</v>
      </c>
      <c r="P13" s="114">
        <v>0</v>
      </c>
      <c r="Q13" s="102">
        <v>0</v>
      </c>
    </row>
    <row r="14" spans="1:17" x14ac:dyDescent="0.4">
      <c r="A14" s="53" t="s">
        <v>148</v>
      </c>
      <c r="B14" s="45">
        <v>0</v>
      </c>
      <c r="C14" s="38">
        <f>IF(B$2=0,0,B14/B$2)</f>
        <v>0</v>
      </c>
      <c r="E14" s="59" t="s">
        <v>73</v>
      </c>
      <c r="F14" s="56" t="s">
        <v>32</v>
      </c>
      <c r="G14" s="43">
        <v>0</v>
      </c>
      <c r="H14" s="128">
        <f>IF(B$19=0,0,G14/B$19)</f>
        <v>0</v>
      </c>
      <c r="I14" s="90">
        <v>1</v>
      </c>
      <c r="N14" s="110" t="s">
        <v>163</v>
      </c>
      <c r="O14" s="120">
        <f>IF(P14=0,0,Q14/P14)</f>
        <v>0</v>
      </c>
      <c r="P14" s="114">
        <v>0</v>
      </c>
      <c r="Q14" s="102">
        <v>0</v>
      </c>
    </row>
    <row r="15" spans="1:17" x14ac:dyDescent="0.4">
      <c r="A15" s="54" t="s">
        <v>114</v>
      </c>
      <c r="B15" s="46">
        <v>4</v>
      </c>
      <c r="C15" s="40">
        <f>IF(B$3=0,0,B15/B$3)</f>
        <v>0.2</v>
      </c>
      <c r="E15" s="59" t="s">
        <v>74</v>
      </c>
      <c r="F15" s="56" t="s">
        <v>33</v>
      </c>
      <c r="G15" s="43">
        <v>0</v>
      </c>
      <c r="H15" s="128">
        <f>IF(B$19=0,0,G15/B$19)</f>
        <v>0</v>
      </c>
      <c r="I15" s="90">
        <v>1</v>
      </c>
      <c r="N15" s="111" t="s">
        <v>164</v>
      </c>
      <c r="O15" s="121">
        <f>IF(P15=0,0,Q15/P15)</f>
        <v>-97.4</v>
      </c>
      <c r="P15" s="115">
        <v>2</v>
      </c>
      <c r="Q15" s="103">
        <v>-194.8</v>
      </c>
    </row>
    <row r="16" spans="1:17" x14ac:dyDescent="0.4">
      <c r="A16" s="51" t="s">
        <v>111</v>
      </c>
      <c r="B16" s="43">
        <v>2</v>
      </c>
      <c r="C16" s="35">
        <f>IF(B$3=0,0,B16/B$3)</f>
        <v>0.1</v>
      </c>
      <c r="E16" s="59" t="s">
        <v>75</v>
      </c>
      <c r="F16" s="56" t="s">
        <v>34</v>
      </c>
      <c r="G16" s="43">
        <v>0</v>
      </c>
      <c r="H16" s="128">
        <f>IF(B$19=0,0,G16/B$19)</f>
        <v>0</v>
      </c>
      <c r="I16" s="90">
        <v>3</v>
      </c>
      <c r="N16" s="29"/>
      <c r="O16" s="105"/>
      <c r="P16" s="107"/>
      <c r="Q16" s="105"/>
    </row>
    <row r="17" spans="1:17" x14ac:dyDescent="0.4">
      <c r="A17" s="50" t="s">
        <v>116</v>
      </c>
      <c r="B17" s="42">
        <v>2</v>
      </c>
      <c r="C17" s="33">
        <f>IF(B$15=0,0,B17/B$15)</f>
        <v>0.5</v>
      </c>
      <c r="E17" s="59" t="s">
        <v>76</v>
      </c>
      <c r="F17" s="56" t="s">
        <v>35</v>
      </c>
      <c r="G17" s="43">
        <v>2</v>
      </c>
      <c r="H17" s="128">
        <f>IF(B$19=0,0,G17/B$19)</f>
        <v>1</v>
      </c>
      <c r="I17" s="90">
        <v>1</v>
      </c>
      <c r="N17" s="108" t="s">
        <v>143</v>
      </c>
      <c r="O17" s="30" t="s">
        <v>113</v>
      </c>
      <c r="P17" s="112" t="s">
        <v>109</v>
      </c>
      <c r="Q17" s="100" t="s">
        <v>146</v>
      </c>
    </row>
    <row r="18" spans="1:17" x14ac:dyDescent="0.4">
      <c r="A18" s="50" t="s">
        <v>117</v>
      </c>
      <c r="B18" s="42">
        <v>0</v>
      </c>
      <c r="C18" s="33">
        <f>IF(B$16=0,0,B18/B$16)</f>
        <v>0</v>
      </c>
      <c r="E18" s="59" t="s">
        <v>168</v>
      </c>
      <c r="F18" s="56" t="s">
        <v>169</v>
      </c>
      <c r="G18" s="43">
        <v>0</v>
      </c>
      <c r="H18" s="128">
        <f>IF(B$19=0,0,G18/B$19)</f>
        <v>0</v>
      </c>
      <c r="I18" s="90">
        <v>3</v>
      </c>
      <c r="N18" s="109" t="s">
        <v>161</v>
      </c>
      <c r="O18" s="119">
        <f>IF(P18=0,0,Q18/P18)</f>
        <v>-82.4</v>
      </c>
      <c r="P18" s="113">
        <v>2</v>
      </c>
      <c r="Q18" s="101">
        <v>-164.8</v>
      </c>
    </row>
    <row r="19" spans="1:17" x14ac:dyDescent="0.4">
      <c r="A19" s="50" t="s">
        <v>10</v>
      </c>
      <c r="B19" s="42">
        <f>B21+B20</f>
        <v>2</v>
      </c>
      <c r="C19" s="33">
        <f>IF(B$3=0,0,B19/B$3)</f>
        <v>0.1</v>
      </c>
      <c r="E19" s="59" t="s">
        <v>77</v>
      </c>
      <c r="F19" s="56" t="s">
        <v>36</v>
      </c>
      <c r="G19" s="43">
        <v>0</v>
      </c>
      <c r="H19" s="128">
        <f>IF(B$19=0,0,G19/B$19)</f>
        <v>0</v>
      </c>
      <c r="I19" s="90">
        <v>1</v>
      </c>
      <c r="N19" s="110" t="s">
        <v>159</v>
      </c>
      <c r="O19" s="120">
        <f>IF(P19=0,0,Q19/P19)</f>
        <v>-178.70000000000002</v>
      </c>
      <c r="P19" s="114">
        <v>2</v>
      </c>
      <c r="Q19" s="102">
        <v>-357.40000000000003</v>
      </c>
    </row>
    <row r="20" spans="1:17" x14ac:dyDescent="0.4">
      <c r="A20" s="51" t="s">
        <v>12</v>
      </c>
      <c r="B20" s="43">
        <v>2</v>
      </c>
      <c r="C20" s="35">
        <f>IF(B$19=0,0,B20/B$19)</f>
        <v>1</v>
      </c>
      <c r="E20" s="59" t="s">
        <v>78</v>
      </c>
      <c r="F20" s="56" t="s">
        <v>37</v>
      </c>
      <c r="G20" s="43">
        <v>0</v>
      </c>
      <c r="H20" s="128">
        <f>IF(B$19=0,0,G20/B$19)</f>
        <v>0</v>
      </c>
      <c r="I20" s="90">
        <v>3</v>
      </c>
      <c r="N20" s="110" t="s">
        <v>160</v>
      </c>
      <c r="O20" s="120">
        <f>IF(P20=0,0,Q20/P20)</f>
        <v>-128.5</v>
      </c>
      <c r="P20" s="114">
        <v>2</v>
      </c>
      <c r="Q20" s="102">
        <v>-257</v>
      </c>
    </row>
    <row r="21" spans="1:17" x14ac:dyDescent="0.4">
      <c r="A21" s="51" t="s">
        <v>11</v>
      </c>
      <c r="B21" s="43">
        <v>0</v>
      </c>
      <c r="C21" s="35">
        <f>IF(B$19=0,0,B21/B$19)</f>
        <v>0</v>
      </c>
      <c r="E21" s="59" t="s">
        <v>79</v>
      </c>
      <c r="F21" s="56" t="s">
        <v>38</v>
      </c>
      <c r="G21" s="43">
        <v>0</v>
      </c>
      <c r="H21" s="128">
        <f>IF(B$19=0,0,G21/B$19)</f>
        <v>0</v>
      </c>
      <c r="I21" s="90">
        <v>3</v>
      </c>
    </row>
    <row r="22" spans="1:17" x14ac:dyDescent="0.4">
      <c r="A22" s="51" t="s">
        <v>13</v>
      </c>
      <c r="B22" s="43">
        <v>2</v>
      </c>
      <c r="C22" s="35">
        <f>IF(B$3=0,0,B22/B$3)</f>
        <v>0.1</v>
      </c>
      <c r="E22" s="59" t="s">
        <v>80</v>
      </c>
      <c r="F22" s="56" t="s">
        <v>39</v>
      </c>
      <c r="G22" s="43">
        <v>0</v>
      </c>
      <c r="H22" s="128">
        <f>IF(B$19=0,0,G22/B$19)</f>
        <v>0</v>
      </c>
      <c r="I22" s="90">
        <v>1</v>
      </c>
    </row>
    <row r="23" spans="1:17" x14ac:dyDescent="0.4">
      <c r="A23" s="51" t="s">
        <v>155</v>
      </c>
      <c r="B23" s="43">
        <v>0</v>
      </c>
      <c r="C23" s="130">
        <v>0</v>
      </c>
      <c r="E23" s="59" t="s">
        <v>81</v>
      </c>
      <c r="F23" s="56" t="s">
        <v>40</v>
      </c>
      <c r="G23" s="43">
        <v>0</v>
      </c>
      <c r="H23" s="128">
        <f>IF(B$19=0,0,G23/B$19)</f>
        <v>0</v>
      </c>
      <c r="I23" s="90">
        <v>1</v>
      </c>
    </row>
    <row r="24" spans="1:17" x14ac:dyDescent="0.4">
      <c r="A24" s="51" t="s">
        <v>156</v>
      </c>
      <c r="B24" s="43">
        <v>0</v>
      </c>
      <c r="C24" s="130">
        <v>0</v>
      </c>
      <c r="E24" s="59" t="s">
        <v>82</v>
      </c>
      <c r="F24" s="56" t="s">
        <v>41</v>
      </c>
      <c r="G24" s="43">
        <v>0</v>
      </c>
      <c r="H24" s="128">
        <f>IF(B$19=0,0,G24/B$19)</f>
        <v>0</v>
      </c>
      <c r="I24" s="90">
        <v>3</v>
      </c>
    </row>
    <row r="25" spans="1:17" x14ac:dyDescent="0.4">
      <c r="A25" s="51" t="s">
        <v>5</v>
      </c>
      <c r="B25" s="47">
        <f>IF(B$19=0,0,C25/B$19)</f>
        <v>18000</v>
      </c>
      <c r="C25" s="37">
        <v>36000</v>
      </c>
      <c r="E25" s="59" t="s">
        <v>83</v>
      </c>
      <c r="F25" s="56" t="s">
        <v>42</v>
      </c>
      <c r="G25" s="43">
        <v>2</v>
      </c>
      <c r="H25" s="128">
        <f>IF(B$19=0,0,G25/B$19)</f>
        <v>1</v>
      </c>
      <c r="I25" s="90">
        <v>1</v>
      </c>
    </row>
    <row r="26" spans="1:17" x14ac:dyDescent="0.4">
      <c r="A26" s="53" t="s">
        <v>14</v>
      </c>
      <c r="B26" s="48">
        <f>IF(B$22=0,0,C26/B$22)</f>
        <v>-64000</v>
      </c>
      <c r="C26" s="41">
        <v>-128000</v>
      </c>
      <c r="E26" s="59" t="s">
        <v>84</v>
      </c>
      <c r="F26" s="56" t="s">
        <v>43</v>
      </c>
      <c r="G26" s="43">
        <v>0</v>
      </c>
      <c r="H26" s="128">
        <f>IF(B$19=0,0,G26/B$19)</f>
        <v>0</v>
      </c>
      <c r="I26" s="90">
        <v>1</v>
      </c>
    </row>
    <row r="27" spans="1:17" x14ac:dyDescent="0.4">
      <c r="A27" s="86" t="s">
        <v>130</v>
      </c>
      <c r="B27" s="137">
        <v>1</v>
      </c>
      <c r="C27" s="138"/>
      <c r="E27" s="59" t="s">
        <v>85</v>
      </c>
      <c r="F27" s="56" t="s">
        <v>44</v>
      </c>
      <c r="G27" s="43">
        <v>0</v>
      </c>
      <c r="H27" s="128">
        <f>IF(B$19=0,0,G27/B$19)</f>
        <v>0</v>
      </c>
      <c r="I27" s="90">
        <v>1</v>
      </c>
    </row>
    <row r="28" spans="1:17" x14ac:dyDescent="0.4">
      <c r="A28" s="54" t="s">
        <v>140</v>
      </c>
      <c r="B28" s="135">
        <v>-57400</v>
      </c>
      <c r="C28" s="136"/>
      <c r="E28" s="59" t="s">
        <v>86</v>
      </c>
      <c r="F28" s="56" t="s">
        <v>45</v>
      </c>
      <c r="G28" s="43">
        <v>0</v>
      </c>
      <c r="H28" s="128">
        <f>IF(B$19=0,0,G28/B$19)</f>
        <v>0</v>
      </c>
      <c r="I28" s="90">
        <v>1</v>
      </c>
    </row>
    <row r="29" spans="1:17" x14ac:dyDescent="0.4">
      <c r="A29" s="53" t="s">
        <v>131</v>
      </c>
      <c r="B29" s="61">
        <v>0</v>
      </c>
      <c r="C29" s="38">
        <f>IF(B$3=0,0,B29/B$3)</f>
        <v>0</v>
      </c>
      <c r="E29" s="59" t="s">
        <v>87</v>
      </c>
      <c r="F29" s="56" t="s">
        <v>46</v>
      </c>
      <c r="G29" s="43">
        <v>0</v>
      </c>
      <c r="H29" s="128">
        <f>IF(B$19=0,0,G29/B$19)</f>
        <v>0</v>
      </c>
      <c r="I29" s="90">
        <v>1</v>
      </c>
    </row>
    <row r="30" spans="1:17" x14ac:dyDescent="0.4">
      <c r="E30" s="59" t="s">
        <v>88</v>
      </c>
      <c r="F30" s="56" t="s">
        <v>47</v>
      </c>
      <c r="G30" s="43">
        <v>0</v>
      </c>
      <c r="H30" s="128">
        <f>IF(B$19=0,0,G30/B$19)</f>
        <v>0</v>
      </c>
      <c r="I30" s="90">
        <v>1</v>
      </c>
    </row>
    <row r="31" spans="1:17" x14ac:dyDescent="0.4">
      <c r="E31" s="59" t="s">
        <v>89</v>
      </c>
      <c r="F31" s="56" t="s">
        <v>48</v>
      </c>
      <c r="G31" s="43">
        <v>0</v>
      </c>
      <c r="H31" s="128">
        <f>IF(B$19=0,0,G31/B$19)</f>
        <v>0</v>
      </c>
      <c r="I31" s="90">
        <v>1</v>
      </c>
    </row>
    <row r="32" spans="1:17" x14ac:dyDescent="0.4">
      <c r="E32" s="59" t="s">
        <v>90</v>
      </c>
      <c r="F32" s="56" t="s">
        <v>49</v>
      </c>
      <c r="G32" s="43">
        <v>0</v>
      </c>
      <c r="H32" s="128">
        <f>IF(B$19=0,0,G32/B$19)</f>
        <v>0</v>
      </c>
      <c r="I32" s="90">
        <v>1</v>
      </c>
    </row>
    <row r="33" spans="5:9" x14ac:dyDescent="0.4">
      <c r="E33" s="59" t="s">
        <v>91</v>
      </c>
      <c r="F33" s="56" t="s">
        <v>50</v>
      </c>
      <c r="G33" s="43">
        <v>0</v>
      </c>
      <c r="H33" s="128">
        <f>IF(B$19=0,0,G33/B$19)</f>
        <v>0</v>
      </c>
      <c r="I33" s="90">
        <v>1</v>
      </c>
    </row>
    <row r="34" spans="5:9" x14ac:dyDescent="0.4">
      <c r="E34" s="59" t="s">
        <v>92</v>
      </c>
      <c r="F34" s="56" t="s">
        <v>51</v>
      </c>
      <c r="G34" s="43">
        <v>0</v>
      </c>
      <c r="H34" s="128">
        <f>IF(B$19=0,0,G34/B$19)</f>
        <v>0</v>
      </c>
      <c r="I34" s="90">
        <v>1</v>
      </c>
    </row>
    <row r="35" spans="5:9" x14ac:dyDescent="0.4">
      <c r="E35" s="59" t="s">
        <v>93</v>
      </c>
      <c r="F35" s="56" t="s">
        <v>52</v>
      </c>
      <c r="G35" s="43">
        <v>0</v>
      </c>
      <c r="H35" s="128">
        <f>IF(B$19=0,0,G35/B$19)</f>
        <v>0</v>
      </c>
      <c r="I35" s="90">
        <v>1</v>
      </c>
    </row>
    <row r="36" spans="5:9" x14ac:dyDescent="0.4">
      <c r="E36" s="59" t="s">
        <v>94</v>
      </c>
      <c r="F36" s="56" t="s">
        <v>53</v>
      </c>
      <c r="G36" s="43">
        <v>0</v>
      </c>
      <c r="H36" s="128">
        <f>IF(B$19=0,0,G36/B$19)</f>
        <v>0</v>
      </c>
      <c r="I36" s="90">
        <v>1</v>
      </c>
    </row>
    <row r="37" spans="5:9" x14ac:dyDescent="0.4">
      <c r="E37" s="59" t="s">
        <v>95</v>
      </c>
      <c r="F37" s="56" t="s">
        <v>54</v>
      </c>
      <c r="G37" s="43">
        <v>0</v>
      </c>
      <c r="H37" s="128">
        <f>IF(B$19=0,0,G37/B$19)</f>
        <v>0</v>
      </c>
      <c r="I37" s="90">
        <v>3</v>
      </c>
    </row>
    <row r="38" spans="5:9" x14ac:dyDescent="0.4">
      <c r="E38" s="59" t="s">
        <v>96</v>
      </c>
      <c r="F38" s="56" t="s">
        <v>55</v>
      </c>
      <c r="G38" s="43">
        <v>0</v>
      </c>
      <c r="H38" s="128">
        <f>IF(B$19=0,0,G38/B$19)</f>
        <v>0</v>
      </c>
      <c r="I38" s="90">
        <v>1</v>
      </c>
    </row>
    <row r="39" spans="5:9" x14ac:dyDescent="0.4">
      <c r="E39" s="59" t="s">
        <v>97</v>
      </c>
      <c r="F39" s="56" t="s">
        <v>56</v>
      </c>
      <c r="G39" s="43">
        <v>0</v>
      </c>
      <c r="H39" s="128">
        <f>IF(B$19=0,0,G39/B$19)</f>
        <v>0</v>
      </c>
      <c r="I39" s="90">
        <v>1</v>
      </c>
    </row>
    <row r="40" spans="5:9" x14ac:dyDescent="0.4">
      <c r="E40" s="59" t="s">
        <v>98</v>
      </c>
      <c r="F40" s="56" t="s">
        <v>57</v>
      </c>
      <c r="G40" s="43">
        <v>0</v>
      </c>
      <c r="H40" s="128">
        <f>IF(B$19=0,0,G40/B$19)</f>
        <v>0</v>
      </c>
      <c r="I40" s="90">
        <v>1</v>
      </c>
    </row>
    <row r="41" spans="5:9" x14ac:dyDescent="0.4">
      <c r="E41" s="59" t="s">
        <v>99</v>
      </c>
      <c r="F41" s="56" t="s">
        <v>58</v>
      </c>
      <c r="G41" s="43">
        <v>0</v>
      </c>
      <c r="H41" s="128">
        <f>IF(B$19=0,0,G41/B$19)</f>
        <v>0</v>
      </c>
      <c r="I41" s="90">
        <v>3</v>
      </c>
    </row>
    <row r="42" spans="5:9" x14ac:dyDescent="0.4">
      <c r="E42" s="59" t="s">
        <v>100</v>
      </c>
      <c r="F42" s="56" t="s">
        <v>59</v>
      </c>
      <c r="G42" s="43">
        <v>0</v>
      </c>
      <c r="H42" s="128">
        <f>IF(B$19=0,0,G42/B$19)</f>
        <v>0</v>
      </c>
      <c r="I42" s="90">
        <v>1</v>
      </c>
    </row>
    <row r="43" spans="5:9" x14ac:dyDescent="0.4">
      <c r="E43" s="59" t="s">
        <v>101</v>
      </c>
      <c r="F43" s="56" t="s">
        <v>60</v>
      </c>
      <c r="G43" s="43">
        <v>0</v>
      </c>
      <c r="H43" s="128">
        <f>IF(B$19=0,0,G43/B$19)</f>
        <v>0</v>
      </c>
      <c r="I43" s="90">
        <v>1</v>
      </c>
    </row>
    <row r="44" spans="5:9" x14ac:dyDescent="0.4">
      <c r="E44" s="59" t="s">
        <v>102</v>
      </c>
      <c r="F44" s="56" t="s">
        <v>105</v>
      </c>
      <c r="G44" s="43">
        <v>0</v>
      </c>
      <c r="H44" s="128">
        <f>IF(B$19=0,0,G44/B$19)</f>
        <v>0</v>
      </c>
      <c r="I44" s="90">
        <v>1</v>
      </c>
    </row>
    <row r="45" spans="5:9" x14ac:dyDescent="0.4">
      <c r="E45" s="59" t="s">
        <v>103</v>
      </c>
      <c r="F45" s="56" t="s">
        <v>106</v>
      </c>
      <c r="G45" s="43">
        <v>0</v>
      </c>
      <c r="H45" s="128">
        <f>IF(B$19=0,0,G45/B$19)</f>
        <v>0</v>
      </c>
      <c r="I45" s="90">
        <v>1</v>
      </c>
    </row>
    <row r="46" spans="5:9" x14ac:dyDescent="0.4">
      <c r="E46" s="59" t="s">
        <v>104</v>
      </c>
      <c r="F46" s="56" t="s">
        <v>107</v>
      </c>
      <c r="G46" s="43">
        <v>0</v>
      </c>
      <c r="H46" s="128">
        <f>IF(B$19=0,0,G46/B$19)</f>
        <v>0</v>
      </c>
      <c r="I46" s="90">
        <v>3</v>
      </c>
    </row>
    <row r="47" spans="5:9" x14ac:dyDescent="0.4">
      <c r="E47" s="60" t="s">
        <v>157</v>
      </c>
      <c r="F47" s="57" t="s">
        <v>158</v>
      </c>
      <c r="G47" s="45">
        <v>0</v>
      </c>
      <c r="H47" s="129">
        <f>IF(B$19=0,0,G47/B$19)</f>
        <v>0</v>
      </c>
      <c r="I47" s="91">
        <v>3</v>
      </c>
    </row>
  </sheetData>
  <sortState xmlns:xlrd2="http://schemas.microsoft.com/office/spreadsheetml/2017/richdata2" ref="E2:I47">
    <sortCondition ref="E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15</vt:i4>
      </vt:variant>
      <vt:variant>
        <vt:lpstr>グラフ</vt:lpstr>
      </vt:variant>
      <vt:variant>
        <vt:i4>17</vt:i4>
      </vt:variant>
      <vt:variant>
        <vt:lpstr>名前付き一覧</vt:lpstr>
      </vt:variant>
      <vt:variant>
        <vt:i4>240</vt:i4>
      </vt:variant>
    </vt:vector>
  </HeadingPairs>
  <TitlesOfParts>
    <vt:vector size="272" baseType="lpstr">
      <vt:lpstr>Template1</vt:lpstr>
      <vt:lpstr>Cache</vt:lpstr>
      <vt:lpstr>Template2</vt:lpstr>
      <vt:lpstr>Players</vt:lpstr>
      <vt:lpstr>ランキング</vt:lpstr>
      <vt:lpstr>全体2</vt:lpstr>
      <vt:lpstr>全体</vt:lpstr>
      <vt:lpstr>Player12</vt:lpstr>
      <vt:lpstr>Player1</vt:lpstr>
      <vt:lpstr>Player22</vt:lpstr>
      <vt:lpstr>Player2</vt:lpstr>
      <vt:lpstr>Player32</vt:lpstr>
      <vt:lpstr>Player3</vt:lpstr>
      <vt:lpstr>Player42</vt:lpstr>
      <vt:lpstr>Player4</vt:lpstr>
      <vt:lpstr>通算スコア</vt:lpstr>
      <vt:lpstr>平均スコア</vt:lpstr>
      <vt:lpstr>平均順位</vt:lpstr>
      <vt:lpstr>トップ率</vt:lpstr>
      <vt:lpstr>ラス率</vt:lpstr>
      <vt:lpstr>連対率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Player1!アガリ数</vt:lpstr>
      <vt:lpstr>Player2!アガリ数</vt:lpstr>
      <vt:lpstr>Player3!アガリ数</vt:lpstr>
      <vt:lpstr>Player4!アガリ数</vt:lpstr>
      <vt:lpstr>全体!アガリ数</vt:lpstr>
      <vt:lpstr>アガリ数</vt:lpstr>
      <vt:lpstr>Player1!アガリ率</vt:lpstr>
      <vt:lpstr>Player2!アガリ率</vt:lpstr>
      <vt:lpstr>Player3!アガリ率</vt:lpstr>
      <vt:lpstr>Player4!アガリ率</vt:lpstr>
      <vt:lpstr>全体!アガリ率</vt:lpstr>
      <vt:lpstr>アガリ率</vt:lpstr>
      <vt:lpstr>Player1!チョンボ数</vt:lpstr>
      <vt:lpstr>Player2!チョンボ数</vt:lpstr>
      <vt:lpstr>Player3!チョンボ数</vt:lpstr>
      <vt:lpstr>Player4!チョンボ数</vt:lpstr>
      <vt:lpstr>全体!チョンボ数</vt:lpstr>
      <vt:lpstr>チョンボ数</vt:lpstr>
      <vt:lpstr>Player1!チョンボ率</vt:lpstr>
      <vt:lpstr>Player2!チョンボ率</vt:lpstr>
      <vt:lpstr>Player3!チョンボ率</vt:lpstr>
      <vt:lpstr>Player4!チョンボ率</vt:lpstr>
      <vt:lpstr>全体!チョンボ率</vt:lpstr>
      <vt:lpstr>チョンボ率</vt:lpstr>
      <vt:lpstr>Player1!ツモ数</vt:lpstr>
      <vt:lpstr>Player2!ツモ数</vt:lpstr>
      <vt:lpstr>Player3!ツモ数</vt:lpstr>
      <vt:lpstr>Player4!ツモ数</vt:lpstr>
      <vt:lpstr>全体!ツモ数</vt:lpstr>
      <vt:lpstr>ツモ数</vt:lpstr>
      <vt:lpstr>Player1!ツモ率</vt:lpstr>
      <vt:lpstr>Player2!ツモ率</vt:lpstr>
      <vt:lpstr>Player3!ツモ率</vt:lpstr>
      <vt:lpstr>Player4!ツモ率</vt:lpstr>
      <vt:lpstr>全体!ツモ率</vt:lpstr>
      <vt:lpstr>ツモ率</vt:lpstr>
      <vt:lpstr>Player1!トップ数</vt:lpstr>
      <vt:lpstr>Player2!トップ数</vt:lpstr>
      <vt:lpstr>Player3!トップ数</vt:lpstr>
      <vt:lpstr>Player4!トップ数</vt:lpstr>
      <vt:lpstr>全体!トップ数</vt:lpstr>
      <vt:lpstr>トップ数</vt:lpstr>
      <vt:lpstr>Player1!トップ率</vt:lpstr>
      <vt:lpstr>Player2!トップ率</vt:lpstr>
      <vt:lpstr>Player3!トップ率</vt:lpstr>
      <vt:lpstr>Player4!トップ率</vt:lpstr>
      <vt:lpstr>全体!トップ率</vt:lpstr>
      <vt:lpstr>トップ率</vt:lpstr>
      <vt:lpstr>Player1!ふっとばし数</vt:lpstr>
      <vt:lpstr>Player2!ふっとばし数</vt:lpstr>
      <vt:lpstr>Player3!ふっとばし数</vt:lpstr>
      <vt:lpstr>Player4!ふっとばし数</vt:lpstr>
      <vt:lpstr>全体!ふっとばし数</vt:lpstr>
      <vt:lpstr>ふっとばし数</vt:lpstr>
      <vt:lpstr>Player1!ふっとばし率</vt:lpstr>
      <vt:lpstr>Player2!ふっとばし率</vt:lpstr>
      <vt:lpstr>Player3!ふっとばし率</vt:lpstr>
      <vt:lpstr>Player4!ふっとばし率</vt:lpstr>
      <vt:lpstr>全体!ふっとばし率</vt:lpstr>
      <vt:lpstr>ふっとばし率</vt:lpstr>
      <vt:lpstr>Player1!ふっとび数</vt:lpstr>
      <vt:lpstr>Player2!ふっとび数</vt:lpstr>
      <vt:lpstr>Player3!ふっとび数</vt:lpstr>
      <vt:lpstr>Player4!ふっとび数</vt:lpstr>
      <vt:lpstr>全体!ふっとび数</vt:lpstr>
      <vt:lpstr>ふっとび数</vt:lpstr>
      <vt:lpstr>Player1!ふっとび率</vt:lpstr>
      <vt:lpstr>Player2!ふっとび率</vt:lpstr>
      <vt:lpstr>Player3!ふっとび率</vt:lpstr>
      <vt:lpstr>Player4!ふっとび率</vt:lpstr>
      <vt:lpstr>全体!ふっとび率</vt:lpstr>
      <vt:lpstr>ふっとび率</vt:lpstr>
      <vt:lpstr>Player1!ラス率</vt:lpstr>
      <vt:lpstr>Player2!ラス率</vt:lpstr>
      <vt:lpstr>Player3!ラス率</vt:lpstr>
      <vt:lpstr>Player4!ラス率</vt:lpstr>
      <vt:lpstr>全体!ラス率</vt:lpstr>
      <vt:lpstr>ラス率</vt:lpstr>
      <vt:lpstr>Player1!リーチ数</vt:lpstr>
      <vt:lpstr>Player2!リーチ数</vt:lpstr>
      <vt:lpstr>Player3!リーチ数</vt:lpstr>
      <vt:lpstr>Player4!リーチ数</vt:lpstr>
      <vt:lpstr>全体!リーチ数</vt:lpstr>
      <vt:lpstr>リーチ数</vt:lpstr>
      <vt:lpstr>Player1!リーチ成功数</vt:lpstr>
      <vt:lpstr>Player2!リーチ成功数</vt:lpstr>
      <vt:lpstr>Player3!リーチ成功数</vt:lpstr>
      <vt:lpstr>Player4!リーチ成功数</vt:lpstr>
      <vt:lpstr>全体!リーチ成功数</vt:lpstr>
      <vt:lpstr>リーチ成功数</vt:lpstr>
      <vt:lpstr>Player1!リーチ成功率</vt:lpstr>
      <vt:lpstr>Player2!リーチ成功率</vt:lpstr>
      <vt:lpstr>Player3!リーチ成功率</vt:lpstr>
      <vt:lpstr>Player4!リーチ成功率</vt:lpstr>
      <vt:lpstr>全体!リーチ成功率</vt:lpstr>
      <vt:lpstr>リーチ成功率</vt:lpstr>
      <vt:lpstr>Player1!リーチ率</vt:lpstr>
      <vt:lpstr>Player2!リーチ率</vt:lpstr>
      <vt:lpstr>Player3!リーチ率</vt:lpstr>
      <vt:lpstr>Player4!リーチ率</vt:lpstr>
      <vt:lpstr>全体!リーチ率</vt:lpstr>
      <vt:lpstr>リーチ率</vt:lpstr>
      <vt:lpstr>Player1!ロン数</vt:lpstr>
      <vt:lpstr>Player2!ロン数</vt:lpstr>
      <vt:lpstr>Player3!ロン数</vt:lpstr>
      <vt:lpstr>Player4!ロン数</vt:lpstr>
      <vt:lpstr>全体!ロン数</vt:lpstr>
      <vt:lpstr>ロン数</vt:lpstr>
      <vt:lpstr>Player1!ロン率</vt:lpstr>
      <vt:lpstr>Player2!ロン率</vt:lpstr>
      <vt:lpstr>Player3!ロン率</vt:lpstr>
      <vt:lpstr>Player4!ロン率</vt:lpstr>
      <vt:lpstr>全体!ロン率</vt:lpstr>
      <vt:lpstr>ロン率</vt:lpstr>
      <vt:lpstr>Player1!逆転数</vt:lpstr>
      <vt:lpstr>Player2!逆転数</vt:lpstr>
      <vt:lpstr>Player3!逆転数</vt:lpstr>
      <vt:lpstr>Player4!逆転数</vt:lpstr>
      <vt:lpstr>全体!逆転数</vt:lpstr>
      <vt:lpstr>逆転数</vt:lpstr>
      <vt:lpstr>Player1!逆転率</vt:lpstr>
      <vt:lpstr>Player2!逆転率</vt:lpstr>
      <vt:lpstr>Player3!逆転率</vt:lpstr>
      <vt:lpstr>Player4!逆転率</vt:lpstr>
      <vt:lpstr>全体!逆転率</vt:lpstr>
      <vt:lpstr>逆転率</vt:lpstr>
      <vt:lpstr>Player1!最大ドラ数</vt:lpstr>
      <vt:lpstr>Player2!最大ドラ数</vt:lpstr>
      <vt:lpstr>Player3!最大ドラ数</vt:lpstr>
      <vt:lpstr>Player4!最大ドラ数</vt:lpstr>
      <vt:lpstr>全体!最大ドラ数</vt:lpstr>
      <vt:lpstr>最大ドラ数</vt:lpstr>
      <vt:lpstr>Player1!最大点数</vt:lpstr>
      <vt:lpstr>Player2!最大点数</vt:lpstr>
      <vt:lpstr>Player3!最大点数</vt:lpstr>
      <vt:lpstr>Player4!最大点数</vt:lpstr>
      <vt:lpstr>全体!最大点数</vt:lpstr>
      <vt:lpstr>最大点数</vt:lpstr>
      <vt:lpstr>Player1!総局数</vt:lpstr>
      <vt:lpstr>Player2!総局数</vt:lpstr>
      <vt:lpstr>Player3!総局数</vt:lpstr>
      <vt:lpstr>Player4!総局数</vt:lpstr>
      <vt:lpstr>全体!総局数</vt:lpstr>
      <vt:lpstr>総局数</vt:lpstr>
      <vt:lpstr>Player1!対戦数</vt:lpstr>
      <vt:lpstr>Player2!対戦数</vt:lpstr>
      <vt:lpstr>Player3!対戦数</vt:lpstr>
      <vt:lpstr>Player4!対戦数</vt:lpstr>
      <vt:lpstr>全体!対戦数</vt:lpstr>
      <vt:lpstr>対戦数</vt:lpstr>
      <vt:lpstr>Player1!通算スコア</vt:lpstr>
      <vt:lpstr>Player2!通算スコア</vt:lpstr>
      <vt:lpstr>Player3!通算スコア</vt:lpstr>
      <vt:lpstr>Player4!通算スコア</vt:lpstr>
      <vt:lpstr>全体!通算スコア</vt:lpstr>
      <vt:lpstr>通算スコア</vt:lpstr>
      <vt:lpstr>Player1!副露数</vt:lpstr>
      <vt:lpstr>Player2!副露数</vt:lpstr>
      <vt:lpstr>Player3!副露数</vt:lpstr>
      <vt:lpstr>Player4!副露数</vt:lpstr>
      <vt:lpstr>全体!副露数</vt:lpstr>
      <vt:lpstr>副露数</vt:lpstr>
      <vt:lpstr>Player1!副露成功数</vt:lpstr>
      <vt:lpstr>Player2!副露成功数</vt:lpstr>
      <vt:lpstr>Player3!副露成功数</vt:lpstr>
      <vt:lpstr>Player4!副露成功数</vt:lpstr>
      <vt:lpstr>全体!副露成功数</vt:lpstr>
      <vt:lpstr>副露成功数</vt:lpstr>
      <vt:lpstr>Player1!副露成功率</vt:lpstr>
      <vt:lpstr>Player2!副露成功率</vt:lpstr>
      <vt:lpstr>Player3!副露成功率</vt:lpstr>
      <vt:lpstr>Player4!副露成功率</vt:lpstr>
      <vt:lpstr>全体!副露成功率</vt:lpstr>
      <vt:lpstr>副露成功率</vt:lpstr>
      <vt:lpstr>Player1!副露率</vt:lpstr>
      <vt:lpstr>Player2!副露率</vt:lpstr>
      <vt:lpstr>Player3!副露率</vt:lpstr>
      <vt:lpstr>Player4!副露率</vt:lpstr>
      <vt:lpstr>全体!副露率</vt:lpstr>
      <vt:lpstr>副露率</vt:lpstr>
      <vt:lpstr>Player1!平均アガリ点</vt:lpstr>
      <vt:lpstr>Player2!平均アガリ点</vt:lpstr>
      <vt:lpstr>Player3!平均アガリ点</vt:lpstr>
      <vt:lpstr>Player4!平均アガリ点</vt:lpstr>
      <vt:lpstr>全体!平均アガリ点</vt:lpstr>
      <vt:lpstr>平均アガリ点</vt:lpstr>
      <vt:lpstr>Player1!平均スコア</vt:lpstr>
      <vt:lpstr>Player2!平均スコア</vt:lpstr>
      <vt:lpstr>Player3!平均スコア</vt:lpstr>
      <vt:lpstr>Player4!平均スコア</vt:lpstr>
      <vt:lpstr>全体!平均スコア</vt:lpstr>
      <vt:lpstr>平均スコア</vt:lpstr>
      <vt:lpstr>Player1!平均順位</vt:lpstr>
      <vt:lpstr>Player2!平均順位</vt:lpstr>
      <vt:lpstr>Player3!平均順位</vt:lpstr>
      <vt:lpstr>Player4!平均順位</vt:lpstr>
      <vt:lpstr>全体!平均順位</vt:lpstr>
      <vt:lpstr>平均順位</vt:lpstr>
      <vt:lpstr>Player1!平均放銃点</vt:lpstr>
      <vt:lpstr>Player2!平均放銃点</vt:lpstr>
      <vt:lpstr>Player3!平均放銃点</vt:lpstr>
      <vt:lpstr>Player4!平均放銃点</vt:lpstr>
      <vt:lpstr>全体!平均放銃点</vt:lpstr>
      <vt:lpstr>平均放銃点</vt:lpstr>
      <vt:lpstr>Player1!放銃数</vt:lpstr>
      <vt:lpstr>Player2!放銃数</vt:lpstr>
      <vt:lpstr>Player3!放銃数</vt:lpstr>
      <vt:lpstr>Player4!放銃数</vt:lpstr>
      <vt:lpstr>全体!放銃数</vt:lpstr>
      <vt:lpstr>放銃数</vt:lpstr>
      <vt:lpstr>Player1!放銃率</vt:lpstr>
      <vt:lpstr>Player2!放銃率</vt:lpstr>
      <vt:lpstr>Player3!放銃率</vt:lpstr>
      <vt:lpstr>Player4!放銃率</vt:lpstr>
      <vt:lpstr>全体!放銃率</vt:lpstr>
      <vt:lpstr>放銃率</vt:lpstr>
      <vt:lpstr>Player1!連続アガリ</vt:lpstr>
      <vt:lpstr>Player2!連続アガリ</vt:lpstr>
      <vt:lpstr>Player3!連続アガリ</vt:lpstr>
      <vt:lpstr>Player4!連続アガリ</vt:lpstr>
      <vt:lpstr>全体!連続アガリ</vt:lpstr>
      <vt:lpstr>連続アガリ</vt:lpstr>
      <vt:lpstr>Player1!連続無放銃</vt:lpstr>
      <vt:lpstr>Player2!連続無放銃</vt:lpstr>
      <vt:lpstr>Player3!連続無放銃</vt:lpstr>
      <vt:lpstr>Player4!連続無放銃</vt:lpstr>
      <vt:lpstr>全体!連続無放銃</vt:lpstr>
      <vt:lpstr>連続無放銃</vt:lpstr>
      <vt:lpstr>Player1!連対数</vt:lpstr>
      <vt:lpstr>Player2!連対数</vt:lpstr>
      <vt:lpstr>Player3!連対数</vt:lpstr>
      <vt:lpstr>Player4!連対数</vt:lpstr>
      <vt:lpstr>全体!連対数</vt:lpstr>
      <vt:lpstr>連対数</vt:lpstr>
      <vt:lpstr>Player1!連対率</vt:lpstr>
      <vt:lpstr>Player2!連対率</vt:lpstr>
      <vt:lpstr>Player3!連対率</vt:lpstr>
      <vt:lpstr>Player4!連対率</vt:lpstr>
      <vt:lpstr>全体!連対率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2019-10-25T02:40:28Z</dcterms:modified>
</cp:coreProperties>
</file>