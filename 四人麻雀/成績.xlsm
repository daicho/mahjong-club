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chartsheets/sheet17.xml" ContentType="application/vnd.openxmlformats-officedocument.spreadsheetml.chart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9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0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1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2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3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4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5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7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8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9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1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2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3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4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四人麻雀\"/>
    </mc:Choice>
  </mc:AlternateContent>
  <xr:revisionPtr revIDLastSave="0" documentId="13_ncr:1_{7066285C-D48A-421E-87CC-E1991EE96CF9}" xr6:coauthVersionLast="41" xr6:coauthVersionMax="41" xr10:uidLastSave="{00000000-0000-0000-0000-000000000000}"/>
  <bookViews>
    <workbookView xWindow="-120" yWindow="-120" windowWidth="29040" windowHeight="1599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2" sheetId="5991" state="hidden" r:id="rId6"/>
    <sheet name="全体" sheetId="5990" r:id="rId7"/>
    <sheet name="Player12" sheetId="5993" state="hidden" r:id="rId8"/>
    <sheet name="Player1" sheetId="5992" r:id="rId9"/>
    <sheet name="Player22" sheetId="5995" state="hidden" r:id="rId10"/>
    <sheet name="Player2" sheetId="5994" r:id="rId11"/>
    <sheet name="Player32" sheetId="5997" state="hidden" r:id="rId12"/>
    <sheet name="Player3" sheetId="5996" r:id="rId13"/>
    <sheet name="Player42" sheetId="5999" state="hidden" r:id="rId14"/>
    <sheet name="Player4" sheetId="5998" r:id="rId15"/>
    <sheet name="通算スコア" sheetId="5912" state="hidden" r:id="rId16"/>
    <sheet name="平均スコア" sheetId="5913" state="hidden" r:id="rId17"/>
    <sheet name="平均順位" sheetId="5914" state="hidden" r:id="rId18"/>
    <sheet name="トップ率" sheetId="5915" state="hidden" r:id="rId19"/>
    <sheet name="ラス率" sheetId="5916" state="hidden" r:id="rId20"/>
    <sheet name="連対率" sheetId="5938" state="hidden" r:id="rId21"/>
    <sheet name="アガリ率" sheetId="5917" state="hidden" r:id="rId22"/>
    <sheet name="放銃率" sheetId="5918" state="hidden" r:id="rId23"/>
    <sheet name="平均アガリ点" sheetId="5919" state="hidden" r:id="rId24"/>
    <sheet name="平均放銃点" sheetId="5920" state="hidden" r:id="rId25"/>
    <sheet name="ふっとび率" sheetId="5921" state="hidden" r:id="rId26"/>
    <sheet name="ふっとばし率" sheetId="5922" state="hidden" r:id="rId27"/>
    <sheet name="リーチ率" sheetId="5923" state="hidden" r:id="rId28"/>
    <sheet name="副露率" sheetId="5924" state="hidden" r:id="rId29"/>
    <sheet name="リーチ成功率" sheetId="5925" state="hidden" r:id="rId30"/>
    <sheet name="副露成功率" sheetId="5926" state="hidden" r:id="rId31"/>
    <sheet name="ツモ率" sheetId="5927" state="hidden" r:id="rId32"/>
  </sheets>
  <externalReferences>
    <externalReference r:id="rId33"/>
  </externalReferences>
  <definedNames>
    <definedName name="アガリ数" localSheetId="8">Player1!$B$19</definedName>
    <definedName name="アガリ数" localSheetId="10">Player2!$B$19</definedName>
    <definedName name="アガリ数" localSheetId="12">Player3!$B$19</definedName>
    <definedName name="アガリ数" localSheetId="14">Player4!$B$19</definedName>
    <definedName name="アガリ数" localSheetId="6">全体!$B$19</definedName>
    <definedName name="アガリ数">Template1!$B$19</definedName>
    <definedName name="アガリ率" localSheetId="8">Player1!$C$19</definedName>
    <definedName name="アガリ率" localSheetId="10">Player2!$C$19</definedName>
    <definedName name="アガリ率" localSheetId="12">Player3!$C$19</definedName>
    <definedName name="アガリ率" localSheetId="14">Player4!$C$19</definedName>
    <definedName name="アガリ率" localSheetId="6">全体!$C$19</definedName>
    <definedName name="アガリ率">Template1!$C$19</definedName>
    <definedName name="チョンボ数" localSheetId="8">Player1!$B$29</definedName>
    <definedName name="チョンボ数" localSheetId="10">Player2!$B$29</definedName>
    <definedName name="チョンボ数" localSheetId="12">Player3!$B$29</definedName>
    <definedName name="チョンボ数" localSheetId="14">Player4!$B$29</definedName>
    <definedName name="チョンボ数" localSheetId="6">全体!$B$29</definedName>
    <definedName name="チョンボ数">Template1!$B$29</definedName>
    <definedName name="チョンボ率" localSheetId="8">Player1!$C$29</definedName>
    <definedName name="チョンボ率" localSheetId="10">Player2!$C$29</definedName>
    <definedName name="チョンボ率" localSheetId="12">Player3!$C$29</definedName>
    <definedName name="チョンボ率" localSheetId="14">Player4!$C$29</definedName>
    <definedName name="チョンボ率" localSheetId="6">全体!$C$29</definedName>
    <definedName name="チョンボ率">Template1!$C$29</definedName>
    <definedName name="ツモ数" localSheetId="8">Player1!$B$20</definedName>
    <definedName name="ツモ数" localSheetId="10">Player2!$B$20</definedName>
    <definedName name="ツモ数" localSheetId="12">Player3!$B$20</definedName>
    <definedName name="ツモ数" localSheetId="14">Player4!$B$20</definedName>
    <definedName name="ツモ数" localSheetId="6">全体!$B$20</definedName>
    <definedName name="ツモ数">Template1!$B$20</definedName>
    <definedName name="ツモ率" localSheetId="8">Player1!$C$20</definedName>
    <definedName name="ツモ率" localSheetId="10">Player2!$C$20</definedName>
    <definedName name="ツモ率" localSheetId="12">Player3!$C$20</definedName>
    <definedName name="ツモ率" localSheetId="14">Player4!$C$20</definedName>
    <definedName name="ツモ率" localSheetId="6">全体!$C$20</definedName>
    <definedName name="ツモ率">Template1!$C$20</definedName>
    <definedName name="トップ数" localSheetId="8">Player1!$B$7</definedName>
    <definedName name="トップ数" localSheetId="10">Player2!$B$7</definedName>
    <definedName name="トップ数" localSheetId="12">Player3!$B$7</definedName>
    <definedName name="トップ数" localSheetId="14">Player4!$B$7</definedName>
    <definedName name="トップ数" localSheetId="6">全体!$B$7</definedName>
    <definedName name="トップ数">Template1!$B$7</definedName>
    <definedName name="トップ率" localSheetId="8">Player1!$C$7</definedName>
    <definedName name="トップ率" localSheetId="10">Player2!$C$7</definedName>
    <definedName name="トップ率" localSheetId="12">Player3!$C$7</definedName>
    <definedName name="トップ率" localSheetId="14">Player4!$C$7</definedName>
    <definedName name="トップ率" localSheetId="6">全体!$C$7</definedName>
    <definedName name="トップ率">Template1!$C$7</definedName>
    <definedName name="ふっとばし数" localSheetId="8">Player1!$B$13</definedName>
    <definedName name="ふっとばし数" localSheetId="10">Player2!$B$13</definedName>
    <definedName name="ふっとばし数" localSheetId="12">Player3!$B$13</definedName>
    <definedName name="ふっとばし数" localSheetId="14">Player4!$B$13</definedName>
    <definedName name="ふっとばし数" localSheetId="6">全体!$B$13</definedName>
    <definedName name="ふっとばし数">Template1!$B$13</definedName>
    <definedName name="ふっとばし率" localSheetId="8">Player1!$C$13</definedName>
    <definedName name="ふっとばし率" localSheetId="10">Player2!$C$13</definedName>
    <definedName name="ふっとばし率" localSheetId="12">Player3!$C$13</definedName>
    <definedName name="ふっとばし率" localSheetId="14">Player4!$C$13</definedName>
    <definedName name="ふっとばし率" localSheetId="6">全体!$C$13</definedName>
    <definedName name="ふっとばし率">Template1!$C$13</definedName>
    <definedName name="ふっとび数" localSheetId="8">Player1!$B$12</definedName>
    <definedName name="ふっとび数" localSheetId="10">Player2!$B$12</definedName>
    <definedName name="ふっとび数" localSheetId="12">Player3!$B$12</definedName>
    <definedName name="ふっとび数" localSheetId="14">Player4!$B$12</definedName>
    <definedName name="ふっとび数" localSheetId="6">全体!$B$12</definedName>
    <definedName name="ふっとび数">Template1!$B$12</definedName>
    <definedName name="ふっとび率" localSheetId="8">Player1!$C$12</definedName>
    <definedName name="ふっとび率" localSheetId="10">Player2!$C$12</definedName>
    <definedName name="ふっとび率" localSheetId="12">Player3!$C$12</definedName>
    <definedName name="ふっとび率" localSheetId="14">Player4!$C$12</definedName>
    <definedName name="ふっとび率" localSheetId="6">全体!$C$12</definedName>
    <definedName name="ふっとび率">Template1!$C$12</definedName>
    <definedName name="ラス率" localSheetId="8">Player1!$C$10</definedName>
    <definedName name="ラス率" localSheetId="10">Player2!$C$10</definedName>
    <definedName name="ラス率" localSheetId="12">Player3!$C$10</definedName>
    <definedName name="ラス率" localSheetId="14">Player4!$C$10</definedName>
    <definedName name="ラス率" localSheetId="6">全体!$C$10</definedName>
    <definedName name="ラス率">Template1!$C$10</definedName>
    <definedName name="リーチ数" localSheetId="8">Player1!$B$15</definedName>
    <definedName name="リーチ数" localSheetId="10">Player2!$B$15</definedName>
    <definedName name="リーチ数" localSheetId="12">Player3!$B$15</definedName>
    <definedName name="リーチ数" localSheetId="14">Player4!$B$15</definedName>
    <definedName name="リーチ数" localSheetId="6">全体!$B$15</definedName>
    <definedName name="リーチ数">Template1!$B$15</definedName>
    <definedName name="リーチ成功数" localSheetId="8">Player1!$B$17</definedName>
    <definedName name="リーチ成功数" localSheetId="10">Player2!$B$17</definedName>
    <definedName name="リーチ成功数" localSheetId="12">Player3!$B$17</definedName>
    <definedName name="リーチ成功数" localSheetId="14">Player4!$B$17</definedName>
    <definedName name="リーチ成功数" localSheetId="6">全体!$B$17</definedName>
    <definedName name="リーチ成功数">Template1!$B$17</definedName>
    <definedName name="リーチ成功率" localSheetId="8">Player1!$C$17</definedName>
    <definedName name="リーチ成功率" localSheetId="10">Player2!$C$17</definedName>
    <definedName name="リーチ成功率" localSheetId="12">Player3!$C$17</definedName>
    <definedName name="リーチ成功率" localSheetId="14">Player4!$C$17</definedName>
    <definedName name="リーチ成功率" localSheetId="6">全体!$C$17</definedName>
    <definedName name="リーチ成功率">Template1!$C$17</definedName>
    <definedName name="リーチ率" localSheetId="8">Player1!$C$15</definedName>
    <definedName name="リーチ率" localSheetId="10">Player2!$C$15</definedName>
    <definedName name="リーチ率" localSheetId="12">Player3!$C$15</definedName>
    <definedName name="リーチ率" localSheetId="14">Player4!$C$15</definedName>
    <definedName name="リーチ率" localSheetId="6">全体!$C$15</definedName>
    <definedName name="リーチ率">Template1!$C$15</definedName>
    <definedName name="ロン数" localSheetId="8">Player1!$B$21</definedName>
    <definedName name="ロン数" localSheetId="10">Player2!$B$21</definedName>
    <definedName name="ロン数" localSheetId="12">Player3!$B$21</definedName>
    <definedName name="ロン数" localSheetId="14">Player4!$B$21</definedName>
    <definedName name="ロン数" localSheetId="6">全体!$B$21</definedName>
    <definedName name="ロン数">Template1!$B$21</definedName>
    <definedName name="ロン率" localSheetId="8">Player1!$C$21</definedName>
    <definedName name="ロン率" localSheetId="10">Player2!$C$21</definedName>
    <definedName name="ロン率" localSheetId="12">Player3!$C$21</definedName>
    <definedName name="ロン率" localSheetId="14">Player4!$C$21</definedName>
    <definedName name="ロン率" localSheetId="6">全体!$C$21</definedName>
    <definedName name="ロン率">Template1!$C$21</definedName>
    <definedName name="逆転数" localSheetId="8">Player1!$B$14</definedName>
    <definedName name="逆転数" localSheetId="10">Player2!$B$14</definedName>
    <definedName name="逆転数" localSheetId="12">Player3!$B$14</definedName>
    <definedName name="逆転数" localSheetId="14">Player4!$B$14</definedName>
    <definedName name="逆転数" localSheetId="6">全体!$B$14</definedName>
    <definedName name="逆転数">Template1!$B$14</definedName>
    <definedName name="逆転率" localSheetId="8">Player1!$C$14</definedName>
    <definedName name="逆転率" localSheetId="10">Player2!$C$14</definedName>
    <definedName name="逆転率" localSheetId="12">Player3!$C$14</definedName>
    <definedName name="逆転率" localSheetId="14">Player4!$C$14</definedName>
    <definedName name="逆転率" localSheetId="6">全体!$C$14</definedName>
    <definedName name="逆転率">Template1!$C$14</definedName>
    <definedName name="最大ドラ数" localSheetId="8">Player1!$B$27</definedName>
    <definedName name="最大ドラ数" localSheetId="10">Player2!$B$27</definedName>
    <definedName name="最大ドラ数" localSheetId="12">Player3!$B$27</definedName>
    <definedName name="最大ドラ数" localSheetId="14">Player4!$B$27</definedName>
    <definedName name="最大ドラ数" localSheetId="6">全体!$B$27</definedName>
    <definedName name="最大ドラ数">Template1!$B$27</definedName>
    <definedName name="最大点数" localSheetId="8">Player1!$B$28</definedName>
    <definedName name="最大点数" localSheetId="10">Player2!$B$28</definedName>
    <definedName name="最大点数" localSheetId="12">Player3!$B$28</definedName>
    <definedName name="最大点数" localSheetId="14">Player4!$B$28</definedName>
    <definedName name="最大点数" localSheetId="6">全体!$B$28</definedName>
    <definedName name="最大点数">Template1!$B$28</definedName>
    <definedName name="総局数" localSheetId="8">Player1!$B$3</definedName>
    <definedName name="総局数" localSheetId="10">Player2!$B$3</definedName>
    <definedName name="総局数" localSheetId="12">Player3!$B$3</definedName>
    <definedName name="総局数" localSheetId="14">Player4!$B$3</definedName>
    <definedName name="総局数" localSheetId="6">全体!$B$3</definedName>
    <definedName name="総局数">Template1!$B$3</definedName>
    <definedName name="対戦数" localSheetId="8">Player1!$B$2</definedName>
    <definedName name="対戦数" localSheetId="10">Player2!$B$2</definedName>
    <definedName name="対戦数" localSheetId="12">Player3!$B$2</definedName>
    <definedName name="対戦数" localSheetId="14">Player4!$B$2</definedName>
    <definedName name="対戦数" localSheetId="6">全体!$B$2</definedName>
    <definedName name="対戦数">Template1!$B$2</definedName>
    <definedName name="通算スコア" localSheetId="8">Player1!$B$4</definedName>
    <definedName name="通算スコア" localSheetId="10">Player2!$B$4</definedName>
    <definedName name="通算スコア" localSheetId="12">Player3!$B$4</definedName>
    <definedName name="通算スコア" localSheetId="14">Player4!$B$4</definedName>
    <definedName name="通算スコア" localSheetId="6">全体!$B$4</definedName>
    <definedName name="通算スコア">Template1!$B$4</definedName>
    <definedName name="副露数" localSheetId="8">Player1!$B$16</definedName>
    <definedName name="副露数" localSheetId="10">Player2!$B$16</definedName>
    <definedName name="副露数" localSheetId="12">Player3!$B$16</definedName>
    <definedName name="副露数" localSheetId="14">Player4!$B$16</definedName>
    <definedName name="副露数" localSheetId="6">全体!$B$16</definedName>
    <definedName name="副露数">Template1!$B$16</definedName>
    <definedName name="副露成功数" localSheetId="8">Player1!$B$18</definedName>
    <definedName name="副露成功数" localSheetId="10">Player2!$B$18</definedName>
    <definedName name="副露成功数" localSheetId="12">Player3!$B$18</definedName>
    <definedName name="副露成功数" localSheetId="14">Player4!$B$18</definedName>
    <definedName name="副露成功数" localSheetId="6">全体!$B$18</definedName>
    <definedName name="副露成功数">Template1!$B$18</definedName>
    <definedName name="副露成功率" localSheetId="8">Player1!$C$18</definedName>
    <definedName name="副露成功率" localSheetId="10">Player2!$C$18</definedName>
    <definedName name="副露成功率" localSheetId="12">Player3!$C$18</definedName>
    <definedName name="副露成功率" localSheetId="14">Player4!$C$18</definedName>
    <definedName name="副露成功率" localSheetId="6">全体!$C$18</definedName>
    <definedName name="副露成功率">Template1!$C$18</definedName>
    <definedName name="副露率" localSheetId="8">Player1!$C$16</definedName>
    <definedName name="副露率" localSheetId="10">Player2!$C$16</definedName>
    <definedName name="副露率" localSheetId="12">Player3!$C$16</definedName>
    <definedName name="副露率" localSheetId="14">Player4!$C$16</definedName>
    <definedName name="副露率" localSheetId="6">全体!$C$16</definedName>
    <definedName name="副露率">Template1!$C$16</definedName>
    <definedName name="平均アガリ点" localSheetId="8">Player1!$B$25</definedName>
    <definedName name="平均アガリ点" localSheetId="10">Player2!$B$25</definedName>
    <definedName name="平均アガリ点" localSheetId="12">Player3!$B$25</definedName>
    <definedName name="平均アガリ点" localSheetId="14">Player4!$B$25</definedName>
    <definedName name="平均アガリ点" localSheetId="6">全体!$B$25</definedName>
    <definedName name="平均アガリ点">Template1!$B$25</definedName>
    <definedName name="平均スコア" localSheetId="8">Player1!$B$5</definedName>
    <definedName name="平均スコア" localSheetId="10">Player2!$B$5</definedName>
    <definedName name="平均スコア" localSheetId="12">Player3!$B$5</definedName>
    <definedName name="平均スコア" localSheetId="14">Player4!$B$5</definedName>
    <definedName name="平均スコア" localSheetId="6">全体!$B$5</definedName>
    <definedName name="平均スコア">Template1!$B$5</definedName>
    <definedName name="平均順位" localSheetId="8">Player1!$B$6</definedName>
    <definedName name="平均順位" localSheetId="10">Player2!$B$6</definedName>
    <definedName name="平均順位" localSheetId="12">Player3!$B$6</definedName>
    <definedName name="平均順位" localSheetId="14">Player4!$B$6</definedName>
    <definedName name="平均順位" localSheetId="6">全体!$B$6</definedName>
    <definedName name="平均順位">Template1!$B$6</definedName>
    <definedName name="平均放銃点" localSheetId="8">Player1!$B$26</definedName>
    <definedName name="平均放銃点" localSheetId="10">Player2!$B$26</definedName>
    <definedName name="平均放銃点" localSheetId="12">Player3!$B$26</definedName>
    <definedName name="平均放銃点" localSheetId="14">Player4!$B$26</definedName>
    <definedName name="平均放銃点" localSheetId="6">全体!$B$26</definedName>
    <definedName name="平均放銃点">Template1!$B$26</definedName>
    <definedName name="放銃数" localSheetId="8">Player1!$B$22</definedName>
    <definedName name="放銃数" localSheetId="10">Player2!$B$22</definedName>
    <definedName name="放銃数" localSheetId="12">Player3!$B$22</definedName>
    <definedName name="放銃数" localSheetId="14">Player4!$B$22</definedName>
    <definedName name="放銃数" localSheetId="6">全体!$B$22</definedName>
    <definedName name="放銃数">Template1!$B$22</definedName>
    <definedName name="放銃率" localSheetId="8">Player1!$C$22</definedName>
    <definedName name="放銃率" localSheetId="10">Player2!$C$22</definedName>
    <definedName name="放銃率" localSheetId="12">Player3!$C$22</definedName>
    <definedName name="放銃率" localSheetId="14">Player4!$C$22</definedName>
    <definedName name="放銃率" localSheetId="6">全体!$C$22</definedName>
    <definedName name="放銃率">Template1!$C$22</definedName>
    <definedName name="連続アガリ" localSheetId="8">Player1!$B$23</definedName>
    <definedName name="連続アガリ" localSheetId="10">Player2!$B$23</definedName>
    <definedName name="連続アガリ" localSheetId="12">Player3!$B$23</definedName>
    <definedName name="連続アガリ" localSheetId="14">Player4!$B$23</definedName>
    <definedName name="連続アガリ" localSheetId="6">全体!$B$23</definedName>
    <definedName name="連続アガリ">Template1!$B$23</definedName>
    <definedName name="連続無放銃" localSheetId="8">Player1!$B$24</definedName>
    <definedName name="連続無放銃" localSheetId="10">Player2!$B$24</definedName>
    <definedName name="連続無放銃" localSheetId="12">Player3!$B$24</definedName>
    <definedName name="連続無放銃" localSheetId="14">Player4!$B$24</definedName>
    <definedName name="連続無放銃" localSheetId="6">全体!$B$24</definedName>
    <definedName name="連続無放銃">Template1!$B$24</definedName>
    <definedName name="連対数" localSheetId="8">Player1!$B$11</definedName>
    <definedName name="連対数" localSheetId="10">Player2!$B$11</definedName>
    <definedName name="連対数" localSheetId="12">Player3!$B$11</definedName>
    <definedName name="連対数" localSheetId="14">Player4!$B$11</definedName>
    <definedName name="連対数" localSheetId="6">全体!$B$11</definedName>
    <definedName name="連対数">Template1!$B$11</definedName>
    <definedName name="連対率" localSheetId="8">Player1!$C$11</definedName>
    <definedName name="連対率" localSheetId="10">Player2!$C$11</definedName>
    <definedName name="連対率" localSheetId="12">Player3!$C$11</definedName>
    <definedName name="連対率" localSheetId="14">Player4!$C$11</definedName>
    <definedName name="連対率" localSheetId="6">全体!$C$11</definedName>
    <definedName name="連対率">Template1!$C$11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0" i="5998" l="1"/>
  <c r="O19" i="5998"/>
  <c r="O18" i="5998"/>
  <c r="C29" i="5998"/>
  <c r="B26" i="5998"/>
  <c r="C22" i="5998"/>
  <c r="C20" i="5998"/>
  <c r="B19" i="5998"/>
  <c r="H47" i="5998" s="1"/>
  <c r="C18" i="5998"/>
  <c r="C17" i="5998"/>
  <c r="C16" i="5998"/>
  <c r="O15" i="5998"/>
  <c r="C15" i="5998"/>
  <c r="O14" i="5998"/>
  <c r="C14" i="5998"/>
  <c r="O13" i="5998"/>
  <c r="C13" i="5998"/>
  <c r="O12" i="5998"/>
  <c r="C12" i="5998"/>
  <c r="C11" i="5998"/>
  <c r="B11" i="5998"/>
  <c r="C10" i="5998"/>
  <c r="O9" i="5998"/>
  <c r="C9" i="5998"/>
  <c r="O8" i="5998"/>
  <c r="H10" i="5998"/>
  <c r="C8" i="5998"/>
  <c r="O7" i="5998"/>
  <c r="C7" i="5998"/>
  <c r="O6" i="5998"/>
  <c r="B6" i="5998"/>
  <c r="O5" i="5998"/>
  <c r="H8" i="5998"/>
  <c r="B5" i="5998"/>
  <c r="O4" i="5998"/>
  <c r="H2" i="5998"/>
  <c r="O3" i="5998"/>
  <c r="O2" i="5998"/>
  <c r="H6" i="5998"/>
  <c r="O20" i="5996"/>
  <c r="O19" i="5996"/>
  <c r="O18" i="5996"/>
  <c r="C29" i="5996"/>
  <c r="B26" i="5996"/>
  <c r="C22" i="5996"/>
  <c r="B19" i="5996"/>
  <c r="H44" i="5996" s="1"/>
  <c r="C18" i="5996"/>
  <c r="C17" i="5996"/>
  <c r="C16" i="5996"/>
  <c r="O15" i="5996"/>
  <c r="C15" i="5996"/>
  <c r="O14" i="5996"/>
  <c r="C14" i="5996"/>
  <c r="O13" i="5996"/>
  <c r="C13" i="5996"/>
  <c r="O12" i="5996"/>
  <c r="C12" i="5996"/>
  <c r="B11" i="5996"/>
  <c r="C11" i="5996" s="1"/>
  <c r="C10" i="5996"/>
  <c r="O9" i="5996"/>
  <c r="C9" i="5996"/>
  <c r="O8" i="5996"/>
  <c r="C8" i="5996"/>
  <c r="O7" i="5996"/>
  <c r="C7" i="5996"/>
  <c r="O6" i="5996"/>
  <c r="B6" i="5996"/>
  <c r="O5" i="5996"/>
  <c r="B5" i="5996"/>
  <c r="O4" i="5996"/>
  <c r="O3" i="5996"/>
  <c r="O2" i="5996"/>
  <c r="O20" i="5994"/>
  <c r="O19" i="5994"/>
  <c r="O18" i="5994"/>
  <c r="C29" i="5994"/>
  <c r="B26" i="5994"/>
  <c r="C22" i="5994"/>
  <c r="B19" i="5994"/>
  <c r="H14" i="5994" s="1"/>
  <c r="C18" i="5994"/>
  <c r="C17" i="5994"/>
  <c r="C16" i="5994"/>
  <c r="O15" i="5994"/>
  <c r="C15" i="5994"/>
  <c r="O14" i="5994"/>
  <c r="C14" i="5994"/>
  <c r="O13" i="5994"/>
  <c r="C13" i="5994"/>
  <c r="O12" i="5994"/>
  <c r="C12" i="5994"/>
  <c r="B11" i="5994"/>
  <c r="C11" i="5994" s="1"/>
  <c r="C10" i="5994"/>
  <c r="O9" i="5994"/>
  <c r="C9" i="5994"/>
  <c r="O8" i="5994"/>
  <c r="C8" i="5994"/>
  <c r="O7" i="5994"/>
  <c r="C7" i="5994"/>
  <c r="O6" i="5994"/>
  <c r="B6" i="5994"/>
  <c r="O5" i="5994"/>
  <c r="B5" i="5994"/>
  <c r="O4" i="5994"/>
  <c r="O3" i="5994"/>
  <c r="O2" i="5994"/>
  <c r="O21" i="5990"/>
  <c r="O20" i="5992"/>
  <c r="O19" i="5992"/>
  <c r="O18" i="5992"/>
  <c r="C29" i="5992"/>
  <c r="B26" i="5992"/>
  <c r="C22" i="5992"/>
  <c r="B19" i="5992"/>
  <c r="H45" i="5992" s="1"/>
  <c r="C18" i="5992"/>
  <c r="C17" i="5992"/>
  <c r="C16" i="5992"/>
  <c r="O15" i="5992"/>
  <c r="C15" i="5992"/>
  <c r="O14" i="5992"/>
  <c r="C14" i="5992"/>
  <c r="O13" i="5992"/>
  <c r="C13" i="5992"/>
  <c r="O12" i="5992"/>
  <c r="C12" i="5992"/>
  <c r="B11" i="5992"/>
  <c r="C11" i="5992" s="1"/>
  <c r="C10" i="5992"/>
  <c r="O9" i="5992"/>
  <c r="C9" i="5992"/>
  <c r="O8" i="5992"/>
  <c r="C8" i="5992"/>
  <c r="O7" i="5992"/>
  <c r="C7" i="5992"/>
  <c r="O6" i="5992"/>
  <c r="B6" i="5992"/>
  <c r="O5" i="5992"/>
  <c r="B5" i="5992"/>
  <c r="O4" i="5992"/>
  <c r="O3" i="5992"/>
  <c r="O2" i="5992"/>
  <c r="O20" i="5990"/>
  <c r="O19" i="5990"/>
  <c r="O18" i="5990"/>
  <c r="C29" i="5990"/>
  <c r="B26" i="5990"/>
  <c r="C22" i="5990"/>
  <c r="B19" i="5990"/>
  <c r="H23" i="5990" s="1"/>
  <c r="C18" i="5990"/>
  <c r="C17" i="5990"/>
  <c r="C16" i="5990"/>
  <c r="O15" i="5990"/>
  <c r="C15" i="5990"/>
  <c r="O14" i="5990"/>
  <c r="C14" i="5990"/>
  <c r="O13" i="5990"/>
  <c r="C13" i="5990"/>
  <c r="O12" i="5990"/>
  <c r="C12" i="5990"/>
  <c r="B11" i="5990"/>
  <c r="C11" i="5990" s="1"/>
  <c r="C10" i="5990"/>
  <c r="O9" i="5990"/>
  <c r="C9" i="5990"/>
  <c r="O8" i="5990"/>
  <c r="C8" i="5990"/>
  <c r="O7" i="5990"/>
  <c r="C7" i="5990"/>
  <c r="O6" i="5990"/>
  <c r="B6" i="5990"/>
  <c r="O5" i="5990"/>
  <c r="B5" i="5990"/>
  <c r="O4" i="5990"/>
  <c r="O3" i="5990"/>
  <c r="O2" i="5990"/>
  <c r="H19" i="5998" l="1"/>
  <c r="H38" i="5998"/>
  <c r="B25" i="5998"/>
  <c r="H18" i="5998"/>
  <c r="H7" i="5998"/>
  <c r="H3" i="5998"/>
  <c r="H11" i="5998"/>
  <c r="H15" i="5998"/>
  <c r="H20" i="5998"/>
  <c r="H13" i="5996"/>
  <c r="H30" i="5998"/>
  <c r="H41" i="5998"/>
  <c r="H26" i="5998"/>
  <c r="H33" i="5998"/>
  <c r="H42" i="5998"/>
  <c r="H12" i="5998"/>
  <c r="H14" i="5998"/>
  <c r="H17" i="5998"/>
  <c r="C19" i="5998"/>
  <c r="H25" i="5998"/>
  <c r="H27" i="5998"/>
  <c r="H34" i="5998"/>
  <c r="H46" i="5998"/>
  <c r="H22" i="5998"/>
  <c r="H29" i="5998"/>
  <c r="H37" i="5998"/>
  <c r="H45" i="5998"/>
  <c r="H21" i="5998"/>
  <c r="H5" i="5998"/>
  <c r="H28" i="5998"/>
  <c r="H35" i="5998"/>
  <c r="H43" i="5998"/>
  <c r="H9" i="5998"/>
  <c r="H13" i="5998"/>
  <c r="H16" i="5998"/>
  <c r="H4" i="5998"/>
  <c r="C21" i="5998"/>
  <c r="H24" i="5998"/>
  <c r="H32" i="5998"/>
  <c r="H36" i="5998"/>
  <c r="H40" i="5998"/>
  <c r="H44" i="5998"/>
  <c r="H23" i="5998"/>
  <c r="H31" i="5998"/>
  <c r="H39" i="5998"/>
  <c r="H9" i="5994"/>
  <c r="H10" i="5992"/>
  <c r="H16" i="5994"/>
  <c r="H4" i="5996"/>
  <c r="H28" i="5996"/>
  <c r="H3" i="5996"/>
  <c r="H10" i="5996"/>
  <c r="H12" i="5996"/>
  <c r="H38" i="5996"/>
  <c r="H7" i="5996"/>
  <c r="H41" i="5996"/>
  <c r="H2" i="5996"/>
  <c r="H9" i="5996"/>
  <c r="H17" i="5996"/>
  <c r="H5" i="5996"/>
  <c r="C19" i="5996"/>
  <c r="H31" i="5996"/>
  <c r="H46" i="5996"/>
  <c r="H14" i="5996"/>
  <c r="H16" i="5996"/>
  <c r="H19" i="5996"/>
  <c r="H22" i="5996"/>
  <c r="H27" i="5996"/>
  <c r="H34" i="5996"/>
  <c r="H6" i="5994"/>
  <c r="H21" i="5996"/>
  <c r="C20" i="5996"/>
  <c r="B25" i="5996"/>
  <c r="H35" i="5996"/>
  <c r="H42" i="5996"/>
  <c r="H19" i="5994"/>
  <c r="H23" i="5996"/>
  <c r="H30" i="5996"/>
  <c r="H8" i="5996"/>
  <c r="H45" i="5996"/>
  <c r="H6" i="5996"/>
  <c r="H24" i="5996"/>
  <c r="H26" i="5996"/>
  <c r="H29" i="5996"/>
  <c r="H32" i="5996"/>
  <c r="H36" i="5996"/>
  <c r="H39" i="5996"/>
  <c r="H43" i="5996"/>
  <c r="H47" i="5996"/>
  <c r="H11" i="5996"/>
  <c r="H15" i="5996"/>
  <c r="H18" i="5996"/>
  <c r="H20" i="5996"/>
  <c r="C21" i="5996"/>
  <c r="H25" i="5996"/>
  <c r="H33" i="5996"/>
  <c r="H37" i="5996"/>
  <c r="H40" i="5996"/>
  <c r="H6" i="5992"/>
  <c r="H17" i="5992"/>
  <c r="C19" i="5992"/>
  <c r="H15" i="5994"/>
  <c r="H2" i="5994"/>
  <c r="H13" i="5994"/>
  <c r="H35" i="5994"/>
  <c r="H4" i="5992"/>
  <c r="H4" i="5994"/>
  <c r="H7" i="5994"/>
  <c r="H22" i="5994"/>
  <c r="H28" i="5994"/>
  <c r="C19" i="5994"/>
  <c r="H26" i="5994"/>
  <c r="H31" i="5994"/>
  <c r="H23" i="5994"/>
  <c r="H24" i="5994"/>
  <c r="H27" i="5994"/>
  <c r="H30" i="5994"/>
  <c r="H33" i="5994"/>
  <c r="H37" i="5994"/>
  <c r="H41" i="5994"/>
  <c r="H45" i="5994"/>
  <c r="H8" i="5994"/>
  <c r="H5" i="5994"/>
  <c r="H17" i="5994"/>
  <c r="H18" i="5994"/>
  <c r="H21" i="5994"/>
  <c r="C21" i="5994"/>
  <c r="H25" i="5994"/>
  <c r="H34" i="5994"/>
  <c r="H38" i="5994"/>
  <c r="H42" i="5994"/>
  <c r="H46" i="5994"/>
  <c r="H39" i="5994"/>
  <c r="H43" i="5994"/>
  <c r="H47" i="5994"/>
  <c r="H3" i="5994"/>
  <c r="H10" i="5994"/>
  <c r="H11" i="5994"/>
  <c r="H20" i="5994"/>
  <c r="H12" i="5994"/>
  <c r="C20" i="5994"/>
  <c r="B25" i="5994"/>
  <c r="H29" i="5994"/>
  <c r="H32" i="5994"/>
  <c r="H36" i="5994"/>
  <c r="H40" i="5994"/>
  <c r="H44" i="5994"/>
  <c r="H19" i="5992"/>
  <c r="H42" i="5992"/>
  <c r="B25" i="5992"/>
  <c r="H31" i="5992"/>
  <c r="H46" i="5992"/>
  <c r="H9" i="5992"/>
  <c r="H16" i="5992"/>
  <c r="H35" i="5992"/>
  <c r="H7" i="5992"/>
  <c r="H13" i="5992"/>
  <c r="C20" i="5992"/>
  <c r="H28" i="5992"/>
  <c r="H39" i="5992"/>
  <c r="H21" i="5992"/>
  <c r="H23" i="5992"/>
  <c r="H26" i="5992"/>
  <c r="H29" i="5992"/>
  <c r="H32" i="5992"/>
  <c r="H36" i="5992"/>
  <c r="H40" i="5992"/>
  <c r="H43" i="5992"/>
  <c r="H47" i="5992"/>
  <c r="H8" i="5992"/>
  <c r="H12" i="5992"/>
  <c r="H15" i="5992"/>
  <c r="H18" i="5992"/>
  <c r="C21" i="5992"/>
  <c r="H24" i="5992"/>
  <c r="H33" i="5992"/>
  <c r="H37" i="5992"/>
  <c r="H41" i="5992"/>
  <c r="H44" i="5992"/>
  <c r="H5" i="5992"/>
  <c r="H2" i="5992"/>
  <c r="H11" i="5992"/>
  <c r="H14" i="5992"/>
  <c r="H20" i="5992"/>
  <c r="H22" i="5992"/>
  <c r="H25" i="5992"/>
  <c r="H27" i="5992"/>
  <c r="H30" i="5992"/>
  <c r="H34" i="5992"/>
  <c r="H38" i="5992"/>
  <c r="H3" i="5992"/>
  <c r="H6" i="5990"/>
  <c r="H3" i="5990"/>
  <c r="H37" i="5990"/>
  <c r="H9" i="5990"/>
  <c r="C19" i="5990"/>
  <c r="H19" i="5990"/>
  <c r="H33" i="5990"/>
  <c r="H2" i="5990"/>
  <c r="H7" i="5990"/>
  <c r="H27" i="5990"/>
  <c r="H10" i="5990"/>
  <c r="H11" i="5990"/>
  <c r="H26" i="5990"/>
  <c r="H18" i="5990"/>
  <c r="H30" i="5990"/>
  <c r="H21" i="5990"/>
  <c r="H47" i="5990"/>
  <c r="H22" i="5990"/>
  <c r="H17" i="5990"/>
  <c r="H28" i="5990"/>
  <c r="H20" i="5990"/>
  <c r="H32" i="5990"/>
  <c r="H35" i="5990"/>
  <c r="H39" i="5990"/>
  <c r="H42" i="5990"/>
  <c r="H45" i="5990"/>
  <c r="H8" i="5990"/>
  <c r="H5" i="5990"/>
  <c r="H24" i="5990"/>
  <c r="H25" i="5990"/>
  <c r="H15" i="5990"/>
  <c r="C21" i="5990"/>
  <c r="H29" i="5990"/>
  <c r="H36" i="5990"/>
  <c r="H40" i="5990"/>
  <c r="H43" i="5990"/>
  <c r="H46" i="5990"/>
  <c r="H4" i="5990"/>
  <c r="H12" i="5990"/>
  <c r="H13" i="5990"/>
  <c r="H14" i="5990"/>
  <c r="H16" i="5990"/>
  <c r="C20" i="5990"/>
  <c r="B25" i="5990"/>
  <c r="H31" i="5990"/>
  <c r="H34" i="5990"/>
  <c r="H38" i="5990"/>
  <c r="H41" i="5990"/>
  <c r="H44" i="5990"/>
  <c r="C11" i="2228" l="1"/>
  <c r="B11" i="2228"/>
  <c r="B6" i="2228" l="1"/>
  <c r="O8" i="2228" l="1"/>
  <c r="O5" i="2228"/>
  <c r="O14" i="2228"/>
  <c r="C10" i="2228"/>
  <c r="B26" i="2228" l="1"/>
  <c r="C16" i="2228" l="1"/>
  <c r="C15" i="2228"/>
  <c r="C22" i="2228"/>
  <c r="O15" i="2228" l="1"/>
  <c r="O13" i="2228"/>
  <c r="O12" i="2228"/>
  <c r="O7" i="2228"/>
  <c r="C14" i="2228" l="1"/>
  <c r="C13" i="2228"/>
  <c r="C12" i="2228"/>
  <c r="C8" i="2228"/>
  <c r="O2" i="2228" l="1"/>
  <c r="O9" i="2228"/>
  <c r="O6" i="2228"/>
  <c r="O4" i="2228"/>
  <c r="O3" i="2228"/>
  <c r="C29" i="2228" l="1"/>
  <c r="C19" i="2228" l="1"/>
  <c r="B19" i="2228"/>
  <c r="H18" i="2228" s="1"/>
  <c r="C18" i="2228"/>
  <c r="C17" i="2228"/>
  <c r="C9" i="2228"/>
  <c r="C7" i="2228"/>
  <c r="B5" i="2228"/>
  <c r="H47" i="2228" l="1"/>
  <c r="H5" i="2228"/>
  <c r="B25" i="2228"/>
  <c r="H44" i="2228"/>
  <c r="H36" i="2228"/>
  <c r="H28" i="2228"/>
  <c r="H20" i="2228"/>
  <c r="H12" i="2228"/>
  <c r="H4" i="2228"/>
  <c r="H42" i="2228"/>
  <c r="H34" i="2228"/>
  <c r="H26" i="2228"/>
  <c r="H10" i="2228"/>
  <c r="H2" i="2228"/>
  <c r="H32" i="2228"/>
  <c r="H16" i="2228"/>
  <c r="H31" i="2228"/>
  <c r="H7" i="2228"/>
  <c r="H30" i="2228"/>
  <c r="H6" i="2228"/>
  <c r="H45" i="2228"/>
  <c r="H21" i="2228"/>
  <c r="H43" i="2228"/>
  <c r="H35" i="2228"/>
  <c r="H27" i="2228"/>
  <c r="H19" i="2228"/>
  <c r="H11" i="2228"/>
  <c r="H3" i="2228"/>
  <c r="H15" i="2228"/>
  <c r="H22" i="2228"/>
  <c r="H41" i="2228"/>
  <c r="H33" i="2228"/>
  <c r="H25" i="2228"/>
  <c r="H17" i="2228"/>
  <c r="H9" i="2228"/>
  <c r="H40" i="2228"/>
  <c r="H24" i="2228"/>
  <c r="H8" i="2228"/>
  <c r="H39" i="2228"/>
  <c r="H23" i="2228"/>
  <c r="H38" i="2228"/>
  <c r="H14" i="2228"/>
  <c r="H37" i="2228"/>
  <c r="H13" i="2228"/>
  <c r="H46" i="2228"/>
  <c r="H29" i="2228"/>
  <c r="C20" i="2228"/>
  <c r="C21" i="2228"/>
</calcChain>
</file>

<file path=xl/sharedStrings.xml><?xml version="1.0" encoding="utf-8"?>
<sst xmlns="http://schemas.openxmlformats.org/spreadsheetml/2006/main" count="1249" uniqueCount="174">
  <si>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</si>
  <si>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</si>
  <si>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</si>
  <si>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</si>
  <si>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</si>
  <si>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</si>
  <si>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</si>
  <si>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</si>
  <si>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</si>
  <si>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</si>
  <si>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</si>
  <si>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</si>
  <si>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</si>
  <si>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</si>
  <si>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</si>
  <si>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</si>
  <si>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</si>
  <si>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</si>
  <si>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</si>
  <si>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</si>
  <si>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</si>
  <si>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</si>
  <si>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</si>
  <si>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</si>
  <si>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</si>
  <si>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</si>
  <si>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</si>
  <si>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</si>
  <si>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</si>
  <si>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</si>
  <si>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</si>
  <si>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</si>
  <si>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</si>
  <si>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</si>
  <si>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</si>
  <si>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</si>
  <si>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</si>
  <si>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</si>
  <si>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</si>
  <si>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</si>
  <si>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</si>
  <si>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</si>
  <si>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</si>
  <si>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</si>
  <si>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</si>
  <si>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</si>
  <si>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</si>
  <si>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</si>
  <si>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</si>
  <si>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</si>
  <si>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</si>
  <si>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</si>
  <si>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</si>
  <si>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</si>
  <si>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</si>
  <si>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</si>
  <si>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</si>
  <si>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</si>
  <si>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</si>
  <si>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</si>
  <si>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</si>
  <si>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</si>
  <si>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</si>
  <si>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</si>
  <si>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</si>
  <si>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</si>
  <si>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</si>
  <si>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</si>
  <si>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</si>
  <si>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</si>
  <si>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</si>
  <si>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</si>
  <si>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</si>
  <si>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</si>
  <si>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</si>
  <si>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</si>
  <si>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</si>
  <si>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</si>
  <si>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</si>
  <si>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</si>
  <si>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</si>
  <si>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</si>
  <si>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</si>
  <si>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</si>
  <si>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</si>
  <si>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</si>
  <si>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</si>
  <si>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</si>
  <si>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</si>
  <si>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</si>
  <si>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</si>
  <si>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</si>
  <si>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</si>
  <si>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</si>
  <si>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</si>
  <si>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</si>
  <si>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</si>
  <si>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</si>
  <si>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</si>
  <si>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</si>
  <si>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</si>
  <si>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</si>
  <si>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</si>
  <si>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</si>
  <si>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</si>
  <si>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</si>
  <si>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</si>
  <si>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</si>
  <si>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</si>
  <si>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</si>
  <si>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</si>
  <si>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</si>
  <si>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</si>
  <si>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</si>
  <si>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</si>
  <si>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</si>
  <si>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</si>
  <si>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</si>
  <si>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</si>
  <si>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</si>
  <si>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</si>
  <si>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</si>
  <si>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</si>
  <si>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</si>
  <si>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</si>
  <si>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</si>
  <si>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</si>
  <si>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</si>
  <si>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</si>
  <si>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</si>
  <si>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</si>
  <si>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</si>
  <si>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</si>
  <si>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</si>
  <si>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</si>
  <si>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</si>
  <si>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</si>
  <si>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</si>
  <si>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</si>
  <si>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</si>
  <si>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</si>
  <si>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</si>
  <si>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</si>
  <si>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</si>
  <si>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</si>
  <si>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</si>
  <si>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</si>
  <si>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</si>
  <si>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</si>
  <si>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</si>
  <si>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</si>
  <si>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</si>
  <si>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</si>
  <si>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</si>
  <si>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コード</t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</si>
  <si>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</si>
  <si>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</si>
  <si>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</si>
  <si>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</si>
  <si>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Player2</t>
  </si>
  <si>
    <t>Player3</t>
  </si>
  <si>
    <t>Player1</t>
  </si>
  <si>
    <t>4位</t>
    <rPh sb="1" eb="2">
      <t>イ</t>
    </rPh>
    <phoneticPr fontId="1"/>
  </si>
  <si>
    <t>西家</t>
    <rPh sb="0" eb="1">
      <t>ニシ</t>
    </rPh>
    <rPh sb="1" eb="2">
      <t>ケ</t>
    </rPh>
    <phoneticPr fontId="1"/>
  </si>
  <si>
    <t>北家</t>
    <rPh sb="0" eb="2">
      <t>ホッケ</t>
    </rPh>
    <phoneticPr fontId="1"/>
  </si>
  <si>
    <t>南4局</t>
    <rPh sb="0" eb="1">
      <t>ミナミ</t>
    </rPh>
    <rPh sb="2" eb="3">
      <t>キョク</t>
    </rPh>
    <phoneticPr fontId="1"/>
  </si>
  <si>
    <t>東4局</t>
    <rPh sb="0" eb="1">
      <t>ヒガシ</t>
    </rPh>
    <rPh sb="2" eb="3">
      <t>キョク</t>
    </rPh>
    <phoneticPr fontId="1"/>
  </si>
  <si>
    <t>Player4</t>
  </si>
  <si>
    <t>18</t>
    <phoneticPr fontId="1"/>
  </si>
  <si>
    <t>三色同順</t>
    <rPh sb="2" eb="4">
      <t>ドウジュン</t>
    </rPh>
    <phoneticPr fontId="1"/>
  </si>
  <si>
    <t>連対率</t>
    <rPh sb="0" eb="2">
      <t>レンタイ</t>
    </rPh>
    <rPh sb="2" eb="3">
      <t>リツ</t>
    </rPh>
    <phoneticPr fontId="1"/>
  </si>
  <si>
    <t>連対</t>
    <rPh sb="0" eb="2">
      <t>レンタイ</t>
    </rPh>
    <phoneticPr fontId="1"/>
  </si>
  <si>
    <t>2019-07-25Test.xlsm</t>
  </si>
  <si>
    <t>2019-07-25Test2.xlsm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</si>
</sst>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57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hartsheet" Target="chartsheets/sheet3.xml"/><Relationship Id="rId26" Type="http://schemas.openxmlformats.org/officeDocument/2006/relationships/chartsheet" Target="chartsheets/sheet11.xml"/><Relationship Id="rId3" Type="http://schemas.openxmlformats.org/officeDocument/2006/relationships/worksheet" Target="worksheets/sheet3.xml"/><Relationship Id="rId21" Type="http://schemas.openxmlformats.org/officeDocument/2006/relationships/chartsheet" Target="chartsheets/sheet6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hartsheet" Target="chartsheets/sheet2.xml"/><Relationship Id="rId25" Type="http://schemas.openxmlformats.org/officeDocument/2006/relationships/chartsheet" Target="chartsheets/sheet10.xml"/><Relationship Id="rId33" Type="http://schemas.openxmlformats.org/officeDocument/2006/relationships/externalLink" Target="externalLinks/externalLink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hartsheet" Target="chartsheets/sheet1.xml"/><Relationship Id="rId20" Type="http://schemas.openxmlformats.org/officeDocument/2006/relationships/chartsheet" Target="chartsheets/sheet5.xml"/><Relationship Id="rId29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9.xml"/><Relationship Id="rId32" Type="http://schemas.openxmlformats.org/officeDocument/2006/relationships/chartsheet" Target="chartsheets/sheet17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hartsheet" Target="chartsheets/sheet8.xml"/><Relationship Id="rId28" Type="http://schemas.openxmlformats.org/officeDocument/2006/relationships/chartsheet" Target="chartsheets/sheet13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hartsheet" Target="chartsheets/sheet4.xml"/><Relationship Id="rId31" Type="http://schemas.openxmlformats.org/officeDocument/2006/relationships/chartsheet" Target="chartsheets/sheet1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hartsheet" Target="chartsheets/sheet7.xml"/><Relationship Id="rId27" Type="http://schemas.openxmlformats.org/officeDocument/2006/relationships/chartsheet" Target="chartsheets/sheet12.xml"/><Relationship Id="rId30" Type="http://schemas.openxmlformats.org/officeDocument/2006/relationships/chartsheet" Target="chartsheets/sheet15.xml"/><Relationship Id="rId35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Template1!$O$2:$O$9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全体!$L$2:$L$10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-15</c:v>
                </c:pt>
                <c:pt idx="2">
                  <c:v>66.3</c:v>
                </c:pt>
                <c:pt idx="3">
                  <c:v>97.4</c:v>
                </c:pt>
                <c:pt idx="4">
                  <c:v>0</c:v>
                </c:pt>
                <c:pt idx="5">
                  <c:v>-15</c:v>
                </c:pt>
                <c:pt idx="6">
                  <c:v>66.3</c:v>
                </c:pt>
                <c:pt idx="7">
                  <c:v>97.4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C-4AF6-B07F-A0F05E92E4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5-4A4F-804B-BB5EEE89B1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Player1!$L$1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Player1!$K$2:$K$4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Player1!$L$2:$L$4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-15</c:v>
                </c:pt>
                <c:pt idx="2">
                  <c:v>-30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A5-48DC-8648-7F135394DF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Player1!$O$1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Player1!$N$2:$N$9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Player1!$O$2:$O$9</c:f>
              <c:numCache>
                <c:formatCode>\+0;\-0;\±0</c:formatCode>
                <c:ptCount val="8"/>
                <c:pt idx="0">
                  <c:v>-1000</c:v>
                </c:pt>
                <c:pt idx="1">
                  <c:v>-1000</c:v>
                </c:pt>
                <c:pt idx="2">
                  <c:v>1100</c:v>
                </c:pt>
                <c:pt idx="3">
                  <c:v>-7000</c:v>
                </c:pt>
                <c:pt idx="4">
                  <c:v>-16000</c:v>
                </c:pt>
                <c:pt idx="5">
                  <c:v>32000</c:v>
                </c:pt>
                <c:pt idx="6">
                  <c:v>-18100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E0-4109-BCBD-9F15A45E5F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Player2!$L$1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Player2!$K$2:$K$4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Player2!$L$2:$L$4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81.3</c:v>
                </c:pt>
                <c:pt idx="2">
                  <c:v>162.6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1C-43C3-85CB-4C2AFD836E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Player2!$O$1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Player2!$N$2:$N$9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Player2!$O$2:$O$9</c:f>
              <c:numCache>
                <c:formatCode>\+0;\-0;\±0</c:formatCode>
                <c:ptCount val="8"/>
                <c:pt idx="0">
                  <c:v>-8000</c:v>
                </c:pt>
                <c:pt idx="1">
                  <c:v>-3000</c:v>
                </c:pt>
                <c:pt idx="2">
                  <c:v>-300</c:v>
                </c:pt>
                <c:pt idx="3">
                  <c:v>5300</c:v>
                </c:pt>
                <c:pt idx="4">
                  <c:v>32000</c:v>
                </c:pt>
                <c:pt idx="5">
                  <c:v>-16000</c:v>
                </c:pt>
                <c:pt idx="6">
                  <c:v>-7700</c:v>
                </c:pt>
                <c:pt idx="7">
                  <c:v>64000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A5-4315-98B5-9C37CF604E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Player3!$L$1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Player3!$K$2:$K$4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Player3!$L$2:$L$4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31.1</c:v>
                </c:pt>
                <c:pt idx="2">
                  <c:v>62.2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10-42BD-85D0-DCD19BEA0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Player3!$O$1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Player3!$N$2:$N$9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Player3!$O$2:$O$9</c:f>
              <c:numCache>
                <c:formatCode>\+0;\-0;\±0</c:formatCode>
                <c:ptCount val="8"/>
                <c:pt idx="0">
                  <c:v>9000</c:v>
                </c:pt>
                <c:pt idx="1">
                  <c:v>5000</c:v>
                </c:pt>
                <c:pt idx="2">
                  <c:v>-500</c:v>
                </c:pt>
                <c:pt idx="3">
                  <c:v>-15300</c:v>
                </c:pt>
                <c:pt idx="4">
                  <c:v>-8000</c:v>
                </c:pt>
                <c:pt idx="5">
                  <c:v>-8000</c:v>
                </c:pt>
                <c:pt idx="6">
                  <c:v>43900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B8-4C8B-9A99-2ACC890827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Player4!$L$1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Player4!$K$2:$K$4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Player4!$L$2:$L$4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-97.4</c:v>
                </c:pt>
                <c:pt idx="2">
                  <c:v>-194.8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82-44B4-8EEB-895642695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Player4!$O$1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Player4!$N$2:$N$9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Player4!$O$2:$O$9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-1000</c:v>
                </c:pt>
                <c:pt idx="2">
                  <c:v>-300</c:v>
                </c:pt>
                <c:pt idx="3">
                  <c:v>17000</c:v>
                </c:pt>
                <c:pt idx="4">
                  <c:v>-8000</c:v>
                </c:pt>
                <c:pt idx="5">
                  <c:v>-8000</c:v>
                </c:pt>
                <c:pt idx="6">
                  <c:v>-18100</c:v>
                </c:pt>
                <c:pt idx="7">
                  <c:v>-64000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B4-4AE1-97DC-088CD32882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Player42!$B$1:$B$2</c:f>
              <c:strCache>
                <c:ptCount val="2"/>
                <c:pt idx="0">
                  <c:v>Player4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Player42!$A$3:$A$5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Player42!$B$3:$B$5</c:f>
              <c:numCache>
                <c:formatCode>\+0.0;\-0.0;\±0</c:formatCode>
                <c:ptCount val="3"/>
                <c:pt idx="0">
                  <c:v>0</c:v>
                </c:pt>
                <c:pt idx="1">
                  <c:v>-97.4</c:v>
                </c:pt>
                <c:pt idx="2">
                  <c:v>-194.8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71-4FB1-829E-47F1E64BBF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7.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Player42!$C$1:$C$2</c:f>
              <c:strCache>
                <c:ptCount val="2"/>
                <c:pt idx="0">
                  <c:v>Player4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Player42!$A$3:$A$5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Player42!$C$3:$C$5</c:f>
              <c:numCache>
                <c:formatCode>\+0.0;\-0.0;\±0</c:formatCode>
                <c:ptCount val="3"/>
                <c:pt idx="1">
                  <c:v>-97.4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15-40AE-8EAC-EAB68F312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3.9142857142857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Player42!$D$1:$D$2</c:f>
              <c:strCache>
                <c:ptCount val="2"/>
                <c:pt idx="0">
                  <c:v>Player4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Player42!$A$3:$A$5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Player42!$D$3:$D$5</c:f>
              <c:numCache>
                <c:formatCode>0.00\ "位"</c:formatCode>
                <c:ptCount val="3"/>
                <c:pt idx="1">
                  <c:v>4</c:v>
                </c:pt>
                <c:pt idx="2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37-4721-B792-7865B0EAC1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.2857142857142856"/>
        <c:crossBetween val="midCat"/>
      </c:valAx>
      <c:valAx>
        <c:axId val="575703272"/>
        <c:scaling>
          <c:orientation val="maxMin"/>
          <c:max val="4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Player42!$E$1:$E$2</c:f>
              <c:strCache>
                <c:ptCount val="2"/>
                <c:pt idx="0">
                  <c:v>Player4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Player42!$A$3:$A$5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Player42!$E$3:$E$5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72-4879-B2EF-66E7A65E86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85714285714285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Player42!$F$1:$F$2</c:f>
              <c:strCache>
                <c:ptCount val="2"/>
                <c:pt idx="0">
                  <c:v>Player4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Player42!$A$3:$A$5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Player42!$F$3:$F$5</c:f>
              <c:numCache>
                <c:formatCode>0.0%</c:formatCode>
                <c:ptCount val="3"/>
                <c:pt idx="1">
                  <c:v>1</c:v>
                </c:pt>
                <c:pt idx="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02-4A6C-89B2-CC9BE17B91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428571428571428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Player42!$G$1:$G$2</c:f>
              <c:strCache>
                <c:ptCount val="2"/>
                <c:pt idx="0">
                  <c:v>Player4</c:v>
                </c:pt>
                <c:pt idx="1">
                  <c:v>連対率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Player42!$A$3:$A$5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Player42!$G$3:$G$5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16-4609-9989-FDA3C3C360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7142857142857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Player42!$H$1:$H$2</c:f>
              <c:strCache>
                <c:ptCount val="2"/>
                <c:pt idx="0">
                  <c:v>Player4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Player42!$A$3:$A$5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Player42!$H$3:$H$5</c:f>
              <c:numCache>
                <c:formatCode>0.0%</c:formatCode>
                <c:ptCount val="3"/>
                <c:pt idx="1">
                  <c:v>0.1</c:v>
                </c:pt>
                <c:pt idx="2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C9-4E02-A703-9B0BB032D4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714285714285714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Player42!$I$1:$I$2</c:f>
              <c:strCache>
                <c:ptCount val="2"/>
                <c:pt idx="0">
                  <c:v>Player4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Player42!$A$3:$A$5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Player42!$I$3:$I$5</c:f>
              <c:numCache>
                <c:formatCode>0.0%</c:formatCode>
                <c:ptCount val="3"/>
                <c:pt idx="1">
                  <c:v>0.1</c:v>
                </c:pt>
                <c:pt idx="2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C9-4B88-89D9-9F19ED6D2D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7.1428571428571425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Player42!$J$1:$J$2</c:f>
              <c:strCache>
                <c:ptCount val="2"/>
                <c:pt idx="0">
                  <c:v>Player4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Player42!$A$3:$A$5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Player42!$J$3:$J$5</c:f>
              <c:numCache>
                <c:formatCode>0</c:formatCode>
                <c:ptCount val="3"/>
                <c:pt idx="1">
                  <c:v>18000</c:v>
                </c:pt>
                <c:pt idx="2">
                  <c:v>18000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5F-4014-A6CE-9B569D0123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2536.84210526315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Player42!$K$1:$K$2</c:f>
              <c:strCache>
                <c:ptCount val="2"/>
                <c:pt idx="0">
                  <c:v>Player4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Player42!$A$3:$A$5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Player42!$K$3:$K$5</c:f>
              <c:numCache>
                <c:formatCode>0</c:formatCode>
                <c:ptCount val="3"/>
                <c:pt idx="1">
                  <c:v>-64000</c:v>
                </c:pt>
                <c:pt idx="2">
                  <c:v>-64000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AF-4FEA-BED0-04C012788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920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Player42!$L$1:$L$2</c:f>
              <c:strCache>
                <c:ptCount val="2"/>
                <c:pt idx="0">
                  <c:v>Player4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Player42!$A$3:$A$5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Player42!$L$3:$L$5</c:f>
              <c:numCache>
                <c:formatCode>0.0%</c:formatCode>
                <c:ptCount val="3"/>
                <c:pt idx="1">
                  <c:v>1</c:v>
                </c:pt>
                <c:pt idx="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2C-4831-A50F-8BF692885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428571428571428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Player42!$M$1:$M$2</c:f>
              <c:strCache>
                <c:ptCount val="2"/>
                <c:pt idx="0">
                  <c:v>Player4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Player42!$A$3:$A$5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Player42!$M$3:$M$5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B4-493F-B910-8DE94BB9C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85714285714285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Player42!$N$1:$N$2</c:f>
              <c:strCache>
                <c:ptCount val="2"/>
                <c:pt idx="0">
                  <c:v>Player4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Player42!$A$3:$A$5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Player42!$N$3:$N$5</c:f>
              <c:numCache>
                <c:formatCode>0.0%</c:formatCode>
                <c:ptCount val="3"/>
                <c:pt idx="1">
                  <c:v>0.2</c:v>
                </c:pt>
                <c:pt idx="2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8E-4317-B8A6-6EC44C0814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Player42!$O$1:$O$2</c:f>
              <c:strCache>
                <c:ptCount val="2"/>
                <c:pt idx="0">
                  <c:v>Player4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Player42!$A$3:$A$5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Player42!$O$3:$O$5</c:f>
              <c:numCache>
                <c:formatCode>0.0%</c:formatCode>
                <c:ptCount val="3"/>
                <c:pt idx="1">
                  <c:v>0.1</c:v>
                </c:pt>
                <c:pt idx="2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51-4BAB-9845-5DC2D5246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4.2857142857142858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Player42!$P$1:$P$2</c:f>
              <c:strCache>
                <c:ptCount val="2"/>
                <c:pt idx="0">
                  <c:v>Player4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Player42!$A$3:$A$5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Player42!$P$3:$P$5</c:f>
              <c:numCache>
                <c:formatCode>0.0%</c:formatCode>
                <c:ptCount val="3"/>
                <c:pt idx="1">
                  <c:v>0.5</c:v>
                </c:pt>
                <c:pt idx="2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FE-4F66-A0FE-1EE7BB5607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57142857142857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Player42!$Q$1:$Q$2</c:f>
              <c:strCache>
                <c:ptCount val="2"/>
                <c:pt idx="0">
                  <c:v>Player4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Player42!$A$3:$A$5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Player42!$Q$3:$Q$5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FA-4386-8C9B-02873F955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6666666666666666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Player42!$R$1:$R$2</c:f>
              <c:strCache>
                <c:ptCount val="2"/>
                <c:pt idx="0">
                  <c:v>Player4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Player42!$A$3:$A$5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Player42!$R$3:$R$5</c:f>
              <c:numCache>
                <c:formatCode>0.0%</c:formatCode>
                <c:ptCount val="3"/>
                <c:pt idx="1">
                  <c:v>1</c:v>
                </c:pt>
                <c:pt idx="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D4-4C1F-B888-369CB5D0A8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6842105263157894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2B76C7C-EFE0-476D-9A2F-B133111B0984}">
  <sheetPr codeName="グラフ25"/>
  <sheetViews>
    <sheetView zoomScale="121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AFD1170-3E75-457D-B249-2576A53229E4}">
  <sheetPr codeName="グラフ26"/>
  <sheetViews>
    <sheetView zoomScale="121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FEA87B1-DA78-45E5-9925-7ADC680A079A}">
  <sheetPr codeName="グラフ11"/>
  <sheetViews>
    <sheetView zoomScale="121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30EDDEC-62A1-4F74-8416-8E5BC1EE8A0E}">
  <sheetPr codeName="グラフ12"/>
  <sheetViews>
    <sheetView zoomScale="121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78B0443-FBDB-4962-BCAD-E3C8792EB0C4}">
  <sheetPr codeName="グラフ21"/>
  <sheetViews>
    <sheetView zoomScale="121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0B5D1EC-8925-4C31-9E0C-CB6302B4AD19}">
  <sheetPr codeName="グラフ24"/>
  <sheetViews>
    <sheetView zoomScale="121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0E93FC-45C7-4528-9015-5AC58B50DFE9}">
  <sheetPr codeName="グラフ13"/>
  <sheetViews>
    <sheetView zoomScale="121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A0831D5-4F67-40BB-AD37-B49F1EE9897E}">
  <sheetPr codeName="グラフ14"/>
  <sheetViews>
    <sheetView zoomScale="121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5A02860-B1D6-4DDC-8414-A2ECD27590E6}">
  <sheetPr codeName="グラフ15"/>
  <sheetViews>
    <sheetView zoomScale="121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F538368-DEE7-499F-9545-C432148FB3B5}">
  <sheetPr codeName="グラフ16"/>
  <sheetViews>
    <sheetView zoomScale="121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BFEEAC2-6679-4F2C-B076-CF6554A8E479}">
  <sheetPr codeName="グラフ17"/>
  <sheetViews>
    <sheetView zoomScale="121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9305430-F93A-4454-A201-A9040FC91B54}">
  <sheetPr codeName="グラフ18"/>
  <sheetViews>
    <sheetView zoomScale="121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F16C9A4-3602-41B7-9FC9-36D198EB134F}">
  <sheetPr codeName="グラフ19"/>
  <sheetViews>
    <sheetView zoomScale="121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A7A53C1-7947-4F1A-A167-5561D45AF276}">
  <sheetPr codeName="グラフ20"/>
  <sheetViews>
    <sheetView zoomScale="121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7672417-D490-4014-A3EC-4409458B5D88}">
  <sheetPr codeName="グラフ27"/>
  <sheetViews>
    <sheetView zoomScale="121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6ABEC15-BC55-4689-A57E-D5BD9E24DCA4}">
  <sheetPr codeName="グラフ22"/>
  <sheetViews>
    <sheetView zoomScale="121" workbookViewId="0" zoomToFit="1"/>
  </sheetViews>
  <pageMargins left="0.7" right="0.7" top="0.75" bottom="0.75" header="0.3" footer="0.3"/>
  <drawing r:id="rId1"/>
</chartsheet>
</file>

<file path=xl/chartsheets/sheet1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87DC19D-442A-4C9E-946E-D25A12C24BF3}">
  <sheetPr codeName="グラフ23"/>
  <sheetViews>
    <sheetView zoomScale="121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93B8450-F3B2-458F-BC44-0DC1200658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DF21EE5-278F-4193-96AE-B7F7C003BC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B07E445-DF83-4642-9D61-050E05E690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98E9658-E6F0-4190-AE7F-909EA44DB4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EF575D7-3A1E-454D-B61C-28CE888AED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4B7373E-BD9E-42CB-B176-C1E73D920E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9C6EC38-9B32-48CA-99A2-BC720889EE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E9D7BA9-3AE8-4C95-B753-A769ADBC96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F972F19-F8B1-4084-B0A6-1F46957578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BA1BB3C-078B-4B10-B704-633E046405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1793F419-C7E3-49DA-BD2F-BF209628E4F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14A09CDD-F84C-4AEE-AF1F-FDA1B6C907E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69F9F318-0AEB-4C81-A7E8-BECD4FA8BF1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275D64C9-897E-43FA-8784-2ABA9F8C456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FC0C3E88-2E95-424A-B16B-1BC55952194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F50EE694-4EC4-49A7-8945-2D1DC6628123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25B95B19-2E3D-4880-B177-F765CABF90B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64BAC993-F772-4228-B71C-68D6B27D0A2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878C3EA2-1FFA-4D95-9086-98EDB8B39F4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51A10E38-2B8E-4156-8940-CE28218E52E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C15F7505-7F98-4FB3-9A2E-7843BD63645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6304C7CA-F225-42E6-977D-8EFC4646236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C6BF41FA-D8C1-4CF7-99EF-044A116AB2F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67DC2033-0205-4489-8337-F65D42266A1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3B0A2835-E09A-4C4C-8C4D-C1B4C623928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179FE81-19FC-43FA-B6AF-88D4872459E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61BBE6D1-70F4-4B90-B7AB-27FE5B865A8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ichi/git/mahjong/&#40635;&#38592;&#21516;&#22909;&#20250;2nd/&#25104;&#32318;b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mplate1"/>
      <sheetName val="Cache"/>
      <sheetName val="Template2"/>
      <sheetName val="Players"/>
      <sheetName val="ランキング"/>
      <sheetName val="全体"/>
      <sheetName val="だいち"/>
      <sheetName val="りくと"/>
      <sheetName val="ただ"/>
      <sheetName val="れんたろう"/>
      <sheetName val="たかの"/>
      <sheetName val="ぱぱ"/>
      <sheetName val="まっつん"/>
      <sheetName val="あさひ"/>
      <sheetName val="いっしー"/>
      <sheetName val="ほたに"/>
      <sheetName val="かわたつ"/>
      <sheetName val="やがさき"/>
      <sheetName val="のり"/>
      <sheetName val="のり2"/>
      <sheetName val="やがさき2"/>
      <sheetName val="かわたつ2"/>
      <sheetName val="ほたに2"/>
      <sheetName val="いっしー2"/>
      <sheetName val="あさひ2"/>
      <sheetName val="まっつん2"/>
      <sheetName val="ぱぱ2"/>
      <sheetName val="たかの2"/>
      <sheetName val="れんたろう2"/>
      <sheetName val="ただ2"/>
      <sheetName val="りくと2"/>
      <sheetName val="だいち2"/>
      <sheetName val="全体2"/>
      <sheetName val="通算スコア"/>
      <sheetName val="平均スコア"/>
      <sheetName val="平均順位"/>
      <sheetName val="トップ率"/>
      <sheetName val="ラス率"/>
      <sheetName val="アガリ率"/>
      <sheetName val="放銃率"/>
      <sheetName val="平均アガリ点"/>
      <sheetName val="平均放銃点"/>
      <sheetName val="ふっとび率"/>
      <sheetName val="ふっとばし率"/>
      <sheetName val="リーチ率"/>
      <sheetName val="副露率"/>
      <sheetName val="リーチ成功率"/>
      <sheetName val="副露成功率"/>
      <sheetName val="ツモ率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>
        <row r="1">
          <cell r="B1" t="str">
            <v>まっつん</v>
          </cell>
          <cell r="C1" t="str">
            <v>まっつん</v>
          </cell>
          <cell r="D1" t="str">
            <v>まっつん</v>
          </cell>
          <cell r="E1" t="str">
            <v>まっつん</v>
          </cell>
          <cell r="F1" t="str">
            <v>まっつん</v>
          </cell>
          <cell r="G1" t="str">
            <v>まっつん</v>
          </cell>
          <cell r="H1" t="str">
            <v>まっつん</v>
          </cell>
          <cell r="I1" t="str">
            <v>まっつん</v>
          </cell>
          <cell r="J1" t="str">
            <v>まっつん</v>
          </cell>
          <cell r="K1" t="str">
            <v>まっつん</v>
          </cell>
          <cell r="L1" t="str">
            <v>まっつん</v>
          </cell>
          <cell r="M1" t="str">
            <v>まっつん</v>
          </cell>
          <cell r="N1" t="str">
            <v>まっつん</v>
          </cell>
          <cell r="O1" t="str">
            <v>まっつん</v>
          </cell>
          <cell r="P1" t="str">
            <v>まっつん</v>
          </cell>
          <cell r="Q1" t="str">
            <v>まっつん</v>
          </cell>
        </row>
        <row r="2">
          <cell r="B2" t="str">
            <v>通算スコア</v>
          </cell>
          <cell r="C2" t="str">
            <v>平均スコア</v>
          </cell>
          <cell r="D2" t="str">
            <v>平均順位</v>
          </cell>
          <cell r="E2" t="str">
            <v>トップ率</v>
          </cell>
          <cell r="F2" t="str">
            <v>ラス率</v>
          </cell>
          <cell r="G2" t="str">
            <v>アガリ率</v>
          </cell>
          <cell r="H2" t="str">
            <v>放銃率</v>
          </cell>
          <cell r="I2" t="str">
            <v>平均アガリ点</v>
          </cell>
          <cell r="J2" t="str">
            <v>平均放銃点</v>
          </cell>
          <cell r="K2" t="str">
            <v>ふっとび率</v>
          </cell>
          <cell r="L2" t="str">
            <v>ふっとばし率</v>
          </cell>
          <cell r="M2" t="str">
            <v>リーチ率</v>
          </cell>
          <cell r="N2" t="str">
            <v>副露率</v>
          </cell>
          <cell r="O2" t="str">
            <v>リーチ成功率</v>
          </cell>
          <cell r="P2" t="str">
            <v>副露成功率</v>
          </cell>
          <cell r="Q2" t="str">
            <v>ツモ率</v>
          </cell>
        </row>
        <row r="3">
          <cell r="A3">
            <v>0</v>
          </cell>
          <cell r="B3">
            <v>0</v>
          </cell>
        </row>
        <row r="4">
          <cell r="A4">
            <v>1</v>
          </cell>
          <cell r="B4">
            <v>-1.9</v>
          </cell>
          <cell r="C4">
            <v>-1.9</v>
          </cell>
          <cell r="D4">
            <v>2</v>
          </cell>
          <cell r="E4">
            <v>0</v>
          </cell>
          <cell r="F4">
            <v>0</v>
          </cell>
          <cell r="G4">
            <v>0.2857142857142857</v>
          </cell>
          <cell r="H4">
            <v>0.14285714285714285</v>
          </cell>
          <cell r="I4">
            <v>7050</v>
          </cell>
          <cell r="J4">
            <v>-3900</v>
          </cell>
          <cell r="K4">
            <v>0</v>
          </cell>
          <cell r="L4">
            <v>0</v>
          </cell>
          <cell r="M4">
            <v>0</v>
          </cell>
          <cell r="N4">
            <v>0.14285714285714285</v>
          </cell>
          <cell r="O4">
            <v>0</v>
          </cell>
          <cell r="P4">
            <v>0</v>
          </cell>
          <cell r="Q4">
            <v>0.5</v>
          </cell>
        </row>
        <row r="5">
          <cell r="A5">
            <v>2</v>
          </cell>
          <cell r="B5">
            <v>30</v>
          </cell>
          <cell r="C5">
            <v>15</v>
          </cell>
          <cell r="D5">
            <v>1.5</v>
          </cell>
          <cell r="E5">
            <v>0.5</v>
          </cell>
          <cell r="F5">
            <v>0</v>
          </cell>
          <cell r="G5">
            <v>0.29411764705882354</v>
          </cell>
          <cell r="H5">
            <v>0.17647058823529413</v>
          </cell>
          <cell r="I5">
            <v>8800</v>
          </cell>
          <cell r="J5">
            <v>-2933.3333333333335</v>
          </cell>
          <cell r="K5">
            <v>0</v>
          </cell>
          <cell r="L5">
            <v>0</v>
          </cell>
          <cell r="M5">
            <v>0.11764705882352941</v>
          </cell>
          <cell r="N5">
            <v>0.17647058823529413</v>
          </cell>
          <cell r="O5">
            <v>1</v>
          </cell>
          <cell r="P5">
            <v>0.33333333333333331</v>
          </cell>
          <cell r="Q5">
            <v>0.4</v>
          </cell>
        </row>
        <row r="6">
          <cell r="A6">
            <v>3</v>
          </cell>
          <cell r="B6">
            <v>-10</v>
          </cell>
          <cell r="C6">
            <v>-3.3333333333333335</v>
          </cell>
          <cell r="D6">
            <v>2</v>
          </cell>
          <cell r="E6">
            <v>0.33333333333333331</v>
          </cell>
          <cell r="F6">
            <v>0.33333333333333331</v>
          </cell>
          <cell r="G6">
            <v>0.29166666666666669</v>
          </cell>
          <cell r="H6">
            <v>0.20833333333333334</v>
          </cell>
          <cell r="I6">
            <v>6828.5714285714284</v>
          </cell>
          <cell r="J6">
            <v>-6560</v>
          </cell>
          <cell r="K6">
            <v>0</v>
          </cell>
          <cell r="L6">
            <v>0</v>
          </cell>
          <cell r="M6">
            <v>0.16666666666666666</v>
          </cell>
          <cell r="N6">
            <v>0.25</v>
          </cell>
          <cell r="O6">
            <v>0.75</v>
          </cell>
          <cell r="P6">
            <v>0.33333333333333331</v>
          </cell>
          <cell r="Q6">
            <v>0.42857142857142855</v>
          </cell>
        </row>
        <row r="7">
          <cell r="A7">
            <v>4</v>
          </cell>
          <cell r="B7">
            <v>40</v>
          </cell>
          <cell r="C7">
            <v>10</v>
          </cell>
          <cell r="D7">
            <v>1.75</v>
          </cell>
          <cell r="E7">
            <v>0.5</v>
          </cell>
          <cell r="F7">
            <v>0.25</v>
          </cell>
          <cell r="G7">
            <v>0.36363636363636365</v>
          </cell>
          <cell r="H7">
            <v>0.15151515151515152</v>
          </cell>
          <cell r="I7">
            <v>7050</v>
          </cell>
          <cell r="J7">
            <v>-6560</v>
          </cell>
          <cell r="K7">
            <v>0</v>
          </cell>
          <cell r="L7">
            <v>0</v>
          </cell>
          <cell r="M7">
            <v>0.24242424242424243</v>
          </cell>
          <cell r="N7">
            <v>0.27272727272727271</v>
          </cell>
          <cell r="O7">
            <v>0.875</v>
          </cell>
          <cell r="P7">
            <v>0.33333333333333331</v>
          </cell>
          <cell r="Q7">
            <v>0.33333333333333331</v>
          </cell>
        </row>
        <row r="8">
          <cell r="A8">
            <v>5</v>
          </cell>
          <cell r="B8">
            <v>35.4</v>
          </cell>
          <cell r="C8">
            <v>7.08</v>
          </cell>
          <cell r="D8">
            <v>1.8</v>
          </cell>
          <cell r="E8">
            <v>0.4</v>
          </cell>
          <cell r="F8">
            <v>0.2</v>
          </cell>
          <cell r="G8">
            <v>0.33333333333333331</v>
          </cell>
          <cell r="H8">
            <v>0.15384615384615385</v>
          </cell>
          <cell r="I8">
            <v>6607.6923076923076</v>
          </cell>
          <cell r="J8">
            <v>-6116.666666666667</v>
          </cell>
          <cell r="K8">
            <v>0</v>
          </cell>
          <cell r="L8">
            <v>0</v>
          </cell>
          <cell r="M8">
            <v>0.25641025641025639</v>
          </cell>
          <cell r="N8">
            <v>0.28205128205128205</v>
          </cell>
          <cell r="O8">
            <v>0.8</v>
          </cell>
          <cell r="P8">
            <v>0.27272727272727271</v>
          </cell>
          <cell r="Q8">
            <v>0.30769230769230771</v>
          </cell>
        </row>
        <row r="9">
          <cell r="A9">
            <v>6</v>
          </cell>
          <cell r="B9">
            <v>3.8999999999999986</v>
          </cell>
          <cell r="C9">
            <v>0.6499999999999998</v>
          </cell>
          <cell r="D9">
            <v>2</v>
          </cell>
          <cell r="E9">
            <v>0.33333333333333331</v>
          </cell>
          <cell r="F9">
            <v>0.33333333333333331</v>
          </cell>
          <cell r="G9">
            <v>0.31111111111111112</v>
          </cell>
          <cell r="H9">
            <v>0.2</v>
          </cell>
          <cell r="I9">
            <v>6414.2857142857147</v>
          </cell>
          <cell r="J9">
            <v>-5400</v>
          </cell>
          <cell r="K9">
            <v>0</v>
          </cell>
          <cell r="L9">
            <v>0</v>
          </cell>
          <cell r="M9">
            <v>0.26666666666666666</v>
          </cell>
          <cell r="N9">
            <v>0.26666666666666666</v>
          </cell>
          <cell r="O9">
            <v>0.66666666666666663</v>
          </cell>
          <cell r="P9">
            <v>0.33333333333333331</v>
          </cell>
          <cell r="Q9">
            <v>0.2857142857142857</v>
          </cell>
        </row>
        <row r="10">
          <cell r="A10">
            <v>7</v>
          </cell>
          <cell r="B10">
            <v>-30.1</v>
          </cell>
          <cell r="C10">
            <v>-4.3</v>
          </cell>
          <cell r="D10">
            <v>2.1428571428571428</v>
          </cell>
          <cell r="E10">
            <v>0.2857142857142857</v>
          </cell>
          <cell r="F10">
            <v>0.42857142857142855</v>
          </cell>
          <cell r="G10">
            <v>0.27777777777777779</v>
          </cell>
          <cell r="H10">
            <v>0.18518518518518517</v>
          </cell>
          <cell r="I10">
            <v>6253.333333333333</v>
          </cell>
          <cell r="J10">
            <v>-6060</v>
          </cell>
          <cell r="K10">
            <v>0</v>
          </cell>
          <cell r="L10">
            <v>0</v>
          </cell>
          <cell r="M10">
            <v>0.24074074074074073</v>
          </cell>
          <cell r="N10">
            <v>0.25925925925925924</v>
          </cell>
          <cell r="O10">
            <v>0.61538461538461542</v>
          </cell>
          <cell r="P10">
            <v>0.35714285714285715</v>
          </cell>
          <cell r="Q10">
            <v>0.33333333333333331</v>
          </cell>
        </row>
        <row r="11">
          <cell r="A11">
            <v>8</v>
          </cell>
          <cell r="B11">
            <v>-87.1</v>
          </cell>
          <cell r="C11">
            <v>-10.887499999999999</v>
          </cell>
          <cell r="D11">
            <v>2.25</v>
          </cell>
          <cell r="E11">
            <v>0.25</v>
          </cell>
          <cell r="F11">
            <v>0.5</v>
          </cell>
          <cell r="G11">
            <v>0.25</v>
          </cell>
          <cell r="H11">
            <v>0.18333333333333332</v>
          </cell>
          <cell r="I11">
            <v>6253.333333333333</v>
          </cell>
          <cell r="J11">
            <v>-6236.363636363636</v>
          </cell>
          <cell r="K11">
            <v>0.125</v>
          </cell>
          <cell r="L11">
            <v>0</v>
          </cell>
          <cell r="M11">
            <v>0.23333333333333334</v>
          </cell>
          <cell r="N11">
            <v>0.25</v>
          </cell>
          <cell r="O11">
            <v>0.5714285714285714</v>
          </cell>
          <cell r="P11">
            <v>0.33333333333333331</v>
          </cell>
          <cell r="Q11">
            <v>0.33333333333333331</v>
          </cell>
        </row>
        <row r="12">
          <cell r="A12">
            <v>9</v>
          </cell>
          <cell r="B12">
            <v>-128.6</v>
          </cell>
          <cell r="C12">
            <v>-14.288888888888888</v>
          </cell>
          <cell r="D12">
            <v>2.3333333333333335</v>
          </cell>
          <cell r="E12">
            <v>0.22222222222222221</v>
          </cell>
          <cell r="F12">
            <v>0.55555555555555558</v>
          </cell>
          <cell r="G12">
            <v>0.24637681159420291</v>
          </cell>
          <cell r="H12">
            <v>0.17391304347826086</v>
          </cell>
          <cell r="I12">
            <v>5694.1176470588234</v>
          </cell>
          <cell r="J12">
            <v>-6358.333333333333</v>
          </cell>
          <cell r="K12">
            <v>0.1111111111111111</v>
          </cell>
          <cell r="L12">
            <v>0</v>
          </cell>
          <cell r="M12">
            <v>0.20289855072463769</v>
          </cell>
          <cell r="N12">
            <v>0.2608695652173913</v>
          </cell>
          <cell r="O12">
            <v>0.5714285714285714</v>
          </cell>
          <cell r="P12">
            <v>0.33333333333333331</v>
          </cell>
          <cell r="Q12">
            <v>0.29411764705882354</v>
          </cell>
        </row>
        <row r="13">
          <cell r="A13">
            <v>10</v>
          </cell>
          <cell r="B13">
            <v>-183.7</v>
          </cell>
          <cell r="C13">
            <v>-18.369999999999997</v>
          </cell>
          <cell r="D13">
            <v>2.4</v>
          </cell>
          <cell r="E13">
            <v>0.2</v>
          </cell>
          <cell r="F13">
            <v>0.6</v>
          </cell>
          <cell r="G13">
            <v>0.2361111111111111</v>
          </cell>
          <cell r="H13">
            <v>0.19444444444444445</v>
          </cell>
          <cell r="I13">
            <v>5694.1176470588234</v>
          </cell>
          <cell r="J13">
            <v>-6921.4285714285716</v>
          </cell>
          <cell r="K13">
            <v>0.2</v>
          </cell>
          <cell r="L13">
            <v>0</v>
          </cell>
          <cell r="M13">
            <v>0.19444444444444445</v>
          </cell>
          <cell r="N13">
            <v>0.25</v>
          </cell>
          <cell r="O13">
            <v>0.5714285714285714</v>
          </cell>
          <cell r="P13">
            <v>0.33333333333333331</v>
          </cell>
          <cell r="Q13">
            <v>0.29411764705882354</v>
          </cell>
        </row>
        <row r="14">
          <cell r="A14">
            <v>11</v>
          </cell>
          <cell r="B14">
            <v>-152.89999999999998</v>
          </cell>
          <cell r="C14">
            <v>-13.899999999999999</v>
          </cell>
          <cell r="D14">
            <v>2.2727272727272729</v>
          </cell>
          <cell r="E14">
            <v>0.27272727272727271</v>
          </cell>
          <cell r="F14">
            <v>0.54545454545454541</v>
          </cell>
          <cell r="G14">
            <v>0.24691358024691357</v>
          </cell>
          <cell r="H14">
            <v>0.20987654320987653</v>
          </cell>
          <cell r="I14">
            <v>6480</v>
          </cell>
          <cell r="J14">
            <v>-7141.1764705882351</v>
          </cell>
          <cell r="K14">
            <v>0.18181818181818182</v>
          </cell>
          <cell r="L14">
            <v>0</v>
          </cell>
          <cell r="M14">
            <v>0.20987654320987653</v>
          </cell>
          <cell r="N14">
            <v>0.24691358024691357</v>
          </cell>
          <cell r="O14">
            <v>0.52941176470588236</v>
          </cell>
          <cell r="P14">
            <v>0.35</v>
          </cell>
          <cell r="Q14">
            <v>0.35</v>
          </cell>
        </row>
        <row r="15">
          <cell r="A15">
            <v>12</v>
          </cell>
          <cell r="B15">
            <v>-208.09999999999997</v>
          </cell>
          <cell r="C15">
            <v>-17.341666666666665</v>
          </cell>
          <cell r="D15">
            <v>2.3333333333333335</v>
          </cell>
          <cell r="E15">
            <v>0.25</v>
          </cell>
          <cell r="F15">
            <v>0.58333333333333337</v>
          </cell>
          <cell r="G15">
            <v>0.22988505747126436</v>
          </cell>
          <cell r="H15">
            <v>0.20689655172413793</v>
          </cell>
          <cell r="I15">
            <v>6480</v>
          </cell>
          <cell r="J15">
            <v>-7411.1111111111113</v>
          </cell>
          <cell r="K15">
            <v>0.25</v>
          </cell>
          <cell r="L15">
            <v>0</v>
          </cell>
          <cell r="M15">
            <v>0.19540229885057472</v>
          </cell>
          <cell r="N15">
            <v>0.2413793103448276</v>
          </cell>
          <cell r="O15">
            <v>0.52941176470588236</v>
          </cell>
          <cell r="P15">
            <v>0.33333333333333331</v>
          </cell>
          <cell r="Q15">
            <v>0.35</v>
          </cell>
        </row>
        <row r="16">
          <cell r="A16">
            <v>13</v>
          </cell>
          <cell r="B16">
            <v>-209.59999999999997</v>
          </cell>
          <cell r="C16">
            <v>-16.123076923076919</v>
          </cell>
          <cell r="D16">
            <v>2.3076923076923075</v>
          </cell>
          <cell r="E16">
            <v>0.23076923076923078</v>
          </cell>
          <cell r="F16">
            <v>0.53846153846153844</v>
          </cell>
          <cell r="G16">
            <v>0.23404255319148937</v>
          </cell>
          <cell r="H16">
            <v>0.20212765957446807</v>
          </cell>
          <cell r="I16">
            <v>6218.181818181818</v>
          </cell>
          <cell r="J16">
            <v>-7426.3157894736842</v>
          </cell>
          <cell r="K16">
            <v>0.23076923076923078</v>
          </cell>
          <cell r="L16">
            <v>0</v>
          </cell>
          <cell r="M16">
            <v>0.18085106382978725</v>
          </cell>
          <cell r="N16">
            <v>0.25531914893617019</v>
          </cell>
          <cell r="O16">
            <v>0.52941176470588236</v>
          </cell>
          <cell r="P16">
            <v>0.375</v>
          </cell>
          <cell r="Q16">
            <v>0.40909090909090912</v>
          </cell>
        </row>
        <row r="17">
          <cell r="A17">
            <v>14</v>
          </cell>
          <cell r="B17">
            <v>-178.49999999999997</v>
          </cell>
          <cell r="C17">
            <v>-12.749999999999998</v>
          </cell>
          <cell r="D17">
            <v>2.2142857142857144</v>
          </cell>
          <cell r="E17">
            <v>0.2857142857142857</v>
          </cell>
          <cell r="F17">
            <v>0.5</v>
          </cell>
          <cell r="G17">
            <v>0.25242718446601942</v>
          </cell>
          <cell r="H17">
            <v>0.18446601941747573</v>
          </cell>
          <cell r="I17">
            <v>6103.8461538461543</v>
          </cell>
          <cell r="J17">
            <v>-7426.3157894736842</v>
          </cell>
          <cell r="K17">
            <v>0.21428571428571427</v>
          </cell>
          <cell r="L17">
            <v>0</v>
          </cell>
          <cell r="M17">
            <v>0.18446601941747573</v>
          </cell>
          <cell r="N17">
            <v>0.25242718446601942</v>
          </cell>
          <cell r="O17">
            <v>0.57894736842105265</v>
          </cell>
          <cell r="P17">
            <v>0.38461538461538464</v>
          </cell>
          <cell r="Q17">
            <v>0.38461538461538464</v>
          </cell>
        </row>
        <row r="18">
          <cell r="A18">
            <v>15</v>
          </cell>
          <cell r="B18">
            <v>-146.19999999999999</v>
          </cell>
          <cell r="C18">
            <v>-9.7466666666666661</v>
          </cell>
          <cell r="D18">
            <v>2.1333333333333333</v>
          </cell>
          <cell r="E18">
            <v>0.33333333333333331</v>
          </cell>
          <cell r="F18">
            <v>0.46666666666666667</v>
          </cell>
          <cell r="G18">
            <v>0.25663716814159293</v>
          </cell>
          <cell r="H18">
            <v>0.17699115044247787</v>
          </cell>
          <cell r="I18">
            <v>6362.0689655172409</v>
          </cell>
          <cell r="J18">
            <v>-7250</v>
          </cell>
          <cell r="K18">
            <v>0.2</v>
          </cell>
          <cell r="L18">
            <v>0</v>
          </cell>
          <cell r="M18">
            <v>0.17699115044247787</v>
          </cell>
          <cell r="N18">
            <v>0.29203539823008851</v>
          </cell>
          <cell r="O18">
            <v>0.55000000000000004</v>
          </cell>
          <cell r="P18">
            <v>0.39393939393939392</v>
          </cell>
          <cell r="Q18">
            <v>0.37931034482758619</v>
          </cell>
        </row>
        <row r="19">
          <cell r="A19">
            <v>16</v>
          </cell>
          <cell r="B19">
            <v>-153.29999999999998</v>
          </cell>
          <cell r="C19">
            <v>-9.5812499999999989</v>
          </cell>
          <cell r="D19">
            <v>2.125</v>
          </cell>
          <cell r="E19">
            <v>0.3125</v>
          </cell>
          <cell r="F19">
            <v>0.4375</v>
          </cell>
          <cell r="G19">
            <v>0.25833333333333336</v>
          </cell>
          <cell r="H19">
            <v>0.18333333333333332</v>
          </cell>
          <cell r="I19">
            <v>6458.0645161290322</v>
          </cell>
          <cell r="J19">
            <v>-7500</v>
          </cell>
          <cell r="K19">
            <v>0.1875</v>
          </cell>
          <cell r="L19">
            <v>0</v>
          </cell>
          <cell r="M19">
            <v>0.18333333333333332</v>
          </cell>
          <cell r="N19">
            <v>0.27500000000000002</v>
          </cell>
          <cell r="O19">
            <v>0.54545454545454541</v>
          </cell>
          <cell r="P19">
            <v>0.39393939393939392</v>
          </cell>
          <cell r="Q19">
            <v>0.35483870967741937</v>
          </cell>
        </row>
        <row r="20">
          <cell r="A20">
            <v>17</v>
          </cell>
          <cell r="B20">
            <v>-161.19999999999999</v>
          </cell>
          <cell r="C20">
            <v>-9.4823529411764707</v>
          </cell>
          <cell r="D20">
            <v>2.1176470588235294</v>
          </cell>
          <cell r="E20">
            <v>0.29411764705882354</v>
          </cell>
          <cell r="F20">
            <v>0.41176470588235292</v>
          </cell>
          <cell r="G20">
            <v>0.25190839694656486</v>
          </cell>
          <cell r="H20">
            <v>0.20610687022900764</v>
          </cell>
          <cell r="I20">
            <v>7036.363636363636</v>
          </cell>
          <cell r="J20">
            <v>-7029.6296296296296</v>
          </cell>
          <cell r="K20">
            <v>0.17647058823529413</v>
          </cell>
          <cell r="L20">
            <v>0</v>
          </cell>
          <cell r="M20">
            <v>0.17557251908396945</v>
          </cell>
          <cell r="N20">
            <v>0.27480916030534353</v>
          </cell>
          <cell r="O20">
            <v>0.52173913043478259</v>
          </cell>
          <cell r="P20">
            <v>0.3888888888888889</v>
          </cell>
          <cell r="Q20">
            <v>0.39393939393939392</v>
          </cell>
        </row>
        <row r="21">
          <cell r="A21">
            <v>18</v>
          </cell>
          <cell r="B21">
            <v>-159</v>
          </cell>
          <cell r="C21">
            <v>-8.8333333333333339</v>
          </cell>
          <cell r="D21">
            <v>2.1111111111111112</v>
          </cell>
          <cell r="E21">
            <v>0.27777777777777779</v>
          </cell>
          <cell r="F21">
            <v>0.3888888888888889</v>
          </cell>
          <cell r="G21">
            <v>0.24285714285714285</v>
          </cell>
          <cell r="H21">
            <v>0.2</v>
          </cell>
          <cell r="I21">
            <v>7535.2941176470586</v>
          </cell>
          <cell r="J21">
            <v>-6917.8571428571431</v>
          </cell>
          <cell r="K21">
            <v>0.16666666666666666</v>
          </cell>
          <cell r="L21">
            <v>0</v>
          </cell>
          <cell r="M21">
            <v>0.17857142857142858</v>
          </cell>
          <cell r="N21">
            <v>0.27142857142857141</v>
          </cell>
          <cell r="O21">
            <v>0.52</v>
          </cell>
          <cell r="P21">
            <v>0.36842105263157893</v>
          </cell>
          <cell r="Q21">
            <v>0.41176470588235292</v>
          </cell>
        </row>
        <row r="22">
          <cell r="A22">
            <v>19</v>
          </cell>
          <cell r="B22">
            <v>-235.6</v>
          </cell>
          <cell r="C22">
            <v>-12.4</v>
          </cell>
          <cell r="D22">
            <v>2.1578947368421053</v>
          </cell>
          <cell r="E22">
            <v>0.26315789473684209</v>
          </cell>
          <cell r="F22">
            <v>0.42105263157894735</v>
          </cell>
          <cell r="G22">
            <v>0.2348993288590604</v>
          </cell>
          <cell r="H22">
            <v>0.19463087248322147</v>
          </cell>
          <cell r="I22">
            <v>7431.4285714285716</v>
          </cell>
          <cell r="J22">
            <v>-7093.1034482758623</v>
          </cell>
          <cell r="K22">
            <v>0.21052631578947367</v>
          </cell>
          <cell r="L22">
            <v>0</v>
          </cell>
          <cell r="M22">
            <v>0.18120805369127516</v>
          </cell>
          <cell r="N22">
            <v>0.25503355704697989</v>
          </cell>
          <cell r="O22">
            <v>0.51851851851851849</v>
          </cell>
          <cell r="P22">
            <v>0.36842105263157893</v>
          </cell>
          <cell r="Q22">
            <v>0.4</v>
          </cell>
        </row>
        <row r="23">
          <cell r="A23">
            <v>20</v>
          </cell>
          <cell r="B23">
            <v>-200.8</v>
          </cell>
          <cell r="C23">
            <v>-10.040000000000001</v>
          </cell>
          <cell r="D23">
            <v>2.1</v>
          </cell>
          <cell r="E23">
            <v>0.3</v>
          </cell>
          <cell r="F23">
            <v>0.4</v>
          </cell>
          <cell r="G23">
            <v>0.24683544303797469</v>
          </cell>
          <cell r="H23">
            <v>0.18354430379746836</v>
          </cell>
          <cell r="I23">
            <v>7369.2307692307695</v>
          </cell>
          <cell r="J23">
            <v>-7093.1034482758623</v>
          </cell>
          <cell r="K23">
            <v>0.2</v>
          </cell>
          <cell r="L23">
            <v>0</v>
          </cell>
          <cell r="M23">
            <v>0.17721518987341772</v>
          </cell>
          <cell r="N23">
            <v>0.25949367088607594</v>
          </cell>
          <cell r="O23">
            <v>0.5357142857142857</v>
          </cell>
          <cell r="P23">
            <v>0.41463414634146339</v>
          </cell>
          <cell r="Q23">
            <v>0.38461538461538464</v>
          </cell>
        </row>
        <row r="24">
          <cell r="A24">
            <v>21</v>
          </cell>
          <cell r="B24">
            <v>-188.60000000000002</v>
          </cell>
          <cell r="C24">
            <v>-8.9809523809523828</v>
          </cell>
          <cell r="D24">
            <v>2.0952380952380953</v>
          </cell>
          <cell r="E24">
            <v>0.2857142857142857</v>
          </cell>
          <cell r="F24">
            <v>0.38095238095238093</v>
          </cell>
          <cell r="G24">
            <v>0.24848484848484848</v>
          </cell>
          <cell r="H24">
            <v>0.17575757575757575</v>
          </cell>
          <cell r="I24">
            <v>7512.1951219512193</v>
          </cell>
          <cell r="J24">
            <v>-7093.1034482758623</v>
          </cell>
          <cell r="K24">
            <v>0.19047619047619047</v>
          </cell>
          <cell r="L24">
            <v>0</v>
          </cell>
          <cell r="M24">
            <v>0.18181818181818182</v>
          </cell>
          <cell r="N24">
            <v>0.24848484848484848</v>
          </cell>
          <cell r="O24">
            <v>0.56666666666666665</v>
          </cell>
          <cell r="P24">
            <v>0.41463414634146339</v>
          </cell>
          <cell r="Q24">
            <v>0.3902439024390244</v>
          </cell>
        </row>
        <row r="25">
          <cell r="A25">
            <v>22</v>
          </cell>
          <cell r="B25">
            <v>-142.60000000000002</v>
          </cell>
          <cell r="C25">
            <v>-6.4818181818181833</v>
          </cell>
          <cell r="D25">
            <v>2.0454545454545454</v>
          </cell>
          <cell r="E25">
            <v>0.31818181818181818</v>
          </cell>
          <cell r="F25">
            <v>0.36363636363636365</v>
          </cell>
          <cell r="G25">
            <v>0.26256983240223464</v>
          </cell>
          <cell r="H25">
            <v>0.16759776536312848</v>
          </cell>
          <cell r="I25">
            <v>7276.5957446808507</v>
          </cell>
          <cell r="J25">
            <v>-7113.333333333333</v>
          </cell>
          <cell r="K25">
            <v>0.18181818181818182</v>
          </cell>
          <cell r="L25">
            <v>0</v>
          </cell>
          <cell r="M25">
            <v>0.18994413407821228</v>
          </cell>
          <cell r="N25">
            <v>0.23463687150837989</v>
          </cell>
          <cell r="O25">
            <v>0.61764705882352944</v>
          </cell>
          <cell r="P25">
            <v>0.40476190476190477</v>
          </cell>
          <cell r="Q25">
            <v>0.38297872340425532</v>
          </cell>
        </row>
        <row r="26">
          <cell r="A26">
            <v>23</v>
          </cell>
          <cell r="B26">
            <v>-145.80000000000001</v>
          </cell>
          <cell r="C26">
            <v>-6.339130434782609</v>
          </cell>
          <cell r="D26">
            <v>2.0434782608695654</v>
          </cell>
          <cell r="E26">
            <v>0.30434782608695654</v>
          </cell>
          <cell r="F26">
            <v>0.34782608695652173</v>
          </cell>
          <cell r="G26">
            <v>0.26595744680851063</v>
          </cell>
          <cell r="H26">
            <v>0.16489361702127658</v>
          </cell>
          <cell r="I26">
            <v>7186</v>
          </cell>
          <cell r="J26">
            <v>-7464.5161290322585</v>
          </cell>
          <cell r="K26">
            <v>0.17391304347826086</v>
          </cell>
          <cell r="L26">
            <v>0</v>
          </cell>
          <cell r="M26">
            <v>0.19680851063829788</v>
          </cell>
          <cell r="N26">
            <v>0.22872340425531915</v>
          </cell>
          <cell r="O26">
            <v>0.64864864864864868</v>
          </cell>
          <cell r="P26">
            <v>0.39534883720930231</v>
          </cell>
          <cell r="Q26">
            <v>0.38</v>
          </cell>
        </row>
        <row r="27">
          <cell r="A27">
            <v>24</v>
          </cell>
          <cell r="B27">
            <v>-204</v>
          </cell>
          <cell r="C27">
            <v>-8.5</v>
          </cell>
          <cell r="D27">
            <v>2.0833333333333335</v>
          </cell>
          <cell r="E27">
            <v>0.29166666666666669</v>
          </cell>
          <cell r="F27">
            <v>0.375</v>
          </cell>
          <cell r="G27">
            <v>0.26262626262626265</v>
          </cell>
          <cell r="H27">
            <v>0.18686868686868688</v>
          </cell>
          <cell r="I27">
            <v>7163.4615384615381</v>
          </cell>
          <cell r="J27">
            <v>-7291.8918918918916</v>
          </cell>
          <cell r="K27">
            <v>0.20833333333333334</v>
          </cell>
          <cell r="L27">
            <v>0</v>
          </cell>
          <cell r="M27">
            <v>0.20202020202020202</v>
          </cell>
          <cell r="N27">
            <v>0.22727272727272727</v>
          </cell>
          <cell r="O27">
            <v>0.625</v>
          </cell>
          <cell r="P27">
            <v>0.4</v>
          </cell>
          <cell r="Q27">
            <v>0.38461538461538464</v>
          </cell>
        </row>
        <row r="28">
          <cell r="A28">
            <v>25</v>
          </cell>
          <cell r="B28">
            <v>-151.5</v>
          </cell>
          <cell r="C28">
            <v>-6.06</v>
          </cell>
          <cell r="D28">
            <v>2.04</v>
          </cell>
          <cell r="E28">
            <v>0.32</v>
          </cell>
          <cell r="F28">
            <v>0.36</v>
          </cell>
          <cell r="G28">
            <v>0.27450980392156865</v>
          </cell>
          <cell r="H28">
            <v>0.18137254901960784</v>
          </cell>
          <cell r="I28">
            <v>7285.7142857142853</v>
          </cell>
          <cell r="J28">
            <v>-7291.8918918918916</v>
          </cell>
          <cell r="K28">
            <v>0.2</v>
          </cell>
          <cell r="L28">
            <v>0</v>
          </cell>
          <cell r="M28">
            <v>0.21568627450980393</v>
          </cell>
          <cell r="N28">
            <v>0.22058823529411764</v>
          </cell>
          <cell r="O28">
            <v>0.65909090909090906</v>
          </cell>
          <cell r="P28">
            <v>0.4</v>
          </cell>
          <cell r="Q28">
            <v>0.39285714285714285</v>
          </cell>
        </row>
        <row r="29">
          <cell r="A29">
            <v>26</v>
          </cell>
          <cell r="B29">
            <v>-115.1</v>
          </cell>
          <cell r="C29">
            <v>-4.4269230769230763</v>
          </cell>
          <cell r="D29">
            <v>2</v>
          </cell>
          <cell r="E29">
            <v>0.34615384615384615</v>
          </cell>
          <cell r="F29">
            <v>0.34615384615384615</v>
          </cell>
          <cell r="G29">
            <v>0.27906976744186046</v>
          </cell>
          <cell r="H29">
            <v>0.18139534883720931</v>
          </cell>
          <cell r="I29">
            <v>7431.666666666667</v>
          </cell>
          <cell r="J29">
            <v>-7292.3076923076924</v>
          </cell>
          <cell r="K29">
            <v>0.19230769230769232</v>
          </cell>
          <cell r="L29">
            <v>0</v>
          </cell>
          <cell r="M29">
            <v>0.21395348837209302</v>
          </cell>
          <cell r="N29">
            <v>0.21860465116279071</v>
          </cell>
          <cell r="O29">
            <v>0.67391304347826086</v>
          </cell>
          <cell r="P29">
            <v>0.40425531914893614</v>
          </cell>
          <cell r="Q29">
            <v>0.38333333333333336</v>
          </cell>
        </row>
        <row r="30">
          <cell r="A30">
            <v>27</v>
          </cell>
          <cell r="B30">
            <v>-27.099999999999994</v>
          </cell>
          <cell r="C30">
            <v>-1.0037037037037035</v>
          </cell>
          <cell r="D30">
            <v>1.962962962962963</v>
          </cell>
          <cell r="E30">
            <v>0.37037037037037035</v>
          </cell>
          <cell r="F30">
            <v>0.33333333333333331</v>
          </cell>
          <cell r="G30">
            <v>0.29223744292237441</v>
          </cell>
          <cell r="H30">
            <v>0.17808219178082191</v>
          </cell>
          <cell r="I30">
            <v>7904.6875</v>
          </cell>
          <cell r="J30">
            <v>-7292.3076923076924</v>
          </cell>
          <cell r="K30">
            <v>0.18518518518518517</v>
          </cell>
          <cell r="L30">
            <v>3.7037037037037035E-2</v>
          </cell>
          <cell r="M30">
            <v>0.21917808219178081</v>
          </cell>
          <cell r="N30">
            <v>0.22374429223744291</v>
          </cell>
          <cell r="O30">
            <v>0.6875</v>
          </cell>
          <cell r="P30">
            <v>0.42857142857142855</v>
          </cell>
          <cell r="Q30">
            <v>0.390625</v>
          </cell>
        </row>
        <row r="31">
          <cell r="A31">
            <v>28</v>
          </cell>
          <cell r="B31">
            <v>7.2000000000000028</v>
          </cell>
          <cell r="C31">
            <v>0.25714285714285723</v>
          </cell>
          <cell r="D31">
            <v>1.9285714285714286</v>
          </cell>
          <cell r="E31">
            <v>0.39285714285714285</v>
          </cell>
          <cell r="F31">
            <v>0.32142857142857145</v>
          </cell>
          <cell r="G31">
            <v>0.29515418502202645</v>
          </cell>
          <cell r="H31">
            <v>0.17180616740088106</v>
          </cell>
          <cell r="I31">
            <v>7883.5820895522384</v>
          </cell>
          <cell r="J31">
            <v>-7292.3076923076924</v>
          </cell>
          <cell r="K31">
            <v>0.17857142857142858</v>
          </cell>
          <cell r="L31">
            <v>3.5714285714285712E-2</v>
          </cell>
          <cell r="M31">
            <v>0.22026431718061673</v>
          </cell>
          <cell r="N31">
            <v>0.21585903083700442</v>
          </cell>
          <cell r="O31">
            <v>0.7</v>
          </cell>
          <cell r="P31">
            <v>0.42857142857142855</v>
          </cell>
          <cell r="Q31">
            <v>0.40298507462686567</v>
          </cell>
        </row>
        <row r="32">
          <cell r="A32">
            <v>29</v>
          </cell>
          <cell r="B32">
            <v>-49</v>
          </cell>
          <cell r="C32">
            <v>-1.6896551724137931</v>
          </cell>
          <cell r="D32">
            <v>1.9655172413793103</v>
          </cell>
          <cell r="E32">
            <v>0.37931034482758619</v>
          </cell>
          <cell r="F32">
            <v>0.34482758620689657</v>
          </cell>
          <cell r="G32">
            <v>0.29487179487179488</v>
          </cell>
          <cell r="H32">
            <v>0.17948717948717949</v>
          </cell>
          <cell r="I32">
            <v>7846.376811594203</v>
          </cell>
          <cell r="J32">
            <v>-7771.4285714285716</v>
          </cell>
          <cell r="K32">
            <v>0.20689655172413793</v>
          </cell>
          <cell r="L32">
            <v>3.4482758620689655E-2</v>
          </cell>
          <cell r="M32">
            <v>0.22222222222222221</v>
          </cell>
          <cell r="N32">
            <v>0.21367521367521367</v>
          </cell>
          <cell r="O32">
            <v>0.69230769230769229</v>
          </cell>
          <cell r="P32">
            <v>0.42</v>
          </cell>
          <cell r="Q32">
            <v>0.40579710144927539</v>
          </cell>
        </row>
        <row r="33">
          <cell r="A33">
            <v>30</v>
          </cell>
          <cell r="B33">
            <v>-99.6</v>
          </cell>
          <cell r="C33">
            <v>-3.32</v>
          </cell>
          <cell r="D33">
            <v>2</v>
          </cell>
          <cell r="E33">
            <v>0.36666666666666664</v>
          </cell>
          <cell r="F33">
            <v>0.36666666666666664</v>
          </cell>
          <cell r="G33">
            <v>0.28799999999999998</v>
          </cell>
          <cell r="H33">
            <v>0.17199999999999999</v>
          </cell>
          <cell r="I33">
            <v>7775</v>
          </cell>
          <cell r="J33">
            <v>-7769.7674418604647</v>
          </cell>
          <cell r="K33">
            <v>0.2</v>
          </cell>
          <cell r="L33">
            <v>3.3333333333333333E-2</v>
          </cell>
          <cell r="M33">
            <v>0.21199999999999999</v>
          </cell>
          <cell r="N33">
            <v>0.22</v>
          </cell>
          <cell r="O33">
            <v>0.69811320754716977</v>
          </cell>
          <cell r="P33">
            <v>0.4</v>
          </cell>
          <cell r="Q33">
            <v>0.43055555555555558</v>
          </cell>
        </row>
        <row r="34">
          <cell r="A34">
            <v>31</v>
          </cell>
          <cell r="B34">
            <v>-54.199999999999996</v>
          </cell>
          <cell r="C34">
            <v>-1.7483870967741935</v>
          </cell>
          <cell r="D34">
            <v>1.967741935483871</v>
          </cell>
          <cell r="E34">
            <v>0.38709677419354838</v>
          </cell>
          <cell r="F34">
            <v>0.35483870967741937</v>
          </cell>
          <cell r="G34">
            <v>0.29296875</v>
          </cell>
          <cell r="H34">
            <v>0.16796875</v>
          </cell>
          <cell r="I34">
            <v>7889.333333333333</v>
          </cell>
          <cell r="J34">
            <v>-7769.7674418604647</v>
          </cell>
          <cell r="K34">
            <v>0.19354838709677419</v>
          </cell>
          <cell r="L34">
            <v>6.4516129032258063E-2</v>
          </cell>
          <cell r="M34">
            <v>0.21484375</v>
          </cell>
          <cell r="N34">
            <v>0.21875</v>
          </cell>
          <cell r="O34">
            <v>0.70909090909090911</v>
          </cell>
          <cell r="P34">
            <v>0.4107142857142857</v>
          </cell>
          <cell r="Q34">
            <v>0.41333333333333333</v>
          </cell>
        </row>
        <row r="35">
          <cell r="A35">
            <v>32</v>
          </cell>
          <cell r="B35">
            <v>-92</v>
          </cell>
          <cell r="C35">
            <v>-2.875</v>
          </cell>
          <cell r="D35">
            <v>2</v>
          </cell>
          <cell r="E35">
            <v>0.375</v>
          </cell>
          <cell r="F35">
            <v>0.375</v>
          </cell>
          <cell r="G35">
            <v>0.29056603773584905</v>
          </cell>
          <cell r="H35">
            <v>0.17358490566037735</v>
          </cell>
          <cell r="I35">
            <v>7803.8961038961043</v>
          </cell>
          <cell r="J35">
            <v>-7741.304347826087</v>
          </cell>
          <cell r="K35">
            <v>0.1875</v>
          </cell>
          <cell r="L35">
            <v>6.25E-2</v>
          </cell>
          <cell r="M35">
            <v>0.21509433962264152</v>
          </cell>
          <cell r="N35">
            <v>0.21886792452830189</v>
          </cell>
          <cell r="O35">
            <v>0.70175438596491224</v>
          </cell>
          <cell r="P35">
            <v>0.41379310344827586</v>
          </cell>
          <cell r="Q35">
            <v>0.41558441558441561</v>
          </cell>
        </row>
        <row r="36">
          <cell r="A36">
            <v>33</v>
          </cell>
          <cell r="B36">
            <v>-107.4</v>
          </cell>
          <cell r="C36">
            <v>-3.2545454545454549</v>
          </cell>
          <cell r="D36">
            <v>2</v>
          </cell>
          <cell r="E36">
            <v>0.36363636363636365</v>
          </cell>
          <cell r="F36">
            <v>0.36363636363636365</v>
          </cell>
          <cell r="G36">
            <v>0.28832116788321166</v>
          </cell>
          <cell r="H36">
            <v>0.17153284671532848</v>
          </cell>
          <cell r="I36">
            <v>7783.5443037974683</v>
          </cell>
          <cell r="J36">
            <v>-7831.9148936170213</v>
          </cell>
          <cell r="K36">
            <v>0.18181818181818182</v>
          </cell>
          <cell r="L36">
            <v>6.0606060606060608E-2</v>
          </cell>
          <cell r="M36">
            <v>0.21167883211678831</v>
          </cell>
          <cell r="N36">
            <v>0.22262773722627738</v>
          </cell>
          <cell r="O36">
            <v>0.7068965517241379</v>
          </cell>
          <cell r="P36">
            <v>0.39344262295081966</v>
          </cell>
          <cell r="Q36">
            <v>0.4050632911392405</v>
          </cell>
        </row>
        <row r="37">
          <cell r="A37">
            <v>34</v>
          </cell>
          <cell r="B37">
            <v>-45.800000000000004</v>
          </cell>
          <cell r="C37">
            <v>-1.3470588235294119</v>
          </cell>
          <cell r="D37">
            <v>1.9705882352941178</v>
          </cell>
          <cell r="E37">
            <v>0.38235294117647056</v>
          </cell>
          <cell r="F37">
            <v>0.35294117647058826</v>
          </cell>
          <cell r="G37">
            <v>0.29328621908127206</v>
          </cell>
          <cell r="H37">
            <v>0.16961130742049471</v>
          </cell>
          <cell r="I37">
            <v>7945.7831325301204</v>
          </cell>
          <cell r="J37">
            <v>-7735.416666666667</v>
          </cell>
          <cell r="K37">
            <v>0.17647058823529413</v>
          </cell>
          <cell r="L37">
            <v>5.8823529411764705E-2</v>
          </cell>
          <cell r="M37">
            <v>0.21201413427561838</v>
          </cell>
          <cell r="N37">
            <v>0.22614840989399293</v>
          </cell>
          <cell r="O37">
            <v>0.7</v>
          </cell>
          <cell r="P37">
            <v>0.390625</v>
          </cell>
          <cell r="Q37">
            <v>0.39759036144578314</v>
          </cell>
        </row>
        <row r="38">
          <cell r="A38">
            <v>35</v>
          </cell>
          <cell r="B38">
            <v>19.399999999999999</v>
          </cell>
          <cell r="C38">
            <v>0.55428571428571427</v>
          </cell>
          <cell r="D38">
            <v>1.9428571428571428</v>
          </cell>
          <cell r="E38">
            <v>0.4</v>
          </cell>
          <cell r="F38">
            <v>0.34285714285714286</v>
          </cell>
          <cell r="G38">
            <v>0.2986111111111111</v>
          </cell>
          <cell r="H38">
            <v>0.1701388888888889</v>
          </cell>
          <cell r="I38">
            <v>8409.3023255813951</v>
          </cell>
          <cell r="J38">
            <v>-7822.4489795918371</v>
          </cell>
          <cell r="K38">
            <v>0.17142857142857143</v>
          </cell>
          <cell r="L38">
            <v>8.5714285714285715E-2</v>
          </cell>
          <cell r="M38">
            <v>0.20833333333333334</v>
          </cell>
          <cell r="N38">
            <v>0.22569444444444445</v>
          </cell>
          <cell r="O38">
            <v>0.7</v>
          </cell>
          <cell r="P38">
            <v>0.38461538461538464</v>
          </cell>
          <cell r="Q38">
            <v>0.39534883720930231</v>
          </cell>
        </row>
        <row r="39">
          <cell r="A39">
            <v>36</v>
          </cell>
          <cell r="B39">
            <v>85.800000000000011</v>
          </cell>
          <cell r="C39">
            <v>2.3833333333333337</v>
          </cell>
          <cell r="D39">
            <v>1.9166666666666667</v>
          </cell>
          <cell r="E39">
            <v>0.41666666666666669</v>
          </cell>
          <cell r="F39">
            <v>0.33333333333333331</v>
          </cell>
          <cell r="G39">
            <v>0.30132450331125826</v>
          </cell>
          <cell r="H39">
            <v>0.16556291390728478</v>
          </cell>
          <cell r="I39">
            <v>8735.1648351648346</v>
          </cell>
          <cell r="J39">
            <v>-7782</v>
          </cell>
          <cell r="K39">
            <v>0.16666666666666666</v>
          </cell>
          <cell r="L39">
            <v>8.3333333333333329E-2</v>
          </cell>
          <cell r="M39">
            <v>0.2251655629139073</v>
          </cell>
          <cell r="N39">
            <v>0.22185430463576158</v>
          </cell>
          <cell r="O39">
            <v>0.69117647058823528</v>
          </cell>
          <cell r="P39">
            <v>0.37313432835820898</v>
          </cell>
          <cell r="Q39">
            <v>0.40659340659340659</v>
          </cell>
        </row>
        <row r="40">
          <cell r="A40">
            <v>37</v>
          </cell>
          <cell r="B40">
            <v>44.70000000000001</v>
          </cell>
          <cell r="C40">
            <v>1.2081081081081084</v>
          </cell>
          <cell r="D40">
            <v>1.9459459459459461</v>
          </cell>
          <cell r="E40">
            <v>0.40540540540540543</v>
          </cell>
          <cell r="F40">
            <v>0.35135135135135137</v>
          </cell>
          <cell r="G40">
            <v>0.29773462783171523</v>
          </cell>
          <cell r="H40">
            <v>0.1650485436893204</v>
          </cell>
          <cell r="I40">
            <v>8683.6956521739139</v>
          </cell>
          <cell r="J40">
            <v>-7680.3921568627447</v>
          </cell>
          <cell r="K40">
            <v>0.16216216216216217</v>
          </cell>
          <cell r="L40">
            <v>8.1081081081081086E-2</v>
          </cell>
          <cell r="M40">
            <v>0.22330097087378642</v>
          </cell>
          <cell r="N40">
            <v>0.2168284789644013</v>
          </cell>
          <cell r="O40">
            <v>0.69565217391304346</v>
          </cell>
          <cell r="P40">
            <v>0.37313432835820898</v>
          </cell>
          <cell r="Q40">
            <v>0.41304347826086957</v>
          </cell>
        </row>
        <row r="41">
          <cell r="A41">
            <v>38</v>
          </cell>
          <cell r="B41">
            <v>-18.79999999999999</v>
          </cell>
          <cell r="C41">
            <v>-0.49473684210526292</v>
          </cell>
          <cell r="D41">
            <v>1.9736842105263157</v>
          </cell>
          <cell r="E41">
            <v>0.39473684210526316</v>
          </cell>
          <cell r="F41">
            <v>0.36842105263157893</v>
          </cell>
          <cell r="G41">
            <v>0.29153605015673983</v>
          </cell>
          <cell r="H41">
            <v>0.16614420062695925</v>
          </cell>
          <cell r="I41">
            <v>8673.1182795698933</v>
          </cell>
          <cell r="J41">
            <v>-7664.1509433962265</v>
          </cell>
          <cell r="K41">
            <v>0.18421052631578946</v>
          </cell>
          <cell r="L41">
            <v>7.8947368421052627E-2</v>
          </cell>
          <cell r="M41">
            <v>0.22884012539184953</v>
          </cell>
          <cell r="N41">
            <v>0.21316614420062696</v>
          </cell>
          <cell r="O41">
            <v>0.67123287671232879</v>
          </cell>
          <cell r="P41">
            <v>0.36764705882352944</v>
          </cell>
          <cell r="Q41">
            <v>0.41935483870967744</v>
          </cell>
        </row>
        <row r="42">
          <cell r="A42">
            <v>39</v>
          </cell>
          <cell r="B42">
            <v>-16.699999999999989</v>
          </cell>
          <cell r="C42">
            <v>-0.42820512820512791</v>
          </cell>
          <cell r="D42">
            <v>1.9743589743589745</v>
          </cell>
          <cell r="E42">
            <v>0.38461538461538464</v>
          </cell>
          <cell r="F42">
            <v>0.35897435897435898</v>
          </cell>
          <cell r="G42">
            <v>0.29447852760736198</v>
          </cell>
          <cell r="H42">
            <v>0.16257668711656442</v>
          </cell>
          <cell r="I42">
            <v>8621.875</v>
          </cell>
          <cell r="J42">
            <v>-7664.1509433962265</v>
          </cell>
          <cell r="K42">
            <v>0.17948717948717949</v>
          </cell>
          <cell r="L42">
            <v>7.6923076923076927E-2</v>
          </cell>
          <cell r="M42">
            <v>0.23312883435582821</v>
          </cell>
          <cell r="N42">
            <v>0.21165644171779141</v>
          </cell>
          <cell r="O42">
            <v>0.67105263157894735</v>
          </cell>
          <cell r="P42">
            <v>0.37681159420289856</v>
          </cell>
          <cell r="Q42">
            <v>0.41666666666666669</v>
          </cell>
        </row>
        <row r="43">
          <cell r="A43">
            <v>40</v>
          </cell>
          <cell r="B43">
            <v>39.300000000000011</v>
          </cell>
          <cell r="C43">
            <v>0.98250000000000026</v>
          </cell>
          <cell r="D43">
            <v>1.95</v>
          </cell>
          <cell r="E43">
            <v>0.4</v>
          </cell>
          <cell r="F43">
            <v>0.35</v>
          </cell>
          <cell r="G43">
            <v>0.3</v>
          </cell>
          <cell r="H43">
            <v>0.16060606060606061</v>
          </cell>
          <cell r="I43">
            <v>8683.8383838383834</v>
          </cell>
          <cell r="J43">
            <v>-7664.1509433962265</v>
          </cell>
          <cell r="K43">
            <v>0.17499999999999999</v>
          </cell>
          <cell r="L43">
            <v>0.1</v>
          </cell>
          <cell r="M43">
            <v>0.23636363636363636</v>
          </cell>
          <cell r="N43">
            <v>0.20909090909090908</v>
          </cell>
          <cell r="O43">
            <v>0.67948717948717952</v>
          </cell>
          <cell r="P43">
            <v>0.37681159420289856</v>
          </cell>
          <cell r="Q43">
            <v>0.41414141414141414</v>
          </cell>
        </row>
        <row r="44">
          <cell r="A44">
            <v>41</v>
          </cell>
          <cell r="B44">
            <v>96.300000000000011</v>
          </cell>
          <cell r="C44">
            <v>2.3487804878048784</v>
          </cell>
          <cell r="D44">
            <v>1.9268292682926829</v>
          </cell>
          <cell r="E44">
            <v>0.41463414634146339</v>
          </cell>
          <cell r="F44">
            <v>0.34146341463414637</v>
          </cell>
          <cell r="G44">
            <v>0.30630630630630629</v>
          </cell>
          <cell r="H44">
            <v>0.15915915915915915</v>
          </cell>
          <cell r="I44">
            <v>8781.3725490196084</v>
          </cell>
          <cell r="J44">
            <v>-7664.1509433962265</v>
          </cell>
          <cell r="K44">
            <v>0.17073170731707318</v>
          </cell>
          <cell r="L44">
            <v>0.12195121951219512</v>
          </cell>
          <cell r="M44">
            <v>0.24324324324324326</v>
          </cell>
          <cell r="N44">
            <v>0.2072072072072072</v>
          </cell>
          <cell r="O44">
            <v>0.69135802469135799</v>
          </cell>
          <cell r="P44">
            <v>0.37681159420289856</v>
          </cell>
          <cell r="Q44">
            <v>0.40196078431372551</v>
          </cell>
        </row>
        <row r="45">
          <cell r="A45">
            <v>42</v>
          </cell>
          <cell r="B45">
            <v>97.600000000000009</v>
          </cell>
          <cell r="C45">
            <v>2.323809523809524</v>
          </cell>
          <cell r="D45">
            <v>1.9285714285714286</v>
          </cell>
          <cell r="E45">
            <v>0.40476190476190477</v>
          </cell>
          <cell r="F45">
            <v>0.33333333333333331</v>
          </cell>
          <cell r="G45">
            <v>0.30791788856304986</v>
          </cell>
          <cell r="H45">
            <v>0.15835777126099707</v>
          </cell>
          <cell r="I45">
            <v>8869.5238095238092</v>
          </cell>
          <cell r="J45">
            <v>-7670.3703703703704</v>
          </cell>
          <cell r="K45">
            <v>0.16666666666666666</v>
          </cell>
          <cell r="L45">
            <v>0.11904761904761904</v>
          </cell>
          <cell r="M45">
            <v>0.24926686217008798</v>
          </cell>
          <cell r="N45">
            <v>0.20527859237536658</v>
          </cell>
          <cell r="O45">
            <v>0.69411764705882351</v>
          </cell>
          <cell r="P45">
            <v>0.37142857142857144</v>
          </cell>
          <cell r="Q45">
            <v>0.41904761904761906</v>
          </cell>
        </row>
        <row r="46">
          <cell r="A46">
            <v>43</v>
          </cell>
          <cell r="B46">
            <v>103.10000000000001</v>
          </cell>
          <cell r="C46">
            <v>2.3976744186046512</v>
          </cell>
          <cell r="D46">
            <v>1.930232558139535</v>
          </cell>
          <cell r="E46">
            <v>0.39534883720930231</v>
          </cell>
          <cell r="F46">
            <v>0.32558139534883723</v>
          </cell>
          <cell r="G46">
            <v>0.30945558739255014</v>
          </cell>
          <cell r="H46">
            <v>0.15759312320916904</v>
          </cell>
          <cell r="I46">
            <v>8845.3703703703704</v>
          </cell>
          <cell r="J46">
            <v>-7749.090909090909</v>
          </cell>
          <cell r="K46">
            <v>0.16279069767441862</v>
          </cell>
          <cell r="L46">
            <v>0.11627906976744186</v>
          </cell>
          <cell r="M46">
            <v>0.25214899713467048</v>
          </cell>
          <cell r="N46">
            <v>0.20057306590257878</v>
          </cell>
          <cell r="O46">
            <v>0.70454545454545459</v>
          </cell>
          <cell r="P46">
            <v>0.37142857142857144</v>
          </cell>
          <cell r="Q46">
            <v>0.41666666666666669</v>
          </cell>
        </row>
        <row r="47">
          <cell r="A47">
            <v>44</v>
          </cell>
          <cell r="B47">
            <v>96.600000000000009</v>
          </cell>
          <cell r="C47">
            <v>2.1954545454545458</v>
          </cell>
          <cell r="D47">
            <v>1.9318181818181819</v>
          </cell>
          <cell r="E47">
            <v>0.38636363636363635</v>
          </cell>
          <cell r="F47">
            <v>0.31818181818181818</v>
          </cell>
          <cell r="G47">
            <v>0.30422535211267604</v>
          </cell>
          <cell r="H47">
            <v>0.16056338028169015</v>
          </cell>
          <cell r="I47">
            <v>8845.3703703703704</v>
          </cell>
          <cell r="J47">
            <v>-7591.2280701754389</v>
          </cell>
          <cell r="K47">
            <v>0.15909090909090909</v>
          </cell>
          <cell r="L47">
            <v>0.11363636363636363</v>
          </cell>
          <cell r="M47">
            <v>0.25352112676056338</v>
          </cell>
          <cell r="N47">
            <v>0.19718309859154928</v>
          </cell>
          <cell r="O47">
            <v>0.68888888888888888</v>
          </cell>
          <cell r="P47">
            <v>0.37142857142857144</v>
          </cell>
          <cell r="Q47">
            <v>0.41666666666666669</v>
          </cell>
        </row>
        <row r="48">
          <cell r="A48">
            <v>45</v>
          </cell>
          <cell r="B48">
            <v>39.500000000000007</v>
          </cell>
          <cell r="C48">
            <v>0.87777777777777799</v>
          </cell>
          <cell r="D48">
            <v>1.9555555555555555</v>
          </cell>
          <cell r="E48">
            <v>0.37777777777777777</v>
          </cell>
          <cell r="F48">
            <v>0.33333333333333331</v>
          </cell>
          <cell r="G48">
            <v>0.29700272479564033</v>
          </cell>
          <cell r="H48">
            <v>0.16621253405994552</v>
          </cell>
          <cell r="I48">
            <v>8874.3119266055037</v>
          </cell>
          <cell r="J48">
            <v>-7621.311475409836</v>
          </cell>
          <cell r="K48">
            <v>0.17777777777777778</v>
          </cell>
          <cell r="L48">
            <v>0.1111111111111111</v>
          </cell>
          <cell r="M48">
            <v>0.2561307901907357</v>
          </cell>
          <cell r="N48">
            <v>0.1907356948228883</v>
          </cell>
          <cell r="O48">
            <v>0.67021276595744683</v>
          </cell>
          <cell r="P48">
            <v>0.37142857142857144</v>
          </cell>
          <cell r="Q48">
            <v>0.41284403669724773</v>
          </cell>
        </row>
        <row r="49">
          <cell r="A49">
            <v>46</v>
          </cell>
          <cell r="B49">
            <v>37.300000000000004</v>
          </cell>
          <cell r="C49">
            <v>0.8108695652173914</v>
          </cell>
          <cell r="D49">
            <v>1.9565217391304348</v>
          </cell>
          <cell r="E49">
            <v>0.36956521739130432</v>
          </cell>
          <cell r="F49">
            <v>0.32608695652173914</v>
          </cell>
          <cell r="G49">
            <v>0.29333333333333333</v>
          </cell>
          <cell r="H49">
            <v>0.16266666666666665</v>
          </cell>
          <cell r="I49">
            <v>8805.454545454546</v>
          </cell>
          <cell r="J49">
            <v>-7621.311475409836</v>
          </cell>
          <cell r="K49">
            <v>0.17391304347826086</v>
          </cell>
          <cell r="L49">
            <v>0.10869565217391304</v>
          </cell>
          <cell r="M49">
            <v>0.25866666666666666</v>
          </cell>
          <cell r="N49">
            <v>0.192</v>
          </cell>
          <cell r="O49">
            <v>0.65979381443298968</v>
          </cell>
          <cell r="P49">
            <v>0.3611111111111111</v>
          </cell>
          <cell r="Q49">
            <v>0.40909090909090912</v>
          </cell>
        </row>
        <row r="50">
          <cell r="A50">
            <v>47</v>
          </cell>
          <cell r="B50">
            <v>71.099999999999994</v>
          </cell>
          <cell r="C50">
            <v>1.5127659574468084</v>
          </cell>
          <cell r="D50">
            <v>1.9361702127659575</v>
          </cell>
          <cell r="E50">
            <v>0.38297872340425532</v>
          </cell>
          <cell r="F50">
            <v>0.31914893617021278</v>
          </cell>
          <cell r="G50">
            <v>0.29396325459317585</v>
          </cell>
          <cell r="H50">
            <v>0.16010498687664043</v>
          </cell>
          <cell r="I50">
            <v>8838.3928571428569</v>
          </cell>
          <cell r="J50">
            <v>-7621.311475409836</v>
          </cell>
          <cell r="K50">
            <v>0.1702127659574468</v>
          </cell>
          <cell r="L50">
            <v>0.10638297872340426</v>
          </cell>
          <cell r="M50">
            <v>0.25984251968503935</v>
          </cell>
          <cell r="N50">
            <v>0.19160104986876642</v>
          </cell>
          <cell r="O50">
            <v>0.66666666666666663</v>
          </cell>
          <cell r="P50">
            <v>0.35616438356164382</v>
          </cell>
          <cell r="Q50">
            <v>0.41964285714285715</v>
          </cell>
        </row>
        <row r="51">
          <cell r="A51">
            <v>48</v>
          </cell>
          <cell r="B51">
            <v>40.899999999999991</v>
          </cell>
          <cell r="C51">
            <v>0.85208333333333319</v>
          </cell>
          <cell r="D51">
            <v>1.9583333333333333</v>
          </cell>
          <cell r="E51">
            <v>0.375</v>
          </cell>
          <cell r="F51">
            <v>0.33333333333333331</v>
          </cell>
          <cell r="G51">
            <v>0.29591836734693877</v>
          </cell>
          <cell r="H51">
            <v>0.16071428571428573</v>
          </cell>
          <cell r="I51">
            <v>8723.2758620689656</v>
          </cell>
          <cell r="J51">
            <v>-7787.3015873015875</v>
          </cell>
          <cell r="K51">
            <v>0.16666666666666666</v>
          </cell>
          <cell r="L51">
            <v>0.10416666666666667</v>
          </cell>
          <cell r="M51">
            <v>0.26020408163265307</v>
          </cell>
          <cell r="N51">
            <v>0.18877551020408162</v>
          </cell>
          <cell r="O51">
            <v>0.67647058823529416</v>
          </cell>
          <cell r="P51">
            <v>0.35135135135135137</v>
          </cell>
          <cell r="Q51">
            <v>0.42241379310344829</v>
          </cell>
        </row>
        <row r="52">
          <cell r="A52">
            <v>49</v>
          </cell>
          <cell r="B52">
            <v>-29.900000000000006</v>
          </cell>
          <cell r="C52">
            <v>-0.61020408163265316</v>
          </cell>
          <cell r="D52">
            <v>1.9795918367346939</v>
          </cell>
          <cell r="E52">
            <v>0.36734693877551022</v>
          </cell>
          <cell r="F52">
            <v>0.34693877551020408</v>
          </cell>
          <cell r="G52">
            <v>0.29219143576826195</v>
          </cell>
          <cell r="H52">
            <v>0.16372795969773299</v>
          </cell>
          <cell r="I52">
            <v>8723.2758620689656</v>
          </cell>
          <cell r="J52">
            <v>-8036.9230769230771</v>
          </cell>
          <cell r="K52">
            <v>0.18367346938775511</v>
          </cell>
          <cell r="L52">
            <v>0.10204081632653061</v>
          </cell>
          <cell r="M52">
            <v>0.26196473551637278</v>
          </cell>
          <cell r="N52">
            <v>0.18639798488664988</v>
          </cell>
          <cell r="O52">
            <v>0.66346153846153844</v>
          </cell>
          <cell r="P52">
            <v>0.35135135135135137</v>
          </cell>
          <cell r="Q52">
            <v>0.42241379310344829</v>
          </cell>
        </row>
        <row r="53">
          <cell r="A53">
            <v>50</v>
          </cell>
          <cell r="B53">
            <v>-26.900000000000006</v>
          </cell>
          <cell r="C53">
            <v>-0.53800000000000014</v>
          </cell>
          <cell r="D53">
            <v>1.98</v>
          </cell>
          <cell r="E53">
            <v>0.36</v>
          </cell>
          <cell r="F53">
            <v>0.34</v>
          </cell>
          <cell r="G53">
            <v>0.29484029484029484</v>
          </cell>
          <cell r="H53">
            <v>0.16461916461916462</v>
          </cell>
          <cell r="I53">
            <v>8586.6666666666661</v>
          </cell>
          <cell r="J53">
            <v>-7931.3432835820895</v>
          </cell>
          <cell r="K53">
            <v>0.18</v>
          </cell>
          <cell r="L53">
            <v>0.1</v>
          </cell>
          <cell r="M53">
            <v>0.26289926289926291</v>
          </cell>
          <cell r="N53">
            <v>0.1891891891891892</v>
          </cell>
          <cell r="O53">
            <v>0.66355140186915884</v>
          </cell>
          <cell r="P53">
            <v>0.36363636363636365</v>
          </cell>
          <cell r="Q53">
            <v>0.42499999999999999</v>
          </cell>
        </row>
        <row r="54">
          <cell r="A54">
            <v>51</v>
          </cell>
          <cell r="B54">
            <v>20.999999999999993</v>
          </cell>
          <cell r="C54">
            <v>0.41176470588235281</v>
          </cell>
          <cell r="D54">
            <v>1.9607843137254901</v>
          </cell>
          <cell r="E54">
            <v>0.37254901960784315</v>
          </cell>
          <cell r="F54">
            <v>0.33333333333333331</v>
          </cell>
          <cell r="G54">
            <v>0.29879518072289157</v>
          </cell>
          <cell r="H54">
            <v>0.16144578313253011</v>
          </cell>
          <cell r="I54">
            <v>8587.0967741935492</v>
          </cell>
          <cell r="J54">
            <v>-7931.3432835820895</v>
          </cell>
          <cell r="K54">
            <v>0.17647058823529413</v>
          </cell>
          <cell r="L54">
            <v>9.8039215686274508E-2</v>
          </cell>
          <cell r="M54">
            <v>0.26506024096385544</v>
          </cell>
          <cell r="N54">
            <v>0.18795180722891566</v>
          </cell>
          <cell r="O54">
            <v>0.66363636363636369</v>
          </cell>
          <cell r="P54">
            <v>0.37179487179487181</v>
          </cell>
          <cell r="Q54">
            <v>0.43548387096774194</v>
          </cell>
        </row>
        <row r="55">
          <cell r="A55">
            <v>52</v>
          </cell>
          <cell r="B55">
            <v>30.699999999999992</v>
          </cell>
          <cell r="C55">
            <v>0.59038461538461529</v>
          </cell>
          <cell r="D55">
            <v>1.9615384615384615</v>
          </cell>
          <cell r="E55">
            <v>0.36538461538461536</v>
          </cell>
          <cell r="F55">
            <v>0.32692307692307693</v>
          </cell>
          <cell r="G55">
            <v>0.30023640661938533</v>
          </cell>
          <cell r="H55">
            <v>0.15839243498817968</v>
          </cell>
          <cell r="I55">
            <v>8508.6614173228354</v>
          </cell>
          <cell r="J55">
            <v>-7931.3432835820895</v>
          </cell>
          <cell r="K55">
            <v>0.17307692307692307</v>
          </cell>
          <cell r="L55">
            <v>9.6153846153846159E-2</v>
          </cell>
          <cell r="M55">
            <v>0.26477541371158392</v>
          </cell>
          <cell r="N55">
            <v>0.1867612293144208</v>
          </cell>
          <cell r="O55">
            <v>0.6696428571428571</v>
          </cell>
          <cell r="P55">
            <v>0.379746835443038</v>
          </cell>
          <cell r="Q55">
            <v>0.43307086614173229</v>
          </cell>
        </row>
        <row r="56">
          <cell r="A56">
            <v>53</v>
          </cell>
          <cell r="B56">
            <v>76.8</v>
          </cell>
          <cell r="C56">
            <v>1.4490566037735848</v>
          </cell>
          <cell r="D56">
            <v>1.9433962264150944</v>
          </cell>
          <cell r="E56">
            <v>0.37735849056603776</v>
          </cell>
          <cell r="F56">
            <v>0.32075471698113206</v>
          </cell>
          <cell r="G56">
            <v>0.30162412993039445</v>
          </cell>
          <cell r="H56">
            <v>0.1554524361948956</v>
          </cell>
          <cell r="I56">
            <v>8553.0769230769238</v>
          </cell>
          <cell r="J56">
            <v>-7931.3432835820895</v>
          </cell>
          <cell r="K56">
            <v>0.16981132075471697</v>
          </cell>
          <cell r="L56">
            <v>9.4339622641509441E-2</v>
          </cell>
          <cell r="M56">
            <v>0.26682134570765659</v>
          </cell>
          <cell r="N56">
            <v>0.18793503480278423</v>
          </cell>
          <cell r="O56">
            <v>0.67826086956521736</v>
          </cell>
          <cell r="P56">
            <v>0.37037037037037035</v>
          </cell>
          <cell r="Q56">
            <v>0.43076923076923079</v>
          </cell>
        </row>
        <row r="57">
          <cell r="A57">
            <v>54</v>
          </cell>
          <cell r="B57">
            <v>133.30000000000001</v>
          </cell>
          <cell r="C57">
            <v>2.4685185185185188</v>
          </cell>
          <cell r="D57">
            <v>1.9259259259259258</v>
          </cell>
          <cell r="E57">
            <v>0.3888888888888889</v>
          </cell>
          <cell r="F57">
            <v>0.31481481481481483</v>
          </cell>
          <cell r="G57">
            <v>0.30523917995444189</v>
          </cell>
          <cell r="H57">
            <v>0.15261958997722094</v>
          </cell>
          <cell r="I57">
            <v>8598.507462686568</v>
          </cell>
          <cell r="J57">
            <v>-7931.3432835820895</v>
          </cell>
          <cell r="K57">
            <v>0.16666666666666666</v>
          </cell>
          <cell r="L57">
            <v>0.1111111111111111</v>
          </cell>
          <cell r="M57">
            <v>0.27334851936218679</v>
          </cell>
          <cell r="N57">
            <v>0.18906605922551253</v>
          </cell>
          <cell r="O57">
            <v>0.66666666666666663</v>
          </cell>
          <cell r="P57">
            <v>0.37349397590361444</v>
          </cell>
          <cell r="Q57">
            <v>0.42537313432835822</v>
          </cell>
        </row>
        <row r="58">
          <cell r="A58">
            <v>55</v>
          </cell>
          <cell r="B58">
            <v>181.60000000000002</v>
          </cell>
          <cell r="C58">
            <v>3.3018181818181822</v>
          </cell>
          <cell r="D58">
            <v>1.9090909090909092</v>
          </cell>
          <cell r="E58">
            <v>0.4</v>
          </cell>
          <cell r="F58">
            <v>0.30909090909090908</v>
          </cell>
          <cell r="G58">
            <v>0.3087248322147651</v>
          </cell>
          <cell r="H58">
            <v>0.14988814317673377</v>
          </cell>
          <cell r="I58">
            <v>8637.68115942029</v>
          </cell>
          <cell r="J58">
            <v>-7931.3432835820895</v>
          </cell>
          <cell r="K58">
            <v>0.16363636363636364</v>
          </cell>
          <cell r="L58">
            <v>0.12727272727272726</v>
          </cell>
          <cell r="M58">
            <v>0.27516778523489932</v>
          </cell>
          <cell r="N58">
            <v>0.18791946308724833</v>
          </cell>
          <cell r="O58">
            <v>0.67479674796747968</v>
          </cell>
          <cell r="P58">
            <v>0.38095238095238093</v>
          </cell>
          <cell r="Q58">
            <v>0.42753623188405798</v>
          </cell>
        </row>
        <row r="59">
          <cell r="A59">
            <v>56</v>
          </cell>
          <cell r="B59">
            <v>187.60000000000002</v>
          </cell>
          <cell r="C59">
            <v>3.3500000000000005</v>
          </cell>
          <cell r="D59">
            <v>1.9107142857142858</v>
          </cell>
          <cell r="E59">
            <v>0.39285714285714285</v>
          </cell>
          <cell r="F59">
            <v>0.30357142857142855</v>
          </cell>
          <cell r="G59">
            <v>0.30905077262693159</v>
          </cell>
          <cell r="H59">
            <v>0.15231788079470199</v>
          </cell>
          <cell r="I59">
            <v>8685.7142857142862</v>
          </cell>
          <cell r="J59">
            <v>-7991.304347826087</v>
          </cell>
          <cell r="K59">
            <v>0.16071428571428573</v>
          </cell>
          <cell r="L59">
            <v>0.125</v>
          </cell>
          <cell r="M59">
            <v>0.27593818984547464</v>
          </cell>
          <cell r="N59">
            <v>0.18543046357615894</v>
          </cell>
          <cell r="O59">
            <v>0.68</v>
          </cell>
          <cell r="P59">
            <v>0.38095238095238093</v>
          </cell>
          <cell r="Q59">
            <v>0.42142857142857143</v>
          </cell>
        </row>
        <row r="60">
          <cell r="A60">
            <v>57</v>
          </cell>
          <cell r="B60">
            <v>255.50000000000003</v>
          </cell>
          <cell r="C60">
            <v>4.4824561403508776</v>
          </cell>
          <cell r="D60">
            <v>1.8947368421052631</v>
          </cell>
          <cell r="E60">
            <v>0.40350877192982454</v>
          </cell>
          <cell r="F60">
            <v>0.2982456140350877</v>
          </cell>
          <cell r="G60">
            <v>0.31372549019607843</v>
          </cell>
          <cell r="H60">
            <v>0.15032679738562091</v>
          </cell>
          <cell r="I60">
            <v>8768.75</v>
          </cell>
          <cell r="J60">
            <v>-7991.304347826087</v>
          </cell>
          <cell r="K60">
            <v>0.15789473684210525</v>
          </cell>
          <cell r="L60">
            <v>0.14035087719298245</v>
          </cell>
          <cell r="M60">
            <v>0.27886710239651419</v>
          </cell>
          <cell r="N60">
            <v>0.18736383442265794</v>
          </cell>
          <cell r="O60">
            <v>0.6875</v>
          </cell>
          <cell r="P60">
            <v>0.38372093023255816</v>
          </cell>
          <cell r="Q60">
            <v>0.43055555555555558</v>
          </cell>
        </row>
        <row r="61">
          <cell r="A61">
            <v>58</v>
          </cell>
          <cell r="B61">
            <v>244.60000000000002</v>
          </cell>
          <cell r="C61">
            <v>4.2172413793103454</v>
          </cell>
          <cell r="D61">
            <v>1.896551724137931</v>
          </cell>
          <cell r="E61">
            <v>0.39655172413793105</v>
          </cell>
          <cell r="F61">
            <v>0.29310344827586204</v>
          </cell>
          <cell r="G61">
            <v>0.30916844349680173</v>
          </cell>
          <cell r="H61">
            <v>0.15351812366737741</v>
          </cell>
          <cell r="I61">
            <v>8762.0689655172409</v>
          </cell>
          <cell r="J61">
            <v>-7793.0555555555557</v>
          </cell>
          <cell r="K61">
            <v>0.15517241379310345</v>
          </cell>
          <cell r="L61">
            <v>0.13793103448275862</v>
          </cell>
          <cell r="M61">
            <v>0.28358208955223879</v>
          </cell>
          <cell r="N61">
            <v>0.18550106609808104</v>
          </cell>
          <cell r="O61">
            <v>0.66917293233082709</v>
          </cell>
          <cell r="P61">
            <v>0.37931034482758619</v>
          </cell>
          <cell r="Q61">
            <v>0.43448275862068964</v>
          </cell>
        </row>
        <row r="62">
          <cell r="A62">
            <v>59</v>
          </cell>
          <cell r="B62">
            <v>295</v>
          </cell>
          <cell r="C62">
            <v>5</v>
          </cell>
          <cell r="D62">
            <v>1.8813559322033899</v>
          </cell>
          <cell r="E62">
            <v>0.40677966101694918</v>
          </cell>
          <cell r="F62">
            <v>0.28813559322033899</v>
          </cell>
          <cell r="G62">
            <v>0.30721649484536084</v>
          </cell>
          <cell r="H62">
            <v>0.15257731958762888</v>
          </cell>
          <cell r="I62">
            <v>8833.5570469798658</v>
          </cell>
          <cell r="J62">
            <v>-7635.135135135135</v>
          </cell>
          <cell r="K62">
            <v>0.15254237288135594</v>
          </cell>
          <cell r="L62">
            <v>0.13559322033898305</v>
          </cell>
          <cell r="M62">
            <v>0.2907216494845361</v>
          </cell>
          <cell r="N62">
            <v>0.18144329896907216</v>
          </cell>
          <cell r="O62">
            <v>0.65957446808510634</v>
          </cell>
          <cell r="P62">
            <v>0.375</v>
          </cell>
          <cell r="Q62">
            <v>0.44295302013422821</v>
          </cell>
        </row>
        <row r="63">
          <cell r="A63">
            <v>60</v>
          </cell>
          <cell r="B63">
            <v>359.4</v>
          </cell>
          <cell r="C63">
            <v>5.9899999999999993</v>
          </cell>
          <cell r="D63">
            <v>1.8666666666666667</v>
          </cell>
          <cell r="E63">
            <v>0.41666666666666669</v>
          </cell>
          <cell r="F63">
            <v>0.28333333333333333</v>
          </cell>
          <cell r="G63">
            <v>0.30894308943089432</v>
          </cell>
          <cell r="H63">
            <v>0.15040650406504066</v>
          </cell>
          <cell r="I63">
            <v>8948.0263157894733</v>
          </cell>
          <cell r="J63">
            <v>-7635.135135135135</v>
          </cell>
          <cell r="K63">
            <v>0.15</v>
          </cell>
          <cell r="L63">
            <v>0.15</v>
          </cell>
          <cell r="M63">
            <v>0.29065040650406504</v>
          </cell>
          <cell r="N63">
            <v>0.17886178861788618</v>
          </cell>
          <cell r="O63">
            <v>0.65734265734265729</v>
          </cell>
          <cell r="P63">
            <v>0.375</v>
          </cell>
          <cell r="Q63">
            <v>0.44736842105263158</v>
          </cell>
        </row>
        <row r="64">
          <cell r="A64">
            <v>61</v>
          </cell>
          <cell r="B64">
            <v>347.5</v>
          </cell>
          <cell r="C64">
            <v>5.6967213114754101</v>
          </cell>
          <cell r="D64">
            <v>1.8688524590163935</v>
          </cell>
          <cell r="E64">
            <v>0.4098360655737705</v>
          </cell>
          <cell r="F64">
            <v>0.27868852459016391</v>
          </cell>
          <cell r="G64">
            <v>0.30645161290322581</v>
          </cell>
          <cell r="H64">
            <v>0.14919354838709678</v>
          </cell>
          <cell r="I64">
            <v>8948.0263157894733</v>
          </cell>
          <cell r="J64">
            <v>-7635.135135135135</v>
          </cell>
          <cell r="K64">
            <v>0.14754098360655737</v>
          </cell>
          <cell r="L64">
            <v>0.14754098360655737</v>
          </cell>
          <cell r="M64">
            <v>0.29032258064516131</v>
          </cell>
          <cell r="N64">
            <v>0.18145161290322581</v>
          </cell>
          <cell r="O64">
            <v>0.65277777777777779</v>
          </cell>
          <cell r="P64">
            <v>0.36666666666666664</v>
          </cell>
          <cell r="Q64">
            <v>0.44736842105263158</v>
          </cell>
        </row>
        <row r="65">
          <cell r="A65">
            <v>62</v>
          </cell>
          <cell r="B65">
            <v>345.6</v>
          </cell>
          <cell r="C65">
            <v>5.5741935483870968</v>
          </cell>
          <cell r="D65">
            <v>1.8709677419354838</v>
          </cell>
          <cell r="E65">
            <v>0.40322580645161288</v>
          </cell>
          <cell r="F65">
            <v>0.27419354838709675</v>
          </cell>
          <cell r="G65">
            <v>0.3061630218687873</v>
          </cell>
          <cell r="H65">
            <v>0.14910536779324055</v>
          </cell>
          <cell r="I65">
            <v>8912.9870129870123</v>
          </cell>
          <cell r="J65">
            <v>-7568</v>
          </cell>
          <cell r="K65">
            <v>0.14516129032258066</v>
          </cell>
          <cell r="L65">
            <v>0.14516129032258066</v>
          </cell>
          <cell r="M65">
            <v>0.2922465208747515</v>
          </cell>
          <cell r="N65">
            <v>0.17892644135188868</v>
          </cell>
          <cell r="O65">
            <v>0.65306122448979587</v>
          </cell>
          <cell r="P65">
            <v>0.36666666666666664</v>
          </cell>
          <cell r="Q65">
            <v>0.44805194805194803</v>
          </cell>
        </row>
        <row r="66">
          <cell r="A66">
            <v>63</v>
          </cell>
          <cell r="B66">
            <v>287.60000000000002</v>
          </cell>
          <cell r="C66">
            <v>4.5650793650793657</v>
          </cell>
          <cell r="D66">
            <v>1.8888888888888888</v>
          </cell>
          <cell r="E66">
            <v>0.3968253968253968</v>
          </cell>
          <cell r="F66">
            <v>0.2857142857142857</v>
          </cell>
          <cell r="G66">
            <v>0.30078125</v>
          </cell>
          <cell r="H66">
            <v>0.1484375</v>
          </cell>
          <cell r="I66">
            <v>8912.9870129870123</v>
          </cell>
          <cell r="J66">
            <v>-7626.3157894736842</v>
          </cell>
          <cell r="K66">
            <v>0.15873015873015872</v>
          </cell>
          <cell r="L66">
            <v>0.14285714285714285</v>
          </cell>
          <cell r="M66">
            <v>0.29296875</v>
          </cell>
          <cell r="N66">
            <v>0.177734375</v>
          </cell>
          <cell r="O66">
            <v>0.64</v>
          </cell>
          <cell r="P66">
            <v>0.36263736263736263</v>
          </cell>
          <cell r="Q66">
            <v>0.44805194805194803</v>
          </cell>
        </row>
        <row r="67">
          <cell r="A67">
            <v>64</v>
          </cell>
          <cell r="B67">
            <v>323.60000000000002</v>
          </cell>
          <cell r="C67">
            <v>5.0562500000000004</v>
          </cell>
          <cell r="D67">
            <v>1.875</v>
          </cell>
          <cell r="E67">
            <v>0.40625</v>
          </cell>
          <cell r="F67">
            <v>0.28125</v>
          </cell>
          <cell r="G67">
            <v>0.30250481695568399</v>
          </cell>
          <cell r="H67">
            <v>0.14836223506743737</v>
          </cell>
          <cell r="I67">
            <v>8923.5668789808915</v>
          </cell>
          <cell r="J67">
            <v>-7553.2467532467535</v>
          </cell>
          <cell r="K67">
            <v>0.15625</v>
          </cell>
          <cell r="L67">
            <v>0.140625</v>
          </cell>
          <cell r="M67">
            <v>0.2947976878612717</v>
          </cell>
          <cell r="N67">
            <v>0.17533718689788053</v>
          </cell>
          <cell r="O67">
            <v>0.64052287581699341</v>
          </cell>
          <cell r="P67">
            <v>0.36263736263736263</v>
          </cell>
          <cell r="Q67">
            <v>0.45222929936305734</v>
          </cell>
        </row>
        <row r="68">
          <cell r="A68">
            <v>65</v>
          </cell>
          <cell r="B68">
            <v>328.6</v>
          </cell>
          <cell r="C68">
            <v>5.0553846153846154</v>
          </cell>
          <cell r="D68">
            <v>1.8769230769230769</v>
          </cell>
          <cell r="E68">
            <v>0.4</v>
          </cell>
          <cell r="F68">
            <v>0.27692307692307694</v>
          </cell>
          <cell r="G68">
            <v>0.30285714285714288</v>
          </cell>
          <cell r="H68">
            <v>0.15047619047619049</v>
          </cell>
          <cell r="I68">
            <v>8937.1069182389929</v>
          </cell>
          <cell r="J68">
            <v>-7539.2405063291135</v>
          </cell>
          <cell r="K68">
            <v>0.15384615384615385</v>
          </cell>
          <cell r="L68">
            <v>0.13846153846153847</v>
          </cell>
          <cell r="M68">
            <v>0.29523809523809524</v>
          </cell>
          <cell r="N68">
            <v>0.17714285714285713</v>
          </cell>
          <cell r="O68">
            <v>0.64516129032258063</v>
          </cell>
          <cell r="P68">
            <v>0.35483870967741937</v>
          </cell>
          <cell r="Q68">
            <v>0.44654088050314467</v>
          </cell>
        </row>
        <row r="69">
          <cell r="A69">
            <v>66</v>
          </cell>
          <cell r="B69">
            <v>307</v>
          </cell>
          <cell r="C69">
            <v>4.6515151515151514</v>
          </cell>
          <cell r="D69">
            <v>1.8787878787878789</v>
          </cell>
          <cell r="E69">
            <v>0.39393939393939392</v>
          </cell>
          <cell r="F69">
            <v>0.27272727272727271</v>
          </cell>
          <cell r="G69">
            <v>0.29906542056074764</v>
          </cell>
          <cell r="H69">
            <v>0.15140186915887852</v>
          </cell>
          <cell r="I69">
            <v>8905.625</v>
          </cell>
          <cell r="J69">
            <v>-7460.4938271604942</v>
          </cell>
          <cell r="K69">
            <v>0.15151515151515152</v>
          </cell>
          <cell r="L69">
            <v>0.13636363636363635</v>
          </cell>
          <cell r="M69">
            <v>0.29158878504672897</v>
          </cell>
          <cell r="N69">
            <v>0.18130841121495328</v>
          </cell>
          <cell r="O69">
            <v>0.64102564102564108</v>
          </cell>
          <cell r="P69">
            <v>0.35051546391752575</v>
          </cell>
          <cell r="Q69">
            <v>0.44374999999999998</v>
          </cell>
        </row>
        <row r="70">
          <cell r="A70">
            <v>67</v>
          </cell>
          <cell r="B70">
            <v>274.10000000000002</v>
          </cell>
          <cell r="C70">
            <v>4.0910447761194035</v>
          </cell>
          <cell r="D70">
            <v>1.8955223880597014</v>
          </cell>
          <cell r="E70">
            <v>0.38805970149253732</v>
          </cell>
          <cell r="F70">
            <v>0.28358208955223879</v>
          </cell>
          <cell r="G70">
            <v>0.29520295202952029</v>
          </cell>
          <cell r="H70">
            <v>0.15313653136531366</v>
          </cell>
          <cell r="I70">
            <v>8905.625</v>
          </cell>
          <cell r="J70">
            <v>-7336.1445783132531</v>
          </cell>
          <cell r="K70">
            <v>0.14925373134328357</v>
          </cell>
          <cell r="L70">
            <v>0.13432835820895522</v>
          </cell>
          <cell r="M70">
            <v>0.28966789667896681</v>
          </cell>
          <cell r="N70">
            <v>0.18265682656826568</v>
          </cell>
          <cell r="O70">
            <v>0.63694267515923564</v>
          </cell>
          <cell r="P70">
            <v>0.34343434343434343</v>
          </cell>
          <cell r="Q70">
            <v>0.44374999999999998</v>
          </cell>
        </row>
        <row r="71">
          <cell r="A71">
            <v>68</v>
          </cell>
          <cell r="B71">
            <v>285.40000000000003</v>
          </cell>
          <cell r="C71">
            <v>4.197058823529412</v>
          </cell>
          <cell r="D71">
            <v>1.8970588235294117</v>
          </cell>
          <cell r="E71">
            <v>0.38235294117647056</v>
          </cell>
          <cell r="F71">
            <v>0.27941176470588236</v>
          </cell>
          <cell r="G71">
            <v>0.29454545454545455</v>
          </cell>
          <cell r="H71">
            <v>0.15090909090909091</v>
          </cell>
          <cell r="I71">
            <v>8905.5555555555547</v>
          </cell>
          <cell r="J71">
            <v>-7336.1445783132531</v>
          </cell>
          <cell r="K71">
            <v>0.14705882352941177</v>
          </cell>
          <cell r="L71">
            <v>0.13235294117647059</v>
          </cell>
          <cell r="M71">
            <v>0.29090909090909089</v>
          </cell>
          <cell r="N71">
            <v>0.18181818181818182</v>
          </cell>
          <cell r="O71">
            <v>0.63749999999999996</v>
          </cell>
          <cell r="P71">
            <v>0.34</v>
          </cell>
          <cell r="Q71">
            <v>0.43827160493827161</v>
          </cell>
        </row>
        <row r="72">
          <cell r="A72">
            <v>69</v>
          </cell>
          <cell r="B72">
            <v>330.40000000000003</v>
          </cell>
          <cell r="C72">
            <v>4.7884057971014498</v>
          </cell>
          <cell r="D72">
            <v>1.8840579710144927</v>
          </cell>
          <cell r="E72">
            <v>0.39130434782608697</v>
          </cell>
          <cell r="F72">
            <v>0.27536231884057971</v>
          </cell>
          <cell r="G72">
            <v>0.29749103942652327</v>
          </cell>
          <cell r="H72">
            <v>0.14874551971326164</v>
          </cell>
          <cell r="I72">
            <v>8931.9277108433744</v>
          </cell>
          <cell r="J72">
            <v>-7336.1445783132531</v>
          </cell>
          <cell r="K72">
            <v>0.14492753623188406</v>
          </cell>
          <cell r="L72">
            <v>0.14492753623188406</v>
          </cell>
          <cell r="M72">
            <v>0.29569892473118281</v>
          </cell>
          <cell r="N72">
            <v>0.17921146953405018</v>
          </cell>
          <cell r="O72">
            <v>0.64242424242424245</v>
          </cell>
          <cell r="P72">
            <v>0.34</v>
          </cell>
          <cell r="Q72">
            <v>0.43975903614457829</v>
          </cell>
        </row>
        <row r="73">
          <cell r="A73">
            <v>70</v>
          </cell>
          <cell r="B73">
            <v>382.50000000000006</v>
          </cell>
          <cell r="C73">
            <v>5.4642857142857153</v>
          </cell>
          <cell r="D73">
            <v>1.8714285714285714</v>
          </cell>
          <cell r="E73">
            <v>0.4</v>
          </cell>
          <cell r="F73">
            <v>0.27142857142857141</v>
          </cell>
          <cell r="G73">
            <v>0.29720279720279719</v>
          </cell>
          <cell r="H73">
            <v>0.14685314685314685</v>
          </cell>
          <cell r="I73">
            <v>9014.1176470588234</v>
          </cell>
          <cell r="J73">
            <v>-7266.666666666667</v>
          </cell>
          <cell r="K73">
            <v>0.14285714285714285</v>
          </cell>
          <cell r="L73">
            <v>0.14285714285714285</v>
          </cell>
          <cell r="M73">
            <v>0.2937062937062937</v>
          </cell>
          <cell r="N73">
            <v>0.18356643356643357</v>
          </cell>
          <cell r="O73">
            <v>0.6428571428571429</v>
          </cell>
          <cell r="P73">
            <v>0.33333333333333331</v>
          </cell>
          <cell r="Q73">
            <v>0.44705882352941179</v>
          </cell>
        </row>
        <row r="74">
          <cell r="A74">
            <v>71</v>
          </cell>
          <cell r="B74">
            <v>350.40000000000003</v>
          </cell>
          <cell r="C74">
            <v>4.9352112676056343</v>
          </cell>
          <cell r="D74">
            <v>1.8873239436619718</v>
          </cell>
          <cell r="E74">
            <v>0.39436619718309857</v>
          </cell>
          <cell r="F74">
            <v>0.28169014084507044</v>
          </cell>
          <cell r="G74">
            <v>0.29776247848537007</v>
          </cell>
          <cell r="H74">
            <v>0.14802065404475043</v>
          </cell>
          <cell r="I74">
            <v>8984.9710982658962</v>
          </cell>
          <cell r="J74">
            <v>-7139.5348837209303</v>
          </cell>
          <cell r="K74">
            <v>0.14084507042253522</v>
          </cell>
          <cell r="L74">
            <v>0.14084507042253522</v>
          </cell>
          <cell r="M74">
            <v>0.29432013769363169</v>
          </cell>
          <cell r="N74">
            <v>0.18588640275387264</v>
          </cell>
          <cell r="O74">
            <v>0.63742690058479534</v>
          </cell>
          <cell r="P74">
            <v>0.34259259259259262</v>
          </cell>
          <cell r="Q74">
            <v>0.44508670520231214</v>
          </cell>
        </row>
        <row r="75">
          <cell r="A75">
            <v>72</v>
          </cell>
          <cell r="B75">
            <v>304.60000000000002</v>
          </cell>
          <cell r="C75">
            <v>4.2305555555555561</v>
          </cell>
          <cell r="D75">
            <v>1.9027777777777777</v>
          </cell>
          <cell r="E75">
            <v>0.3888888888888889</v>
          </cell>
          <cell r="F75">
            <v>0.29166666666666669</v>
          </cell>
          <cell r="G75">
            <v>0.29471890971039183</v>
          </cell>
          <cell r="H75">
            <v>0.14991482112436116</v>
          </cell>
          <cell r="I75">
            <v>8984.9710982658962</v>
          </cell>
          <cell r="J75">
            <v>-7112.5</v>
          </cell>
          <cell r="K75">
            <v>0.1388888888888889</v>
          </cell>
          <cell r="L75">
            <v>0.1388888888888889</v>
          </cell>
          <cell r="M75">
            <v>0.29131175468483816</v>
          </cell>
          <cell r="N75">
            <v>0.18568994889267462</v>
          </cell>
          <cell r="O75">
            <v>0.63742690058479534</v>
          </cell>
          <cell r="P75">
            <v>0.33944954128440369</v>
          </cell>
          <cell r="Q75">
            <v>0.44508670520231214</v>
          </cell>
        </row>
        <row r="76">
          <cell r="A76">
            <v>73</v>
          </cell>
          <cell r="B76">
            <v>275</v>
          </cell>
          <cell r="C76">
            <v>3.7671232876712328</v>
          </cell>
          <cell r="D76">
            <v>1.904109589041096</v>
          </cell>
          <cell r="E76">
            <v>0.38356164383561642</v>
          </cell>
          <cell r="F76">
            <v>0.28767123287671231</v>
          </cell>
          <cell r="G76">
            <v>0.29194630872483224</v>
          </cell>
          <cell r="H76">
            <v>0.1476510067114094</v>
          </cell>
          <cell r="I76">
            <v>8979.310344827587</v>
          </cell>
          <cell r="J76">
            <v>-7112.5</v>
          </cell>
          <cell r="K76">
            <v>0.13698630136986301</v>
          </cell>
          <cell r="L76">
            <v>0.13698630136986301</v>
          </cell>
          <cell r="M76">
            <v>0.29026845637583892</v>
          </cell>
          <cell r="N76">
            <v>0.18456375838926176</v>
          </cell>
          <cell r="O76">
            <v>0.63583815028901736</v>
          </cell>
          <cell r="P76">
            <v>0.33636363636363636</v>
          </cell>
          <cell r="Q76">
            <v>0.44252873563218392</v>
          </cell>
        </row>
        <row r="77">
          <cell r="A77">
            <v>74</v>
          </cell>
          <cell r="B77">
            <v>242.1</v>
          </cell>
          <cell r="C77">
            <v>3.2716216216216214</v>
          </cell>
          <cell r="D77">
            <v>1.9189189189189189</v>
          </cell>
          <cell r="E77">
            <v>0.3783783783783784</v>
          </cell>
          <cell r="F77">
            <v>0.29729729729729731</v>
          </cell>
          <cell r="G77">
            <v>0.28855721393034828</v>
          </cell>
          <cell r="H77">
            <v>0.14925373134328357</v>
          </cell>
          <cell r="I77">
            <v>8979.310344827587</v>
          </cell>
          <cell r="J77">
            <v>-7047.7777777777774</v>
          </cell>
          <cell r="K77">
            <v>0.13513513513513514</v>
          </cell>
          <cell r="L77">
            <v>0.13513513513513514</v>
          </cell>
          <cell r="M77">
            <v>0.29021558872305142</v>
          </cell>
          <cell r="N77">
            <v>0.18573797678275289</v>
          </cell>
          <cell r="O77">
            <v>0.62857142857142856</v>
          </cell>
          <cell r="P77">
            <v>0.33035714285714285</v>
          </cell>
          <cell r="Q77">
            <v>0.44252873563218392</v>
          </cell>
        </row>
        <row r="78">
          <cell r="A78">
            <v>75</v>
          </cell>
          <cell r="B78">
            <v>255.79999999999998</v>
          </cell>
          <cell r="C78">
            <v>3.4106666666666663</v>
          </cell>
          <cell r="D78">
            <v>1.92</v>
          </cell>
          <cell r="E78">
            <v>0.37333333333333335</v>
          </cell>
          <cell r="F78">
            <v>0.29333333333333333</v>
          </cell>
          <cell r="G78">
            <v>0.28852459016393445</v>
          </cell>
          <cell r="H78">
            <v>0.14754098360655737</v>
          </cell>
          <cell r="I78">
            <v>8982.954545454546</v>
          </cell>
          <cell r="J78">
            <v>-7047.7777777777774</v>
          </cell>
          <cell r="K78">
            <v>0.13333333333333333</v>
          </cell>
          <cell r="L78">
            <v>0.13333333333333333</v>
          </cell>
          <cell r="M78">
            <v>0.29180327868852457</v>
          </cell>
          <cell r="N78">
            <v>0.18360655737704917</v>
          </cell>
          <cell r="O78">
            <v>0.6292134831460674</v>
          </cell>
          <cell r="P78">
            <v>0.33035714285714285</v>
          </cell>
          <cell r="Q78">
            <v>0.4375</v>
          </cell>
        </row>
        <row r="79">
          <cell r="A79">
            <v>76</v>
          </cell>
          <cell r="B79">
            <v>198.29999999999998</v>
          </cell>
          <cell r="C79">
            <v>2.6092105263157892</v>
          </cell>
          <cell r="D79">
            <v>1.9342105263157894</v>
          </cell>
          <cell r="E79">
            <v>0.36842105263157893</v>
          </cell>
          <cell r="F79">
            <v>0.30263157894736842</v>
          </cell>
          <cell r="G79">
            <v>0.2861788617886179</v>
          </cell>
          <cell r="H79">
            <v>0.14959349593495935</v>
          </cell>
          <cell r="I79">
            <v>8982.954545454546</v>
          </cell>
          <cell r="J79">
            <v>-7155.434782608696</v>
          </cell>
          <cell r="K79">
            <v>0.14473684210526316</v>
          </cell>
          <cell r="L79">
            <v>0.13157894736842105</v>
          </cell>
          <cell r="M79">
            <v>0.2943089430894309</v>
          </cell>
          <cell r="N79">
            <v>0.1821138211382114</v>
          </cell>
          <cell r="O79">
            <v>0.61878453038674031</v>
          </cell>
          <cell r="P79">
            <v>0.33035714285714285</v>
          </cell>
          <cell r="Q79">
            <v>0.4375</v>
          </cell>
        </row>
        <row r="80">
          <cell r="A80">
            <v>77</v>
          </cell>
          <cell r="B80">
            <v>201.7</v>
          </cell>
          <cell r="C80">
            <v>2.6194805194805193</v>
          </cell>
          <cell r="D80">
            <v>1.9350649350649352</v>
          </cell>
          <cell r="E80">
            <v>0.36363636363636365</v>
          </cell>
          <cell r="F80">
            <v>0.29870129870129869</v>
          </cell>
          <cell r="G80">
            <v>0.2861736334405145</v>
          </cell>
          <cell r="H80">
            <v>0.14790996784565916</v>
          </cell>
          <cell r="I80">
            <v>8989.8876404494385</v>
          </cell>
          <cell r="J80">
            <v>-7155.434782608696</v>
          </cell>
          <cell r="K80">
            <v>0.14285714285714285</v>
          </cell>
          <cell r="L80">
            <v>0.12987012987012986</v>
          </cell>
          <cell r="M80">
            <v>0.297427652733119</v>
          </cell>
          <cell r="N80">
            <v>0.18006430868167203</v>
          </cell>
          <cell r="O80">
            <v>0.61621621621621625</v>
          </cell>
          <cell r="P80">
            <v>0.33035714285714285</v>
          </cell>
          <cell r="Q80">
            <v>0.43820224719101125</v>
          </cell>
        </row>
        <row r="81">
          <cell r="A81">
            <v>78</v>
          </cell>
          <cell r="B81">
            <v>193.39999999999998</v>
          </cell>
          <cell r="C81">
            <v>2.4794871794871791</v>
          </cell>
          <cell r="D81">
            <v>1.9358974358974359</v>
          </cell>
          <cell r="E81">
            <v>0.35897435897435898</v>
          </cell>
          <cell r="F81">
            <v>0.29487179487179488</v>
          </cell>
          <cell r="G81">
            <v>0.28459119496855345</v>
          </cell>
          <cell r="H81">
            <v>0.14622641509433962</v>
          </cell>
          <cell r="I81">
            <v>8916.5745856353587</v>
          </cell>
          <cell r="J81">
            <v>-7161.2903225806449</v>
          </cell>
          <cell r="K81">
            <v>0.14102564102564102</v>
          </cell>
          <cell r="L81">
            <v>0.12820512820512819</v>
          </cell>
          <cell r="M81">
            <v>0.29402515723270439</v>
          </cell>
          <cell r="N81">
            <v>0.17767295597484276</v>
          </cell>
          <cell r="O81">
            <v>0.60962566844919786</v>
          </cell>
          <cell r="P81">
            <v>0.33628318584070799</v>
          </cell>
          <cell r="Q81">
            <v>0.43646408839779005</v>
          </cell>
        </row>
        <row r="82">
          <cell r="A82">
            <v>79</v>
          </cell>
          <cell r="B82">
            <v>151.59999999999997</v>
          </cell>
          <cell r="C82">
            <v>1.9189873417721515</v>
          </cell>
          <cell r="D82">
            <v>1.9493670886075949</v>
          </cell>
          <cell r="E82">
            <v>0.35443037974683544</v>
          </cell>
          <cell r="F82">
            <v>0.30379746835443039</v>
          </cell>
          <cell r="G82">
            <v>0.28217054263565894</v>
          </cell>
          <cell r="H82">
            <v>0.14728682170542637</v>
          </cell>
          <cell r="I82">
            <v>8910.4395604395613</v>
          </cell>
          <cell r="J82">
            <v>-7164.2105263157891</v>
          </cell>
          <cell r="K82">
            <v>0.13924050632911392</v>
          </cell>
          <cell r="L82">
            <v>0.12658227848101267</v>
          </cell>
          <cell r="M82">
            <v>0.29457364341085274</v>
          </cell>
          <cell r="N82">
            <v>0.17674418604651163</v>
          </cell>
          <cell r="O82">
            <v>0.60526315789473684</v>
          </cell>
          <cell r="P82">
            <v>0.33333333333333331</v>
          </cell>
          <cell r="Q82">
            <v>0.43956043956043955</v>
          </cell>
        </row>
        <row r="83">
          <cell r="A83">
            <v>80</v>
          </cell>
          <cell r="B83">
            <v>154.19999999999996</v>
          </cell>
          <cell r="C83">
            <v>1.9274999999999995</v>
          </cell>
          <cell r="D83">
            <v>1.95</v>
          </cell>
          <cell r="E83">
            <v>0.35</v>
          </cell>
          <cell r="F83">
            <v>0.3</v>
          </cell>
          <cell r="G83">
            <v>0.28374233128834359</v>
          </cell>
          <cell r="H83">
            <v>0.14723926380368099</v>
          </cell>
          <cell r="I83">
            <v>8837.8378378378384</v>
          </cell>
          <cell r="J83">
            <v>-7110.416666666667</v>
          </cell>
          <cell r="K83">
            <v>0.13750000000000001</v>
          </cell>
          <cell r="L83">
            <v>0.125</v>
          </cell>
          <cell r="M83">
            <v>0.29754601226993865</v>
          </cell>
          <cell r="N83">
            <v>0.17484662576687116</v>
          </cell>
          <cell r="O83">
            <v>0.60309278350515461</v>
          </cell>
          <cell r="P83">
            <v>0.33333333333333331</v>
          </cell>
          <cell r="Q83">
            <v>0.43783783783783786</v>
          </cell>
        </row>
        <row r="84">
          <cell r="A84">
            <v>81</v>
          </cell>
          <cell r="B84">
            <v>216.19999999999996</v>
          </cell>
          <cell r="C84">
            <v>2.6691358024691354</v>
          </cell>
          <cell r="D84">
            <v>1.9382716049382716</v>
          </cell>
          <cell r="E84">
            <v>0.35802469135802467</v>
          </cell>
          <cell r="F84">
            <v>0.29629629629629628</v>
          </cell>
          <cell r="G84">
            <v>0.28657616892911009</v>
          </cell>
          <cell r="H84">
            <v>0.14630467571644043</v>
          </cell>
          <cell r="I84">
            <v>8883.6842105263149</v>
          </cell>
          <cell r="J84">
            <v>-7119.5876288659792</v>
          </cell>
          <cell r="K84">
            <v>0.13580246913580246</v>
          </cell>
          <cell r="L84">
            <v>0.13580246913580246</v>
          </cell>
          <cell r="M84">
            <v>0.29864253393665158</v>
          </cell>
          <cell r="N84">
            <v>0.17496229260935142</v>
          </cell>
          <cell r="O84">
            <v>0.61111111111111116</v>
          </cell>
          <cell r="P84">
            <v>0.33620689655172414</v>
          </cell>
          <cell r="Q84">
            <v>0.43157894736842106</v>
          </cell>
        </row>
        <row r="85">
          <cell r="A85">
            <v>82</v>
          </cell>
          <cell r="B85">
            <v>225.79999999999995</v>
          </cell>
          <cell r="C85">
            <v>2.7536585365853652</v>
          </cell>
          <cell r="D85">
            <v>1.9390243902439024</v>
          </cell>
          <cell r="E85">
            <v>0.35365853658536583</v>
          </cell>
          <cell r="F85">
            <v>0.29268292682926828</v>
          </cell>
          <cell r="G85">
            <v>0.28528974739970281</v>
          </cell>
          <cell r="H85">
            <v>0.14710252600297177</v>
          </cell>
          <cell r="I85">
            <v>8895.3125</v>
          </cell>
          <cell r="J85">
            <v>-7015.151515151515</v>
          </cell>
          <cell r="K85">
            <v>0.13414634146341464</v>
          </cell>
          <cell r="L85">
            <v>0.13414634146341464</v>
          </cell>
          <cell r="M85">
            <v>0.29569093610698366</v>
          </cell>
          <cell r="N85">
            <v>0.17533432392273401</v>
          </cell>
          <cell r="O85">
            <v>0.60804020100502509</v>
          </cell>
          <cell r="P85">
            <v>0.34745762711864409</v>
          </cell>
          <cell r="Q85">
            <v>0.42708333333333331</v>
          </cell>
        </row>
        <row r="86">
          <cell r="A86">
            <v>83</v>
          </cell>
          <cell r="B86">
            <v>167.49999999999994</v>
          </cell>
          <cell r="C86">
            <v>2.0180722891566258</v>
          </cell>
          <cell r="D86">
            <v>1.9518072289156627</v>
          </cell>
          <cell r="E86">
            <v>0.3493975903614458</v>
          </cell>
          <cell r="F86">
            <v>0.30120481927710846</v>
          </cell>
          <cell r="G86">
            <v>0.28193832599118945</v>
          </cell>
          <cell r="H86">
            <v>0.14831130690161526</v>
          </cell>
          <cell r="I86">
            <v>8895.3125</v>
          </cell>
          <cell r="J86">
            <v>-7092.0792079207922</v>
          </cell>
          <cell r="K86">
            <v>0.14457831325301204</v>
          </cell>
          <cell r="L86">
            <v>0.13253012048192772</v>
          </cell>
          <cell r="M86">
            <v>0.29368575624082233</v>
          </cell>
          <cell r="N86">
            <v>0.17474302496328928</v>
          </cell>
          <cell r="O86">
            <v>0.60499999999999998</v>
          </cell>
          <cell r="P86">
            <v>0.34453781512605042</v>
          </cell>
          <cell r="Q86">
            <v>0.42708333333333331</v>
          </cell>
        </row>
        <row r="87">
          <cell r="A87">
            <v>84</v>
          </cell>
          <cell r="B87">
            <v>131.69999999999993</v>
          </cell>
          <cell r="C87">
            <v>1.5678571428571419</v>
          </cell>
          <cell r="D87">
            <v>1.9642857142857142</v>
          </cell>
          <cell r="E87">
            <v>0.34523809523809523</v>
          </cell>
          <cell r="F87">
            <v>0.30952380952380953</v>
          </cell>
          <cell r="G87">
            <v>0.27971014492753621</v>
          </cell>
          <cell r="H87">
            <v>0.14927536231884059</v>
          </cell>
          <cell r="I87">
            <v>8861.6580310880836</v>
          </cell>
          <cell r="J87">
            <v>-7048.5436893203887</v>
          </cell>
          <cell r="K87">
            <v>0.14285714285714285</v>
          </cell>
          <cell r="L87">
            <v>0.13095238095238096</v>
          </cell>
          <cell r="M87">
            <v>0.28985507246376813</v>
          </cell>
          <cell r="N87">
            <v>0.17681159420289855</v>
          </cell>
          <cell r="O87">
            <v>0.60499999999999998</v>
          </cell>
          <cell r="P87">
            <v>0.33606557377049179</v>
          </cell>
          <cell r="Q87">
            <v>0.42487046632124353</v>
          </cell>
        </row>
        <row r="88">
          <cell r="A88">
            <v>85</v>
          </cell>
          <cell r="B88">
            <v>103.19999999999993</v>
          </cell>
          <cell r="C88">
            <v>1.2141176470588226</v>
          </cell>
          <cell r="D88">
            <v>1.9764705882352942</v>
          </cell>
          <cell r="E88">
            <v>0.3411764705882353</v>
          </cell>
          <cell r="F88">
            <v>0.31764705882352939</v>
          </cell>
          <cell r="G88">
            <v>0.27873563218390807</v>
          </cell>
          <cell r="H88">
            <v>0.14942528735632185</v>
          </cell>
          <cell r="I88">
            <v>8855.6701030927834</v>
          </cell>
          <cell r="J88">
            <v>-7030.7692307692305</v>
          </cell>
          <cell r="K88">
            <v>0.14117647058823529</v>
          </cell>
          <cell r="L88">
            <v>0.12941176470588237</v>
          </cell>
          <cell r="M88">
            <v>0.28879310344827586</v>
          </cell>
          <cell r="N88">
            <v>0.17816091954022989</v>
          </cell>
          <cell r="O88">
            <v>0.60199004975124382</v>
          </cell>
          <cell r="P88">
            <v>0.33870967741935482</v>
          </cell>
          <cell r="Q88">
            <v>0.42268041237113402</v>
          </cell>
        </row>
        <row r="89">
          <cell r="A89">
            <v>86</v>
          </cell>
          <cell r="B89">
            <v>69.899999999999935</v>
          </cell>
          <cell r="C89">
            <v>0.81279069767441781</v>
          </cell>
          <cell r="D89">
            <v>1.9883720930232558</v>
          </cell>
          <cell r="E89">
            <v>0.33720930232558138</v>
          </cell>
          <cell r="F89">
            <v>0.32558139534883723</v>
          </cell>
          <cell r="G89">
            <v>0.27620396600566571</v>
          </cell>
          <cell r="H89">
            <v>0.14730878186968838</v>
          </cell>
          <cell r="I89">
            <v>8892.3076923076915</v>
          </cell>
          <cell r="J89">
            <v>-7030.7692307692305</v>
          </cell>
          <cell r="K89">
            <v>0.13953488372093023</v>
          </cell>
          <cell r="L89">
            <v>0.12790697674418605</v>
          </cell>
          <cell r="M89">
            <v>0.28611898016997167</v>
          </cell>
          <cell r="N89">
            <v>0.17705382436260622</v>
          </cell>
          <cell r="O89">
            <v>0.60396039603960394</v>
          </cell>
          <cell r="P89">
            <v>0.33600000000000002</v>
          </cell>
          <cell r="Q89">
            <v>0.42051282051282052</v>
          </cell>
        </row>
        <row r="90">
          <cell r="A90">
            <v>87</v>
          </cell>
          <cell r="B90">
            <v>18.699999999999932</v>
          </cell>
          <cell r="C90">
            <v>0.21494252873563141</v>
          </cell>
          <cell r="D90">
            <v>2</v>
          </cell>
          <cell r="E90">
            <v>0.33333333333333331</v>
          </cell>
          <cell r="F90">
            <v>0.33333333333333331</v>
          </cell>
          <cell r="G90">
            <v>0.27489481065918653</v>
          </cell>
          <cell r="H90">
            <v>0.15007012622720897</v>
          </cell>
          <cell r="I90">
            <v>8861.224489795919</v>
          </cell>
          <cell r="J90">
            <v>-7076.6355140186915</v>
          </cell>
          <cell r="K90">
            <v>0.13793103448275862</v>
          </cell>
          <cell r="L90">
            <v>0.12643678160919541</v>
          </cell>
          <cell r="M90">
            <v>0.28611500701262271</v>
          </cell>
          <cell r="N90">
            <v>0.17671809256661991</v>
          </cell>
          <cell r="O90">
            <v>0.6029411764705882</v>
          </cell>
          <cell r="P90">
            <v>0.33333333333333331</v>
          </cell>
          <cell r="Q90">
            <v>0.42346938775510207</v>
          </cell>
        </row>
        <row r="91">
          <cell r="A91">
            <v>88</v>
          </cell>
          <cell r="B91">
            <v>-51.800000000000068</v>
          </cell>
          <cell r="C91">
            <v>-0.5886363636363644</v>
          </cell>
          <cell r="D91">
            <v>2.0113636363636362</v>
          </cell>
          <cell r="E91">
            <v>0.32954545454545453</v>
          </cell>
          <cell r="F91">
            <v>0.34090909090909088</v>
          </cell>
          <cell r="G91">
            <v>0.27323162274618584</v>
          </cell>
          <cell r="H91">
            <v>0.15117891816920942</v>
          </cell>
          <cell r="I91">
            <v>8845.6852791878173</v>
          </cell>
          <cell r="J91">
            <v>-7214.6788990825689</v>
          </cell>
          <cell r="K91">
            <v>0.14772727272727273</v>
          </cell>
          <cell r="L91">
            <v>0.125</v>
          </cell>
          <cell r="M91">
            <v>0.28294036061026351</v>
          </cell>
          <cell r="N91">
            <v>0.17891816920943135</v>
          </cell>
          <cell r="O91">
            <v>0.6029411764705882</v>
          </cell>
          <cell r="P91">
            <v>0.33333333333333331</v>
          </cell>
          <cell r="Q91">
            <v>0.42131979695431471</v>
          </cell>
        </row>
        <row r="92">
          <cell r="A92">
            <v>89</v>
          </cell>
          <cell r="B92">
            <v>-75.500000000000071</v>
          </cell>
          <cell r="C92">
            <v>-0.84831460674157388</v>
          </cell>
          <cell r="D92">
            <v>2.0224719101123596</v>
          </cell>
          <cell r="E92">
            <v>0.3258426966292135</v>
          </cell>
          <cell r="F92">
            <v>0.34831460674157305</v>
          </cell>
          <cell r="G92">
            <v>0.27235213204951858</v>
          </cell>
          <cell r="H92">
            <v>0.1499312242090784</v>
          </cell>
          <cell r="I92">
            <v>8841.4141414141413</v>
          </cell>
          <cell r="J92">
            <v>-7214.6788990825689</v>
          </cell>
          <cell r="K92">
            <v>0.14606741573033707</v>
          </cell>
          <cell r="L92">
            <v>0.12359550561797752</v>
          </cell>
          <cell r="M92">
            <v>0.28198074277854196</v>
          </cell>
          <cell r="N92">
            <v>0.17744154057771663</v>
          </cell>
          <cell r="O92">
            <v>0.60487804878048779</v>
          </cell>
          <cell r="P92">
            <v>0.33333333333333331</v>
          </cell>
          <cell r="Q92">
            <v>0.42424242424242425</v>
          </cell>
        </row>
        <row r="93">
          <cell r="A93">
            <v>90</v>
          </cell>
          <cell r="B93">
            <v>-66.500000000000071</v>
          </cell>
          <cell r="C93">
            <v>-0.73888888888888971</v>
          </cell>
          <cell r="D93">
            <v>2.0222222222222221</v>
          </cell>
          <cell r="E93">
            <v>0.32222222222222224</v>
          </cell>
          <cell r="F93">
            <v>0.34444444444444444</v>
          </cell>
          <cell r="G93">
            <v>0.27309782608695654</v>
          </cell>
          <cell r="H93">
            <v>0.15081521739130435</v>
          </cell>
          <cell r="I93">
            <v>8868.6567164179105</v>
          </cell>
          <cell r="J93">
            <v>-7185.5855855855852</v>
          </cell>
          <cell r="K93">
            <v>0.14444444444444443</v>
          </cell>
          <cell r="L93">
            <v>0.12222222222222222</v>
          </cell>
          <cell r="M93">
            <v>0.27989130434782611</v>
          </cell>
          <cell r="N93">
            <v>0.18070652173913043</v>
          </cell>
          <cell r="O93">
            <v>0.60679611650485432</v>
          </cell>
          <cell r="P93">
            <v>0.33834586466165412</v>
          </cell>
          <cell r="Q93">
            <v>0.42786069651741293</v>
          </cell>
        </row>
        <row r="94">
          <cell r="A94">
            <v>91</v>
          </cell>
          <cell r="B94">
            <v>-39.600000000000072</v>
          </cell>
          <cell r="C94">
            <v>-0.43516483516483595</v>
          </cell>
          <cell r="D94">
            <v>2.0109890109890109</v>
          </cell>
          <cell r="E94">
            <v>0.32967032967032966</v>
          </cell>
          <cell r="F94">
            <v>0.34065934065934067</v>
          </cell>
          <cell r="G94">
            <v>0.2767379679144385</v>
          </cell>
          <cell r="H94">
            <v>0.15240641711229946</v>
          </cell>
          <cell r="I94">
            <v>8809.6618357487914</v>
          </cell>
          <cell r="J94">
            <v>-7247.3684210526317</v>
          </cell>
          <cell r="K94">
            <v>0.14285714285714285</v>
          </cell>
          <cell r="L94">
            <v>0.12087912087912088</v>
          </cell>
          <cell r="M94">
            <v>0.28074866310160429</v>
          </cell>
          <cell r="N94">
            <v>0.18449197860962566</v>
          </cell>
          <cell r="O94">
            <v>0.61428571428571432</v>
          </cell>
          <cell r="P94">
            <v>0.34057971014492755</v>
          </cell>
          <cell r="Q94">
            <v>0.43961352657004832</v>
          </cell>
        </row>
        <row r="95">
          <cell r="A95">
            <v>92</v>
          </cell>
          <cell r="B95">
            <v>-0.7000000000000739</v>
          </cell>
          <cell r="C95">
            <v>-7.6086956521747165E-3</v>
          </cell>
          <cell r="D95">
            <v>2</v>
          </cell>
          <cell r="E95">
            <v>0.33695652173913043</v>
          </cell>
          <cell r="F95">
            <v>0.33695652173913043</v>
          </cell>
          <cell r="G95">
            <v>0.27777777777777779</v>
          </cell>
          <cell r="H95">
            <v>0.15079365079365079</v>
          </cell>
          <cell r="I95">
            <v>8806.1904761904771</v>
          </cell>
          <cell r="J95">
            <v>-7247.3684210526317</v>
          </cell>
          <cell r="K95">
            <v>0.14130434782608695</v>
          </cell>
          <cell r="L95">
            <v>0.11956521739130435</v>
          </cell>
          <cell r="M95">
            <v>0.28042328042328041</v>
          </cell>
          <cell r="N95">
            <v>0.18386243386243387</v>
          </cell>
          <cell r="O95">
            <v>0.61792452830188682</v>
          </cell>
          <cell r="P95">
            <v>0.33812949640287771</v>
          </cell>
          <cell r="Q95">
            <v>0.44761904761904764</v>
          </cell>
        </row>
        <row r="96">
          <cell r="A96">
            <v>93</v>
          </cell>
          <cell r="B96">
            <v>29.599999999999927</v>
          </cell>
          <cell r="C96">
            <v>0.31827956989247236</v>
          </cell>
          <cell r="D96">
            <v>1.989247311827957</v>
          </cell>
          <cell r="E96">
            <v>0.34408602150537637</v>
          </cell>
          <cell r="F96">
            <v>0.33333333333333331</v>
          </cell>
          <cell r="G96">
            <v>0.27748691099476441</v>
          </cell>
          <cell r="H96">
            <v>0.15052356020942409</v>
          </cell>
          <cell r="I96">
            <v>8836.3207547169804</v>
          </cell>
          <cell r="J96">
            <v>-7251.304347826087</v>
          </cell>
          <cell r="K96">
            <v>0.13978494623655913</v>
          </cell>
          <cell r="L96">
            <v>0.11827956989247312</v>
          </cell>
          <cell r="M96">
            <v>0.281413612565445</v>
          </cell>
          <cell r="N96">
            <v>0.18324607329842932</v>
          </cell>
          <cell r="O96">
            <v>0.61395348837209307</v>
          </cell>
          <cell r="P96">
            <v>0.33571428571428569</v>
          </cell>
          <cell r="Q96">
            <v>0.44811320754716982</v>
          </cell>
        </row>
        <row r="97">
          <cell r="A97">
            <v>94</v>
          </cell>
          <cell r="B97">
            <v>57.299999999999926</v>
          </cell>
          <cell r="C97">
            <v>0.60957446808510563</v>
          </cell>
          <cell r="D97">
            <v>1.9787234042553192</v>
          </cell>
          <cell r="E97">
            <v>0.35106382978723405</v>
          </cell>
          <cell r="F97">
            <v>0.32978723404255317</v>
          </cell>
          <cell r="G97">
            <v>0.2779220779220779</v>
          </cell>
          <cell r="H97">
            <v>0.15064935064935064</v>
          </cell>
          <cell r="I97">
            <v>8841.5887850467298</v>
          </cell>
          <cell r="J97">
            <v>-7257.7586206896549</v>
          </cell>
          <cell r="K97">
            <v>0.13829787234042554</v>
          </cell>
          <cell r="L97">
            <v>0.11702127659574468</v>
          </cell>
          <cell r="M97">
            <v>0.2818181818181818</v>
          </cell>
          <cell r="N97">
            <v>0.18311688311688312</v>
          </cell>
          <cell r="O97">
            <v>0.61290322580645162</v>
          </cell>
          <cell r="P97">
            <v>0.34042553191489361</v>
          </cell>
          <cell r="Q97">
            <v>0.45327102803738317</v>
          </cell>
        </row>
        <row r="98">
          <cell r="A98">
            <v>95</v>
          </cell>
          <cell r="B98">
            <v>47.299999999999926</v>
          </cell>
          <cell r="C98">
            <v>0.4978947368421045</v>
          </cell>
          <cell r="D98">
            <v>1.9789473684210526</v>
          </cell>
          <cell r="E98">
            <v>0.3473684210526316</v>
          </cell>
          <cell r="F98">
            <v>0.32631578947368423</v>
          </cell>
          <cell r="G98">
            <v>0.27684346701164297</v>
          </cell>
          <cell r="H98">
            <v>0.1500646830530401</v>
          </cell>
          <cell r="I98">
            <v>8841.5887850467298</v>
          </cell>
          <cell r="J98">
            <v>-7257.7586206896549</v>
          </cell>
          <cell r="K98">
            <v>0.1368421052631579</v>
          </cell>
          <cell r="L98">
            <v>0.11578947368421053</v>
          </cell>
          <cell r="M98">
            <v>0.28072445019404918</v>
          </cell>
          <cell r="N98">
            <v>0.18240620957309184</v>
          </cell>
          <cell r="O98">
            <v>0.61290322580645162</v>
          </cell>
          <cell r="P98">
            <v>0.34042553191489361</v>
          </cell>
          <cell r="Q98">
            <v>0.45327102803738317</v>
          </cell>
        </row>
        <row r="99">
          <cell r="A99">
            <v>96</v>
          </cell>
          <cell r="B99">
            <v>48.899999999999928</v>
          </cell>
          <cell r="C99">
            <v>0.50937499999999925</v>
          </cell>
          <cell r="D99">
            <v>1.9791666666666667</v>
          </cell>
          <cell r="E99">
            <v>0.34375</v>
          </cell>
          <cell r="F99">
            <v>0.32291666666666669</v>
          </cell>
          <cell r="G99">
            <v>0.27458492975734355</v>
          </cell>
          <cell r="H99">
            <v>0.14942528735632185</v>
          </cell>
          <cell r="I99">
            <v>8874.8837209302328</v>
          </cell>
          <cell r="J99">
            <v>-7229.0598290598291</v>
          </cell>
          <cell r="K99">
            <v>0.13541666666666666</v>
          </cell>
          <cell r="L99">
            <v>0.11458333333333333</v>
          </cell>
          <cell r="M99">
            <v>0.27713920817369092</v>
          </cell>
          <cell r="N99">
            <v>0.18135376756066413</v>
          </cell>
          <cell r="O99">
            <v>0.61290322580645162</v>
          </cell>
          <cell r="P99">
            <v>0.3380281690140845</v>
          </cell>
          <cell r="Q99">
            <v>0.45581395348837211</v>
          </cell>
        </row>
        <row r="100">
          <cell r="A100">
            <v>97</v>
          </cell>
          <cell r="B100">
            <v>19.799999999999926</v>
          </cell>
          <cell r="C100">
            <v>0.20412371134020543</v>
          </cell>
          <cell r="D100">
            <v>1.9896907216494846</v>
          </cell>
          <cell r="E100">
            <v>0.34020618556701032</v>
          </cell>
          <cell r="F100">
            <v>0.32989690721649484</v>
          </cell>
          <cell r="G100">
            <v>0.27490542244640603</v>
          </cell>
          <cell r="H100">
            <v>0.15006305170239598</v>
          </cell>
          <cell r="I100">
            <v>8802.2935779816507</v>
          </cell>
          <cell r="J100">
            <v>-7187.3949579831933</v>
          </cell>
          <cell r="K100">
            <v>0.13402061855670103</v>
          </cell>
          <cell r="L100">
            <v>0.1134020618556701</v>
          </cell>
          <cell r="M100">
            <v>0.27742749054224464</v>
          </cell>
          <cell r="N100">
            <v>0.1828499369482976</v>
          </cell>
          <cell r="O100">
            <v>0.60909090909090913</v>
          </cell>
          <cell r="P100">
            <v>0.33793103448275863</v>
          </cell>
          <cell r="Q100">
            <v>0.45871559633027525</v>
          </cell>
        </row>
        <row r="101">
          <cell r="A101">
            <v>98</v>
          </cell>
          <cell r="B101">
            <v>87.099999999999923</v>
          </cell>
          <cell r="C101">
            <v>0.88877551020408085</v>
          </cell>
          <cell r="D101">
            <v>1.9795918367346939</v>
          </cell>
          <cell r="E101">
            <v>0.34693877551020408</v>
          </cell>
          <cell r="F101">
            <v>0.32653061224489793</v>
          </cell>
          <cell r="G101">
            <v>0.27750000000000002</v>
          </cell>
          <cell r="H101">
            <v>0.15</v>
          </cell>
          <cell r="I101">
            <v>8856.7567567567567</v>
          </cell>
          <cell r="J101">
            <v>-7135.833333333333</v>
          </cell>
          <cell r="K101">
            <v>0.1326530612244898</v>
          </cell>
          <cell r="L101">
            <v>0.11224489795918367</v>
          </cell>
          <cell r="M101">
            <v>0.28000000000000003</v>
          </cell>
          <cell r="N101">
            <v>0.1825</v>
          </cell>
          <cell r="O101">
            <v>0.6116071428571429</v>
          </cell>
          <cell r="P101">
            <v>0.34246575342465752</v>
          </cell>
          <cell r="Q101">
            <v>0.45945945945945948</v>
          </cell>
        </row>
        <row r="102">
          <cell r="A102">
            <v>99</v>
          </cell>
          <cell r="B102">
            <v>119.29999999999993</v>
          </cell>
          <cell r="C102">
            <v>1.2050505050505043</v>
          </cell>
          <cell r="D102">
            <v>1.9696969696969697</v>
          </cell>
          <cell r="E102">
            <v>0.35353535353535354</v>
          </cell>
          <cell r="F102">
            <v>0.32323232323232326</v>
          </cell>
          <cell r="G102">
            <v>0.27935723114956734</v>
          </cell>
          <cell r="H102">
            <v>0.14956736711990112</v>
          </cell>
          <cell r="I102">
            <v>8835.3982300884963</v>
          </cell>
          <cell r="J102">
            <v>-7172.727272727273</v>
          </cell>
          <cell r="K102">
            <v>0.13131313131313133</v>
          </cell>
          <cell r="L102">
            <v>0.1111111111111111</v>
          </cell>
          <cell r="M102">
            <v>0.27812113720642767</v>
          </cell>
          <cell r="N102">
            <v>0.18665018541409148</v>
          </cell>
          <cell r="O102">
            <v>0.61333333333333329</v>
          </cell>
          <cell r="P102">
            <v>0.35099337748344372</v>
          </cell>
          <cell r="Q102">
            <v>0.45132743362831856</v>
          </cell>
        </row>
        <row r="103">
          <cell r="A103">
            <v>100</v>
          </cell>
          <cell r="B103">
            <v>115.59999999999992</v>
          </cell>
          <cell r="C103">
            <v>1.1559999999999993</v>
          </cell>
          <cell r="D103">
            <v>1.97</v>
          </cell>
          <cell r="E103">
            <v>0.35</v>
          </cell>
          <cell r="F103">
            <v>0.32</v>
          </cell>
          <cell r="G103">
            <v>0.27892813641900122</v>
          </cell>
          <cell r="H103">
            <v>0.15103532277710111</v>
          </cell>
          <cell r="I103">
            <v>8838.427947598253</v>
          </cell>
          <cell r="J103">
            <v>-7139.5161290322585</v>
          </cell>
          <cell r="K103">
            <v>0.13</v>
          </cell>
          <cell r="L103">
            <v>0.11</v>
          </cell>
          <cell r="M103">
            <v>0.27771010962241172</v>
          </cell>
          <cell r="N103">
            <v>0.18635809987819732</v>
          </cell>
          <cell r="O103">
            <v>0.61403508771929827</v>
          </cell>
          <cell r="P103">
            <v>0.34640522875816993</v>
          </cell>
          <cell r="Q103">
            <v>0.45851528384279477</v>
          </cell>
        </row>
        <row r="104">
          <cell r="A104">
            <v>101</v>
          </cell>
          <cell r="B104">
            <v>111.59999999999992</v>
          </cell>
          <cell r="C104">
            <v>1.1049504950495042</v>
          </cell>
          <cell r="D104">
            <v>1.9702970297029703</v>
          </cell>
          <cell r="E104">
            <v>0.34653465346534651</v>
          </cell>
          <cell r="F104">
            <v>0.31683168316831684</v>
          </cell>
          <cell r="G104">
            <v>0.27677496991576411</v>
          </cell>
          <cell r="H104">
            <v>0.15042117930204574</v>
          </cell>
          <cell r="I104">
            <v>8806.95652173913</v>
          </cell>
          <cell r="J104">
            <v>-7092.8</v>
          </cell>
          <cell r="K104">
            <v>0.12871287128712872</v>
          </cell>
          <cell r="L104">
            <v>0.10891089108910891</v>
          </cell>
          <cell r="M104">
            <v>0.27557160048134777</v>
          </cell>
          <cell r="N104">
            <v>0.18772563176895307</v>
          </cell>
          <cell r="O104">
            <v>0.611353711790393</v>
          </cell>
          <cell r="P104">
            <v>0.34615384615384615</v>
          </cell>
          <cell r="Q104">
            <v>0.46086956521739131</v>
          </cell>
        </row>
        <row r="105">
          <cell r="A105">
            <v>102</v>
          </cell>
          <cell r="B105">
            <v>112.49999999999993</v>
          </cell>
          <cell r="C105">
            <v>1.1029411764705876</v>
          </cell>
          <cell r="D105">
            <v>1.9705882352941178</v>
          </cell>
          <cell r="E105">
            <v>0.34313725490196079</v>
          </cell>
          <cell r="F105">
            <v>0.31372549019607843</v>
          </cell>
          <cell r="G105">
            <v>0.27824019024970276</v>
          </cell>
          <cell r="H105">
            <v>0.14982164090368608</v>
          </cell>
          <cell r="I105">
            <v>8729.9145299145293</v>
          </cell>
          <cell r="J105">
            <v>-7128.5714285714284</v>
          </cell>
          <cell r="K105">
            <v>0.12745098039215685</v>
          </cell>
          <cell r="L105">
            <v>0.10784313725490197</v>
          </cell>
          <cell r="M105">
            <v>0.27586206896551724</v>
          </cell>
          <cell r="N105">
            <v>0.18549346016646848</v>
          </cell>
          <cell r="O105">
            <v>0.61637931034482762</v>
          </cell>
          <cell r="P105">
            <v>0.34615384615384615</v>
          </cell>
          <cell r="Q105">
            <v>0.45726495726495725</v>
          </cell>
        </row>
        <row r="106">
          <cell r="A106">
            <v>103</v>
          </cell>
          <cell r="B106">
            <v>67.699999999999932</v>
          </cell>
          <cell r="C106">
            <v>0.65728155339805761</v>
          </cell>
          <cell r="D106">
            <v>1.9805825242718447</v>
          </cell>
          <cell r="E106">
            <v>0.33980582524271846</v>
          </cell>
          <cell r="F106">
            <v>0.32038834951456313</v>
          </cell>
          <cell r="G106">
            <v>0.2752941176470588</v>
          </cell>
          <cell r="H106">
            <v>0.14941176470588236</v>
          </cell>
          <cell r="I106">
            <v>8729.9145299145293</v>
          </cell>
          <cell r="J106">
            <v>-7113.3858267716532</v>
          </cell>
          <cell r="K106">
            <v>0.12621359223300971</v>
          </cell>
          <cell r="L106">
            <v>0.10679611650485436</v>
          </cell>
          <cell r="M106">
            <v>0.27294117647058824</v>
          </cell>
          <cell r="N106">
            <v>0.18588235294117647</v>
          </cell>
          <cell r="O106">
            <v>0.61637931034482762</v>
          </cell>
          <cell r="P106">
            <v>0.34177215189873417</v>
          </cell>
          <cell r="Q106">
            <v>0.45726495726495725</v>
          </cell>
        </row>
      </sheetData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3" bestFit="1" customWidth="1"/>
    <col min="6" max="6" width="11" style="10" bestFit="1" customWidth="1"/>
    <col min="7" max="8" width="9" style="1" customWidth="1"/>
    <col min="9" max="9" width="9" style="29" customWidth="1"/>
    <col min="10" max="10" width="3.625" style="1" customWidth="1"/>
    <col min="11" max="11" width="3.5" style="5" customWidth="1"/>
    <col min="12" max="12" width="9" style="95" customWidth="1"/>
    <col min="13" max="13" width="3.625" style="1" customWidth="1"/>
    <col min="14" max="14" width="9" style="110" customWidth="1"/>
    <col min="15" max="15" width="9" style="120" customWidth="1"/>
    <col min="16" max="16" width="9" style="114" customWidth="1"/>
    <col min="17" max="17" width="3.625" style="102" customWidth="1"/>
    <col min="18" max="16384" width="9" style="1"/>
  </cols>
  <sheetData>
    <row r="1" spans="1:17" x14ac:dyDescent="0.4">
      <c r="A1" s="19" t="s">
        <v>0</v>
      </c>
      <c r="B1" s="141"/>
      <c r="C1" s="142"/>
      <c r="E1" s="124" t="s">
        <v>154</v>
      </c>
      <c r="F1" s="132" t="s">
        <v>108</v>
      </c>
      <c r="G1" s="131" t="s">
        <v>109</v>
      </c>
      <c r="H1" s="125" t="s">
        <v>110</v>
      </c>
      <c r="I1" s="132" t="s">
        <v>142</v>
      </c>
      <c r="K1" s="2" t="s">
        <v>20</v>
      </c>
      <c r="L1" s="31" t="s">
        <v>113</v>
      </c>
      <c r="M1" s="126"/>
      <c r="N1" s="108" t="s">
        <v>126</v>
      </c>
      <c r="O1" s="30" t="s">
        <v>127</v>
      </c>
      <c r="P1" s="112" t="s">
        <v>109</v>
      </c>
      <c r="Q1" s="96" t="s">
        <v>147</v>
      </c>
    </row>
    <row r="2" spans="1:17" x14ac:dyDescent="0.4">
      <c r="A2" s="20" t="s">
        <v>9</v>
      </c>
      <c r="B2" s="143">
        <v>0</v>
      </c>
      <c r="C2" s="144"/>
      <c r="E2" s="58" t="s">
        <v>61</v>
      </c>
      <c r="F2" s="55" t="s">
        <v>21</v>
      </c>
      <c r="G2" s="42">
        <v>0</v>
      </c>
      <c r="H2" s="127">
        <f>IF(B$19=0,0,G2/B$19)</f>
        <v>0</v>
      </c>
      <c r="I2" s="89"/>
      <c r="K2" s="3">
        <v>0</v>
      </c>
      <c r="L2" s="94">
        <v>0</v>
      </c>
      <c r="N2" s="109" t="s">
        <v>120</v>
      </c>
      <c r="O2" s="116">
        <f t="shared" ref="O2:O9" si="0">IF(P2=0,0,Q2/P2)</f>
        <v>0</v>
      </c>
      <c r="P2" s="113">
        <v>0</v>
      </c>
      <c r="Q2" s="97">
        <v>0</v>
      </c>
    </row>
    <row r="3" spans="1:17" x14ac:dyDescent="0.4">
      <c r="A3" s="21" t="s">
        <v>8</v>
      </c>
      <c r="B3" s="145">
        <v>0</v>
      </c>
      <c r="C3" s="146"/>
      <c r="E3" s="59" t="s">
        <v>62</v>
      </c>
      <c r="F3" s="56" t="s">
        <v>22</v>
      </c>
      <c r="G3" s="43">
        <v>0</v>
      </c>
      <c r="H3" s="128">
        <f>IF(B$19=0,0,G3/B$19)</f>
        <v>0</v>
      </c>
      <c r="I3" s="90"/>
      <c r="N3" s="110" t="s">
        <v>121</v>
      </c>
      <c r="O3" s="117">
        <f t="shared" si="0"/>
        <v>0</v>
      </c>
      <c r="P3" s="114">
        <v>0</v>
      </c>
      <c r="Q3" s="98">
        <v>0</v>
      </c>
    </row>
    <row r="4" spans="1:17" x14ac:dyDescent="0.4">
      <c r="A4" s="21" t="s">
        <v>6</v>
      </c>
      <c r="B4" s="147">
        <v>0</v>
      </c>
      <c r="C4" s="148"/>
      <c r="E4" s="59" t="s">
        <v>63</v>
      </c>
      <c r="F4" s="56" t="s">
        <v>23</v>
      </c>
      <c r="G4" s="43">
        <v>0</v>
      </c>
      <c r="H4" s="128">
        <f>IF(B$19=0,0,G4/B$19)</f>
        <v>0</v>
      </c>
      <c r="I4" s="90"/>
      <c r="N4" s="110" t="s">
        <v>122</v>
      </c>
      <c r="O4" s="117">
        <f t="shared" si="0"/>
        <v>0</v>
      </c>
      <c r="P4" s="114">
        <v>0</v>
      </c>
      <c r="Q4" s="98">
        <v>0</v>
      </c>
    </row>
    <row r="5" spans="1:17" x14ac:dyDescent="0.4">
      <c r="A5" s="21" t="s">
        <v>7</v>
      </c>
      <c r="B5" s="149">
        <f>IF(B$2=0,0,B$4/B$2)</f>
        <v>0</v>
      </c>
      <c r="C5" s="150"/>
      <c r="E5" s="59" t="s">
        <v>64</v>
      </c>
      <c r="F5" s="56" t="s">
        <v>24</v>
      </c>
      <c r="G5" s="43">
        <v>0</v>
      </c>
      <c r="H5" s="128">
        <f>IF(B$19=0,0,G5/B$19)</f>
        <v>0</v>
      </c>
      <c r="I5" s="90"/>
      <c r="N5" s="110" t="s">
        <v>166</v>
      </c>
      <c r="O5" s="117">
        <f t="shared" ref="O5" si="1">IF(P5=0,0,Q5/P5)</f>
        <v>0</v>
      </c>
      <c r="P5" s="114">
        <v>0</v>
      </c>
      <c r="Q5" s="98">
        <v>0</v>
      </c>
    </row>
    <row r="6" spans="1:17" x14ac:dyDescent="0.4">
      <c r="A6" s="21" t="s">
        <v>1</v>
      </c>
      <c r="B6" s="139">
        <f>IF(B$2=0,0,(B$7*1+B$8*2+B$9*3+B$10*4)/B$2)</f>
        <v>0</v>
      </c>
      <c r="C6" s="140"/>
      <c r="E6" s="59" t="s">
        <v>65</v>
      </c>
      <c r="F6" s="56" t="s">
        <v>12</v>
      </c>
      <c r="G6" s="43">
        <v>0</v>
      </c>
      <c r="H6" s="128">
        <f>IF(B$19=0,0,G6/B$19)</f>
        <v>0</v>
      </c>
      <c r="I6" s="90"/>
      <c r="N6" s="110" t="s">
        <v>123</v>
      </c>
      <c r="O6" s="117">
        <f t="shared" si="0"/>
        <v>0</v>
      </c>
      <c r="P6" s="114">
        <v>0</v>
      </c>
      <c r="Q6" s="98">
        <v>0</v>
      </c>
    </row>
    <row r="7" spans="1:17" x14ac:dyDescent="0.4">
      <c r="A7" s="21" t="s">
        <v>2</v>
      </c>
      <c r="B7" s="14">
        <v>0</v>
      </c>
      <c r="C7" s="6">
        <f>IF(B$2=0,0,B7/B$2)</f>
        <v>0</v>
      </c>
      <c r="E7" s="59" t="s">
        <v>66</v>
      </c>
      <c r="F7" s="56" t="s">
        <v>25</v>
      </c>
      <c r="G7" s="43">
        <v>0</v>
      </c>
      <c r="H7" s="128">
        <f>IF(B$19=0,0,G7/B$19)</f>
        <v>0</v>
      </c>
      <c r="I7" s="90"/>
      <c r="N7" s="110" t="s">
        <v>124</v>
      </c>
      <c r="O7" s="117">
        <f t="shared" si="0"/>
        <v>0</v>
      </c>
      <c r="P7" s="114">
        <v>0</v>
      </c>
      <c r="Q7" s="98">
        <v>0</v>
      </c>
    </row>
    <row r="8" spans="1:17" x14ac:dyDescent="0.4">
      <c r="A8" s="21" t="s">
        <v>3</v>
      </c>
      <c r="B8" s="14">
        <v>0</v>
      </c>
      <c r="C8" s="6">
        <f>IF(B$2=0,0,B8/B$2)</f>
        <v>0</v>
      </c>
      <c r="E8" s="59" t="s">
        <v>67</v>
      </c>
      <c r="F8" s="56" t="s">
        <v>26</v>
      </c>
      <c r="G8" s="43">
        <v>0</v>
      </c>
      <c r="H8" s="128">
        <f>IF(B$19=0,0,G8/B$19)</f>
        <v>0</v>
      </c>
      <c r="I8" s="90"/>
      <c r="N8" s="110" t="s">
        <v>125</v>
      </c>
      <c r="O8" s="117">
        <f t="shared" ref="O8" si="2">IF(P8=0,0,Q8/P8)</f>
        <v>0</v>
      </c>
      <c r="P8" s="114">
        <v>0</v>
      </c>
      <c r="Q8" s="98">
        <v>0</v>
      </c>
    </row>
    <row r="9" spans="1:17" x14ac:dyDescent="0.4">
      <c r="A9" s="22" t="s">
        <v>4</v>
      </c>
      <c r="B9" s="15">
        <v>0</v>
      </c>
      <c r="C9" s="7">
        <f t="shared" ref="C9:C11" si="3">IF(B$2=0,0,B9/B$2)</f>
        <v>0</v>
      </c>
      <c r="E9" s="59" t="s">
        <v>68</v>
      </c>
      <c r="F9" s="56" t="s">
        <v>27</v>
      </c>
      <c r="G9" s="43">
        <v>0</v>
      </c>
      <c r="H9" s="128">
        <f>IF(B$19=0,0,G9/B$19)</f>
        <v>0</v>
      </c>
      <c r="I9" s="90"/>
      <c r="N9" s="111" t="s">
        <v>165</v>
      </c>
      <c r="O9" s="118">
        <f t="shared" si="0"/>
        <v>0</v>
      </c>
      <c r="P9" s="115">
        <v>0</v>
      </c>
      <c r="Q9" s="99">
        <v>0</v>
      </c>
    </row>
    <row r="10" spans="1:17" x14ac:dyDescent="0.4">
      <c r="A10" s="52" t="s">
        <v>162</v>
      </c>
      <c r="B10" s="44">
        <v>0</v>
      </c>
      <c r="C10" s="36">
        <f t="shared" ref="C10" si="4">IF(B$2=0,0,B10/B$2)</f>
        <v>0</v>
      </c>
      <c r="E10" s="59" t="s">
        <v>69</v>
      </c>
      <c r="F10" s="56" t="s">
        <v>28</v>
      </c>
      <c r="G10" s="43">
        <v>0</v>
      </c>
      <c r="H10" s="128">
        <f>IF(B$19=0,0,G10/B$19)</f>
        <v>0</v>
      </c>
      <c r="I10" s="90"/>
      <c r="N10" s="39"/>
      <c r="O10" s="122"/>
      <c r="P10" s="106"/>
      <c r="Q10" s="104"/>
    </row>
    <row r="11" spans="1:17" x14ac:dyDescent="0.4">
      <c r="A11" s="52" t="s">
        <v>171</v>
      </c>
      <c r="B11" s="44">
        <f>トップ数+B8</f>
        <v>0</v>
      </c>
      <c r="C11" s="36">
        <f>IF(B$2=0,0,B11/B$2)</f>
        <v>0</v>
      </c>
      <c r="E11" s="59" t="s">
        <v>70</v>
      </c>
      <c r="F11" s="56" t="s">
        <v>29</v>
      </c>
      <c r="G11" s="43">
        <v>0</v>
      </c>
      <c r="H11" s="128">
        <f>IF(B$19=0,0,G11/B$19)</f>
        <v>0</v>
      </c>
      <c r="I11" s="90"/>
      <c r="N11" s="108" t="s">
        <v>151</v>
      </c>
      <c r="O11" s="30" t="s">
        <v>113</v>
      </c>
      <c r="P11" s="112" t="s">
        <v>109</v>
      </c>
      <c r="Q11" s="100" t="s">
        <v>146</v>
      </c>
    </row>
    <row r="12" spans="1:17" x14ac:dyDescent="0.4">
      <c r="A12" s="22" t="s">
        <v>19</v>
      </c>
      <c r="B12" s="15">
        <v>0</v>
      </c>
      <c r="C12" s="7">
        <f>IF(B$2=0,0,B12/B$2)</f>
        <v>0</v>
      </c>
      <c r="E12" s="59" t="s">
        <v>71</v>
      </c>
      <c r="F12" s="56" t="s">
        <v>30</v>
      </c>
      <c r="G12" s="43">
        <v>0</v>
      </c>
      <c r="H12" s="128">
        <f>IF(B$19=0,0,G12/B$19)</f>
        <v>0</v>
      </c>
      <c r="I12" s="90"/>
      <c r="N12" s="109" t="s">
        <v>152</v>
      </c>
      <c r="O12" s="119">
        <f>IF(P12=0,0,Q12/P12)</f>
        <v>0</v>
      </c>
      <c r="P12" s="113">
        <v>0</v>
      </c>
      <c r="Q12" s="101">
        <v>0</v>
      </c>
    </row>
    <row r="13" spans="1:17" x14ac:dyDescent="0.4">
      <c r="A13" s="52" t="s">
        <v>128</v>
      </c>
      <c r="B13" s="44">
        <v>0</v>
      </c>
      <c r="C13" s="36">
        <f>IF(B$2=0,0,B13/B$2)</f>
        <v>0</v>
      </c>
      <c r="E13" s="59" t="s">
        <v>72</v>
      </c>
      <c r="F13" s="56" t="s">
        <v>31</v>
      </c>
      <c r="G13" s="43">
        <v>0</v>
      </c>
      <c r="H13" s="128">
        <f>IF(B$19=0,0,G13/B$19)</f>
        <v>0</v>
      </c>
      <c r="I13" s="90"/>
      <c r="N13" s="110" t="s">
        <v>153</v>
      </c>
      <c r="O13" s="120">
        <f>IF(P13=0,0,Q13/P13)</f>
        <v>0</v>
      </c>
      <c r="P13" s="114">
        <v>0</v>
      </c>
      <c r="Q13" s="102">
        <v>0</v>
      </c>
    </row>
    <row r="14" spans="1:17" x14ac:dyDescent="0.4">
      <c r="A14" s="53" t="s">
        <v>148</v>
      </c>
      <c r="B14" s="45">
        <v>0</v>
      </c>
      <c r="C14" s="38">
        <f>IF(B$2=0,0,B14/B$2)</f>
        <v>0</v>
      </c>
      <c r="E14" s="59" t="s">
        <v>73</v>
      </c>
      <c r="F14" s="56" t="s">
        <v>32</v>
      </c>
      <c r="G14" s="43">
        <v>0</v>
      </c>
      <c r="H14" s="128">
        <f>IF(B$19=0,0,G14/B$19)</f>
        <v>0</v>
      </c>
      <c r="I14" s="90"/>
      <c r="N14" s="110" t="s">
        <v>163</v>
      </c>
      <c r="O14" s="120">
        <f>IF(P14=0,0,Q14/P14)</f>
        <v>0</v>
      </c>
      <c r="P14" s="114">
        <v>0</v>
      </c>
      <c r="Q14" s="102">
        <v>0</v>
      </c>
    </row>
    <row r="15" spans="1:17" x14ac:dyDescent="0.4">
      <c r="A15" s="24" t="s">
        <v>114</v>
      </c>
      <c r="B15" s="16">
        <v>0</v>
      </c>
      <c r="C15" s="11">
        <f>IF(B$3=0,0,B15/B$3)</f>
        <v>0</v>
      </c>
      <c r="E15" s="59" t="s">
        <v>74</v>
      </c>
      <c r="F15" s="56" t="s">
        <v>33</v>
      </c>
      <c r="G15" s="43">
        <v>0</v>
      </c>
      <c r="H15" s="128">
        <f>IF(B$19=0,0,G15/B$19)</f>
        <v>0</v>
      </c>
      <c r="I15" s="90"/>
      <c r="N15" s="111" t="s">
        <v>164</v>
      </c>
      <c r="O15" s="121">
        <f>IF(P15=0,0,Q15/P15)</f>
        <v>0</v>
      </c>
      <c r="P15" s="115">
        <v>0</v>
      </c>
      <c r="Q15" s="103">
        <v>0</v>
      </c>
    </row>
    <row r="16" spans="1:17" x14ac:dyDescent="0.4">
      <c r="A16" s="21" t="s">
        <v>111</v>
      </c>
      <c r="B16" s="14">
        <v>0</v>
      </c>
      <c r="C16" s="6">
        <f>IF(B$3=0,0,B16/B$3)</f>
        <v>0</v>
      </c>
      <c r="E16" s="59" t="s">
        <v>75</v>
      </c>
      <c r="F16" s="56" t="s">
        <v>34</v>
      </c>
      <c r="G16" s="43">
        <v>0</v>
      </c>
      <c r="H16" s="128">
        <f>IF(B$19=0,0,G16/B$19)</f>
        <v>0</v>
      </c>
      <c r="I16" s="90"/>
      <c r="N16" s="29"/>
      <c r="O16" s="105"/>
      <c r="P16" s="107"/>
      <c r="Q16" s="105"/>
    </row>
    <row r="17" spans="1:17" x14ac:dyDescent="0.4">
      <c r="A17" s="20" t="s">
        <v>116</v>
      </c>
      <c r="B17" s="13">
        <v>0</v>
      </c>
      <c r="C17" s="4">
        <f>IF(B$15=0,0,B17/B$15)</f>
        <v>0</v>
      </c>
      <c r="E17" s="59" t="s">
        <v>76</v>
      </c>
      <c r="F17" s="56" t="s">
        <v>35</v>
      </c>
      <c r="G17" s="43">
        <v>0</v>
      </c>
      <c r="H17" s="128">
        <f>IF(B$19=0,0,G17/B$19)</f>
        <v>0</v>
      </c>
      <c r="I17" s="90"/>
      <c r="N17" s="108" t="s">
        <v>143</v>
      </c>
      <c r="O17" s="30" t="s">
        <v>144</v>
      </c>
      <c r="P17" s="112" t="s">
        <v>145</v>
      </c>
      <c r="Q17" s="100" t="s">
        <v>146</v>
      </c>
    </row>
    <row r="18" spans="1:17" x14ac:dyDescent="0.4">
      <c r="A18" s="20" t="s">
        <v>117</v>
      </c>
      <c r="B18" s="13">
        <v>0</v>
      </c>
      <c r="C18" s="4">
        <f>IF(B$16=0,0,B18/B$16)</f>
        <v>0</v>
      </c>
      <c r="E18" s="59" t="s">
        <v>168</v>
      </c>
      <c r="F18" s="56" t="s">
        <v>169</v>
      </c>
      <c r="G18" s="43">
        <v>0</v>
      </c>
      <c r="H18" s="128">
        <f>IF(B$19=0,0,G18/B$19)</f>
        <v>0</v>
      </c>
      <c r="I18" s="90"/>
      <c r="N18" s="109"/>
      <c r="O18" s="119"/>
      <c r="P18" s="113"/>
      <c r="Q18" s="101"/>
    </row>
    <row r="19" spans="1:17" x14ac:dyDescent="0.4">
      <c r="A19" s="20" t="s">
        <v>10</v>
      </c>
      <c r="B19" s="13">
        <f>B21+B20</f>
        <v>0</v>
      </c>
      <c r="C19" s="4">
        <f>IF(B$3=0,0,B19/B$3)</f>
        <v>0</v>
      </c>
      <c r="E19" s="59" t="s">
        <v>77</v>
      </c>
      <c r="F19" s="56" t="s">
        <v>36</v>
      </c>
      <c r="G19" s="43">
        <v>0</v>
      </c>
      <c r="H19" s="128">
        <f>IF(B$19=0,0,G19/B$19)</f>
        <v>0</v>
      </c>
      <c r="I19" s="90"/>
    </row>
    <row r="20" spans="1:17" x14ac:dyDescent="0.4">
      <c r="A20" s="21" t="s">
        <v>12</v>
      </c>
      <c r="B20" s="14">
        <v>0</v>
      </c>
      <c r="C20" s="6">
        <f>IF(B$19=0,0,B20/B$19)</f>
        <v>0</v>
      </c>
      <c r="E20" s="59" t="s">
        <v>78</v>
      </c>
      <c r="F20" s="56" t="s">
        <v>37</v>
      </c>
      <c r="G20" s="43">
        <v>0</v>
      </c>
      <c r="H20" s="128">
        <f>IF(B$19=0,0,G20/B$19)</f>
        <v>0</v>
      </c>
      <c r="I20" s="90"/>
    </row>
    <row r="21" spans="1:17" x14ac:dyDescent="0.4">
      <c r="A21" s="21" t="s">
        <v>11</v>
      </c>
      <c r="B21" s="14">
        <v>0</v>
      </c>
      <c r="C21" s="6">
        <f>IF(B$19=0,0,B21/B$19)</f>
        <v>0</v>
      </c>
      <c r="E21" s="59" t="s">
        <v>79</v>
      </c>
      <c r="F21" s="56" t="s">
        <v>38</v>
      </c>
      <c r="G21" s="43">
        <v>0</v>
      </c>
      <c r="H21" s="128">
        <f>IF(B$19=0,0,G21/B$19)</f>
        <v>0</v>
      </c>
      <c r="I21" s="90"/>
    </row>
    <row r="22" spans="1:17" x14ac:dyDescent="0.4">
      <c r="A22" s="51" t="s">
        <v>13</v>
      </c>
      <c r="B22" s="43">
        <v>0</v>
      </c>
      <c r="C22" s="35">
        <f>IF(B$3=0,0,B22/B$3)</f>
        <v>0</v>
      </c>
      <c r="E22" s="59" t="s">
        <v>80</v>
      </c>
      <c r="F22" s="56" t="s">
        <v>39</v>
      </c>
      <c r="G22" s="43">
        <v>0</v>
      </c>
      <c r="H22" s="128">
        <f>IF(B$19=0,0,G22/B$19)</f>
        <v>0</v>
      </c>
      <c r="I22" s="90"/>
    </row>
    <row r="23" spans="1:17" x14ac:dyDescent="0.4">
      <c r="A23" s="51" t="s">
        <v>155</v>
      </c>
      <c r="B23" s="43">
        <v>0</v>
      </c>
      <c r="C23" s="130">
        <v>0</v>
      </c>
      <c r="E23" s="59" t="s">
        <v>81</v>
      </c>
      <c r="F23" s="56" t="s">
        <v>40</v>
      </c>
      <c r="G23" s="43">
        <v>0</v>
      </c>
      <c r="H23" s="128">
        <f>IF(B$19=0,0,G23/B$19)</f>
        <v>0</v>
      </c>
      <c r="I23" s="90"/>
    </row>
    <row r="24" spans="1:17" x14ac:dyDescent="0.4">
      <c r="A24" s="21" t="s">
        <v>156</v>
      </c>
      <c r="B24" s="14">
        <v>0</v>
      </c>
      <c r="C24" s="130">
        <v>0</v>
      </c>
      <c r="E24" s="59" t="s">
        <v>82</v>
      </c>
      <c r="F24" s="56" t="s">
        <v>41</v>
      </c>
      <c r="G24" s="43">
        <v>0</v>
      </c>
      <c r="H24" s="128">
        <f>IF(B$19=0,0,G24/B$19)</f>
        <v>0</v>
      </c>
      <c r="I24" s="90"/>
    </row>
    <row r="25" spans="1:17" x14ac:dyDescent="0.4">
      <c r="A25" s="21" t="s">
        <v>5</v>
      </c>
      <c r="B25" s="17">
        <f>IF(B$19=0,0,C25/B$19)</f>
        <v>0</v>
      </c>
      <c r="C25" s="8">
        <v>0</v>
      </c>
      <c r="E25" s="59" t="s">
        <v>83</v>
      </c>
      <c r="F25" s="56" t="s">
        <v>42</v>
      </c>
      <c r="G25" s="43">
        <v>0</v>
      </c>
      <c r="H25" s="128">
        <f>IF(B$19=0,0,G25/B$19)</f>
        <v>0</v>
      </c>
      <c r="I25" s="90"/>
    </row>
    <row r="26" spans="1:17" x14ac:dyDescent="0.4">
      <c r="A26" s="23" t="s">
        <v>14</v>
      </c>
      <c r="B26" s="18">
        <f>IF(B$22=0,0,C26/B$22)</f>
        <v>0</v>
      </c>
      <c r="C26" s="12">
        <v>0</v>
      </c>
      <c r="E26" s="59" t="s">
        <v>84</v>
      </c>
      <c r="F26" s="56" t="s">
        <v>43</v>
      </c>
      <c r="G26" s="43">
        <v>0</v>
      </c>
      <c r="H26" s="128">
        <f>IF(B$19=0,0,G26/B$19)</f>
        <v>0</v>
      </c>
      <c r="I26" s="90"/>
    </row>
    <row r="27" spans="1:17" x14ac:dyDescent="0.4">
      <c r="A27" s="86" t="s">
        <v>130</v>
      </c>
      <c r="B27" s="137">
        <v>0</v>
      </c>
      <c r="C27" s="138"/>
      <c r="E27" s="59" t="s">
        <v>85</v>
      </c>
      <c r="F27" s="56" t="s">
        <v>44</v>
      </c>
      <c r="G27" s="43">
        <v>0</v>
      </c>
      <c r="H27" s="128">
        <f>IF(B$19=0,0,G27/B$19)</f>
        <v>0</v>
      </c>
      <c r="I27" s="90"/>
    </row>
    <row r="28" spans="1:17" x14ac:dyDescent="0.4">
      <c r="A28" s="54" t="s">
        <v>140</v>
      </c>
      <c r="B28" s="135">
        <v>-1000000</v>
      </c>
      <c r="C28" s="136"/>
      <c r="E28" s="59" t="s">
        <v>86</v>
      </c>
      <c r="F28" s="56" t="s">
        <v>45</v>
      </c>
      <c r="G28" s="43">
        <v>0</v>
      </c>
      <c r="H28" s="128">
        <f>IF(B$19=0,0,G28/B$19)</f>
        <v>0</v>
      </c>
      <c r="I28" s="90"/>
    </row>
    <row r="29" spans="1:17" x14ac:dyDescent="0.4">
      <c r="A29" s="23" t="s">
        <v>131</v>
      </c>
      <c r="B29" s="28">
        <v>0</v>
      </c>
      <c r="C29" s="9">
        <f>IF(B$3=0,0,B29/B$3)</f>
        <v>0</v>
      </c>
      <c r="E29" s="59" t="s">
        <v>87</v>
      </c>
      <c r="F29" s="56" t="s">
        <v>46</v>
      </c>
      <c r="G29" s="43">
        <v>0</v>
      </c>
      <c r="H29" s="128">
        <f>IF(B$19=0,0,G29/B$19)</f>
        <v>0</v>
      </c>
      <c r="I29" s="90"/>
    </row>
    <row r="30" spans="1:17" x14ac:dyDescent="0.4">
      <c r="E30" s="59" t="s">
        <v>88</v>
      </c>
      <c r="F30" s="56" t="s">
        <v>47</v>
      </c>
      <c r="G30" s="43">
        <v>0</v>
      </c>
      <c r="H30" s="128">
        <f>IF(B$19=0,0,G30/B$19)</f>
        <v>0</v>
      </c>
      <c r="I30" s="90"/>
    </row>
    <row r="31" spans="1:17" x14ac:dyDescent="0.4">
      <c r="E31" s="59" t="s">
        <v>89</v>
      </c>
      <c r="F31" s="56" t="s">
        <v>48</v>
      </c>
      <c r="G31" s="43">
        <v>0</v>
      </c>
      <c r="H31" s="128">
        <f>IF(B$19=0,0,G31/B$19)</f>
        <v>0</v>
      </c>
      <c r="I31" s="90"/>
    </row>
    <row r="32" spans="1:17" x14ac:dyDescent="0.4">
      <c r="E32" s="59" t="s">
        <v>90</v>
      </c>
      <c r="F32" s="56" t="s">
        <v>49</v>
      </c>
      <c r="G32" s="43">
        <v>0</v>
      </c>
      <c r="H32" s="128">
        <f>IF(B$19=0,0,G32/B$19)</f>
        <v>0</v>
      </c>
      <c r="I32" s="90"/>
    </row>
    <row r="33" spans="5:9" x14ac:dyDescent="0.4">
      <c r="E33" s="59" t="s">
        <v>91</v>
      </c>
      <c r="F33" s="56" t="s">
        <v>50</v>
      </c>
      <c r="G33" s="43">
        <v>0</v>
      </c>
      <c r="H33" s="128">
        <f>IF(B$19=0,0,G33/B$19)</f>
        <v>0</v>
      </c>
      <c r="I33" s="90"/>
    </row>
    <row r="34" spans="5:9" x14ac:dyDescent="0.4">
      <c r="E34" s="59" t="s">
        <v>92</v>
      </c>
      <c r="F34" s="56" t="s">
        <v>51</v>
      </c>
      <c r="G34" s="43">
        <v>0</v>
      </c>
      <c r="H34" s="128">
        <f>IF(B$19=0,0,G34/B$19)</f>
        <v>0</v>
      </c>
      <c r="I34" s="90"/>
    </row>
    <row r="35" spans="5:9" x14ac:dyDescent="0.4">
      <c r="E35" s="59" t="s">
        <v>93</v>
      </c>
      <c r="F35" s="56" t="s">
        <v>52</v>
      </c>
      <c r="G35" s="43">
        <v>0</v>
      </c>
      <c r="H35" s="128">
        <f>IF(B$19=0,0,G35/B$19)</f>
        <v>0</v>
      </c>
      <c r="I35" s="90"/>
    </row>
    <row r="36" spans="5:9" x14ac:dyDescent="0.4">
      <c r="E36" s="59" t="s">
        <v>94</v>
      </c>
      <c r="F36" s="56" t="s">
        <v>53</v>
      </c>
      <c r="G36" s="43">
        <v>0</v>
      </c>
      <c r="H36" s="128">
        <f>IF(B$19=0,0,G36/B$19)</f>
        <v>0</v>
      </c>
      <c r="I36" s="90"/>
    </row>
    <row r="37" spans="5:9" x14ac:dyDescent="0.4">
      <c r="E37" s="59" t="s">
        <v>95</v>
      </c>
      <c r="F37" s="56" t="s">
        <v>54</v>
      </c>
      <c r="G37" s="43">
        <v>0</v>
      </c>
      <c r="H37" s="128">
        <f>IF(B$19=0,0,G37/B$19)</f>
        <v>0</v>
      </c>
      <c r="I37" s="90"/>
    </row>
    <row r="38" spans="5:9" x14ac:dyDescent="0.4">
      <c r="E38" s="59" t="s">
        <v>96</v>
      </c>
      <c r="F38" s="56" t="s">
        <v>55</v>
      </c>
      <c r="G38" s="43">
        <v>0</v>
      </c>
      <c r="H38" s="128">
        <f>IF(B$19=0,0,G38/B$19)</f>
        <v>0</v>
      </c>
      <c r="I38" s="90"/>
    </row>
    <row r="39" spans="5:9" x14ac:dyDescent="0.4">
      <c r="E39" s="59" t="s">
        <v>97</v>
      </c>
      <c r="F39" s="56" t="s">
        <v>56</v>
      </c>
      <c r="G39" s="43">
        <v>0</v>
      </c>
      <c r="H39" s="128">
        <f>IF(B$19=0,0,G39/B$19)</f>
        <v>0</v>
      </c>
      <c r="I39" s="90"/>
    </row>
    <row r="40" spans="5:9" x14ac:dyDescent="0.4">
      <c r="E40" s="59" t="s">
        <v>98</v>
      </c>
      <c r="F40" s="56" t="s">
        <v>57</v>
      </c>
      <c r="G40" s="43">
        <v>0</v>
      </c>
      <c r="H40" s="128">
        <f>IF(B$19=0,0,G40/B$19)</f>
        <v>0</v>
      </c>
      <c r="I40" s="90"/>
    </row>
    <row r="41" spans="5:9" x14ac:dyDescent="0.4">
      <c r="E41" s="59" t="s">
        <v>99</v>
      </c>
      <c r="F41" s="56" t="s">
        <v>58</v>
      </c>
      <c r="G41" s="43">
        <v>0</v>
      </c>
      <c r="H41" s="128">
        <f>IF(B$19=0,0,G41/B$19)</f>
        <v>0</v>
      </c>
      <c r="I41" s="90"/>
    </row>
    <row r="42" spans="5:9" x14ac:dyDescent="0.4">
      <c r="E42" s="59" t="s">
        <v>100</v>
      </c>
      <c r="F42" s="56" t="s">
        <v>59</v>
      </c>
      <c r="G42" s="43">
        <v>0</v>
      </c>
      <c r="H42" s="128">
        <f>IF(B$19=0,0,G42/B$19)</f>
        <v>0</v>
      </c>
      <c r="I42" s="90"/>
    </row>
    <row r="43" spans="5:9" x14ac:dyDescent="0.4">
      <c r="E43" s="59" t="s">
        <v>101</v>
      </c>
      <c r="F43" s="56" t="s">
        <v>60</v>
      </c>
      <c r="G43" s="43">
        <v>0</v>
      </c>
      <c r="H43" s="128">
        <f>IF(B$19=0,0,G43/B$19)</f>
        <v>0</v>
      </c>
      <c r="I43" s="90"/>
    </row>
    <row r="44" spans="5:9" x14ac:dyDescent="0.4">
      <c r="E44" s="59" t="s">
        <v>102</v>
      </c>
      <c r="F44" s="56" t="s">
        <v>105</v>
      </c>
      <c r="G44" s="43">
        <v>0</v>
      </c>
      <c r="H44" s="128">
        <f>IF(B$19=0,0,G44/B$19)</f>
        <v>0</v>
      </c>
      <c r="I44" s="90"/>
    </row>
    <row r="45" spans="5:9" x14ac:dyDescent="0.4">
      <c r="E45" s="59" t="s">
        <v>103</v>
      </c>
      <c r="F45" s="56" t="s">
        <v>106</v>
      </c>
      <c r="G45" s="43">
        <v>0</v>
      </c>
      <c r="H45" s="128">
        <f>IF(B$19=0,0,G45/B$19)</f>
        <v>0</v>
      </c>
      <c r="I45" s="90"/>
    </row>
    <row r="46" spans="5:9" x14ac:dyDescent="0.4">
      <c r="E46" s="59" t="s">
        <v>104</v>
      </c>
      <c r="F46" s="56" t="s">
        <v>107</v>
      </c>
      <c r="G46" s="43">
        <v>0</v>
      </c>
      <c r="H46" s="128">
        <f>IF(B$19=0,0,G46/B$19)</f>
        <v>0</v>
      </c>
      <c r="I46" s="90"/>
    </row>
    <row r="47" spans="5:9" x14ac:dyDescent="0.4">
      <c r="E47" s="60" t="s">
        <v>157</v>
      </c>
      <c r="F47" s="57" t="s">
        <v>158</v>
      </c>
      <c r="G47" s="45">
        <v>0</v>
      </c>
      <c r="H47" s="129">
        <f>IF(B$19=0,0,G47/B$19)</f>
        <v>0</v>
      </c>
      <c r="I47" s="91"/>
    </row>
  </sheetData>
  <mergeCells count="8">
    <mergeCell ref="B28:C28"/>
    <mergeCell ref="B27:C27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C3"/>
  <sheetViews>
    <sheetView workbookViewId="0"/>
  </sheetViews>
  <sheetFormatPr defaultColWidth="9" defaultRowHeight="18.75" x14ac:dyDescent="0.4"/>
  <cols>
    <col min="1" max="1" width="19.25" style="26" customWidth="1"/>
    <col min="2" max="2" width="19.25" style="27" customWidth="1"/>
    <col min="3" max="16384" width="9" style="26"/>
  </cols>
  <sheetData>
    <row r="1" spans="1:3" x14ac:dyDescent="0.4">
      <c r="A1" s="25">
        <v>32874</v>
      </c>
      <c r="B1" s="25">
        <v>2958465</v>
      </c>
    </row>
    <row r="2" spans="1:3" x14ac:dyDescent="0.4">
      <c r="A2" s="26" t="s">
        <v>172</v>
      </c>
      <c r="B2" s="27">
        <v>43671.978796296295</v>
      </c>
      <c r="C2" s="26" t="s">
        <v>119</v>
      </c>
    </row>
    <row r="3" spans="1:3" x14ac:dyDescent="0.4">
      <c r="A3" s="26" t="s">
        <v>173</v>
      </c>
      <c r="B3" s="27">
        <v>43671.978796296295</v>
      </c>
      <c r="C3" s="26" t="s">
        <v>119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R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9" width="10.75" style="63"/>
    <col min="10" max="11" width="10.75" style="64"/>
    <col min="12" max="18" width="10.75" style="63"/>
    <col min="19" max="16384" width="10.75" style="66"/>
  </cols>
  <sheetData>
    <row r="1" spans="1:18" x14ac:dyDescent="0.4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</row>
    <row r="2" spans="1:18" x14ac:dyDescent="0.4">
      <c r="A2" s="66" t="s">
        <v>9</v>
      </c>
      <c r="B2" s="66" t="s">
        <v>6</v>
      </c>
      <c r="C2" s="66" t="s">
        <v>7</v>
      </c>
      <c r="D2" s="67" t="s">
        <v>16</v>
      </c>
      <c r="E2" s="66" t="s">
        <v>15</v>
      </c>
      <c r="F2" s="66" t="s">
        <v>150</v>
      </c>
      <c r="G2" s="66" t="s">
        <v>170</v>
      </c>
      <c r="H2" s="66" t="s">
        <v>135</v>
      </c>
      <c r="I2" s="66" t="s">
        <v>134</v>
      </c>
      <c r="J2" s="66" t="s">
        <v>5</v>
      </c>
      <c r="K2" s="66" t="s">
        <v>17</v>
      </c>
      <c r="L2" s="66" t="s">
        <v>18</v>
      </c>
      <c r="M2" s="66" t="s">
        <v>129</v>
      </c>
      <c r="N2" s="66" t="s">
        <v>115</v>
      </c>
      <c r="O2" s="66" t="s">
        <v>112</v>
      </c>
      <c r="P2" s="66" t="s">
        <v>118</v>
      </c>
      <c r="Q2" s="66" t="s">
        <v>136</v>
      </c>
      <c r="R2" s="66" t="s">
        <v>132</v>
      </c>
    </row>
    <row r="3" spans="1:18" x14ac:dyDescent="0.4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5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133</v>
      </c>
      <c r="B1">
        <v>8</v>
      </c>
    </row>
    <row r="2" spans="1:2" x14ac:dyDescent="0.4">
      <c r="A2" t="s">
        <v>161</v>
      </c>
      <c r="B2">
        <v>2</v>
      </c>
    </row>
    <row r="3" spans="1:2" x14ac:dyDescent="0.4">
      <c r="A3" t="s">
        <v>159</v>
      </c>
      <c r="B3">
        <v>2</v>
      </c>
    </row>
    <row r="4" spans="1:2" x14ac:dyDescent="0.4">
      <c r="A4" t="s">
        <v>160</v>
      </c>
      <c r="B4">
        <v>2</v>
      </c>
    </row>
    <row r="5" spans="1:2" x14ac:dyDescent="0.4">
      <c r="A5" t="s">
        <v>167</v>
      </c>
      <c r="B5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7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78" customWidth="1"/>
    <col min="2" max="2" width="10.75" style="79" customWidth="1"/>
    <col min="3" max="3" width="10.75" style="80" customWidth="1"/>
    <col min="4" max="4" width="10.75" style="81" customWidth="1"/>
    <col min="5" max="5" width="10.75" style="93" customWidth="1"/>
    <col min="6" max="6" width="10.75" style="81" customWidth="1"/>
    <col min="7" max="7" width="10.75" style="82" customWidth="1"/>
    <col min="8" max="8" width="10.75" style="81" customWidth="1"/>
    <col min="9" max="9" width="10.75" style="83" customWidth="1"/>
    <col min="10" max="10" width="10.75" style="81" customWidth="1"/>
    <col min="11" max="11" width="10.75" style="83" customWidth="1"/>
    <col min="12" max="12" width="10.75" style="81" customWidth="1"/>
    <col min="13" max="13" width="10.75" style="83" customWidth="1"/>
    <col min="14" max="14" width="10.75" style="81" customWidth="1"/>
    <col min="15" max="15" width="10.75" style="84" customWidth="1"/>
    <col min="16" max="16" width="10.75" style="81" customWidth="1"/>
    <col min="17" max="17" width="10.75" style="84" customWidth="1"/>
    <col min="18" max="18" width="10.75" style="81" customWidth="1"/>
    <col min="19" max="19" width="10.75" style="85" customWidth="1"/>
    <col min="20" max="20" width="10.75" style="81" customWidth="1"/>
    <col min="21" max="21" width="10.75" style="85" customWidth="1"/>
    <col min="22" max="22" width="10.75" style="81" customWidth="1"/>
    <col min="23" max="23" width="10.75" style="83" customWidth="1"/>
    <col min="24" max="24" width="10.75" style="81" customWidth="1"/>
    <col min="25" max="25" width="10.75" style="83" customWidth="1"/>
    <col min="26" max="26" width="10.75" style="81" customWidth="1"/>
    <col min="27" max="27" width="10.75" style="84" customWidth="1"/>
    <col min="28" max="28" width="10.75" style="81" customWidth="1"/>
    <col min="29" max="29" width="10.75" style="84" customWidth="1"/>
    <col min="30" max="30" width="10.75" style="81" customWidth="1"/>
    <col min="31" max="31" width="10.75" style="84" customWidth="1"/>
    <col min="32" max="32" width="10.75" style="81" customWidth="1"/>
    <col min="33" max="33" width="10.75" style="84" customWidth="1"/>
    <col min="34" max="34" width="10.75" style="81" customWidth="1"/>
    <col min="35" max="35" width="10.75" style="84" customWidth="1"/>
    <col min="36" max="36" width="10.75" style="81" customWidth="1"/>
    <col min="37" max="37" width="10.75" style="88" customWidth="1"/>
    <col min="38" max="16384" width="9" style="69"/>
  </cols>
  <sheetData>
    <row r="1" spans="1:37" x14ac:dyDescent="0.4">
      <c r="A1" s="68"/>
      <c r="B1" s="153" t="s">
        <v>6</v>
      </c>
      <c r="C1" s="154"/>
      <c r="D1" s="153" t="s">
        <v>7</v>
      </c>
      <c r="E1" s="154"/>
      <c r="F1" s="153" t="s">
        <v>16</v>
      </c>
      <c r="G1" s="154"/>
      <c r="H1" s="153" t="s">
        <v>15</v>
      </c>
      <c r="I1" s="154"/>
      <c r="J1" s="153" t="s">
        <v>150</v>
      </c>
      <c r="K1" s="154"/>
      <c r="L1" s="153" t="s">
        <v>170</v>
      </c>
      <c r="M1" s="154"/>
      <c r="N1" s="153" t="s">
        <v>137</v>
      </c>
      <c r="O1" s="154"/>
      <c r="P1" s="153" t="s">
        <v>138</v>
      </c>
      <c r="Q1" s="154"/>
      <c r="R1" s="153" t="s">
        <v>5</v>
      </c>
      <c r="S1" s="154"/>
      <c r="T1" s="153" t="s">
        <v>17</v>
      </c>
      <c r="U1" s="154"/>
      <c r="V1" s="153" t="s">
        <v>18</v>
      </c>
      <c r="W1" s="154"/>
      <c r="X1" s="153" t="s">
        <v>129</v>
      </c>
      <c r="Y1" s="154"/>
      <c r="Z1" s="153" t="s">
        <v>115</v>
      </c>
      <c r="AA1" s="154"/>
      <c r="AB1" s="153" t="s">
        <v>112</v>
      </c>
      <c r="AC1" s="154"/>
      <c r="AD1" s="153" t="s">
        <v>118</v>
      </c>
      <c r="AE1" s="154"/>
      <c r="AF1" s="153" t="s">
        <v>139</v>
      </c>
      <c r="AG1" s="154"/>
      <c r="AH1" s="153" t="s">
        <v>132</v>
      </c>
      <c r="AI1" s="154"/>
      <c r="AJ1" s="153" t="s">
        <v>141</v>
      </c>
      <c r="AK1" s="154"/>
    </row>
    <row r="2" spans="1:37" x14ac:dyDescent="0.4">
      <c r="A2" s="68" t="s">
        <v>149</v>
      </c>
      <c r="B2" s="155"/>
      <c r="C2" s="156"/>
      <c r="D2" s="155"/>
      <c r="E2" s="156"/>
      <c r="F2" s="151" t="e">
        <v>#DIV/0!</v>
      </c>
      <c r="G2" s="152"/>
      <c r="H2" s="151" t="e">
        <v>#DIV/0!</v>
      </c>
      <c r="I2" s="152"/>
      <c r="J2" s="151" t="e">
        <v>#DIV/0!</v>
      </c>
      <c r="K2" s="152"/>
      <c r="L2" s="151" t="e">
        <v>#DIV/0!</v>
      </c>
      <c r="M2" s="152"/>
      <c r="N2" s="151" t="e">
        <v>#DIV/0!</v>
      </c>
      <c r="O2" s="152"/>
      <c r="P2" s="151" t="e">
        <v>#DIV/0!</v>
      </c>
      <c r="Q2" s="152"/>
      <c r="R2" s="151" t="e">
        <v>#DIV/0!</v>
      </c>
      <c r="S2" s="152"/>
      <c r="T2" s="151" t="e">
        <v>#DIV/0!</v>
      </c>
      <c r="U2" s="152"/>
      <c r="V2" s="151" t="e">
        <v>#DIV/0!</v>
      </c>
      <c r="W2" s="152"/>
      <c r="X2" s="151" t="e">
        <v>#DIV/0!</v>
      </c>
      <c r="Y2" s="152"/>
      <c r="Z2" s="151" t="e">
        <v>#DIV/0!</v>
      </c>
      <c r="AA2" s="152"/>
      <c r="AB2" s="151" t="e">
        <v>#DIV/0!</v>
      </c>
      <c r="AC2" s="152"/>
      <c r="AD2" s="151" t="e">
        <v>#DIV/0!</v>
      </c>
      <c r="AE2" s="152"/>
      <c r="AF2" s="151" t="e">
        <v>#DIV/0!</v>
      </c>
      <c r="AG2" s="152"/>
      <c r="AH2" s="151" t="e">
        <v>#DIV/0!</v>
      </c>
      <c r="AI2" s="152"/>
      <c r="AJ2" s="151" t="e">
        <v>#DIV/0!</v>
      </c>
      <c r="AK2" s="152"/>
    </row>
    <row r="3" spans="1:37" x14ac:dyDescent="0.4">
      <c r="A3" s="70">
        <v>1</v>
      </c>
      <c r="B3" s="71" t="s">
        <v>159</v>
      </c>
      <c r="C3" s="72">
        <v>162.6</v>
      </c>
      <c r="D3" s="73" t="s">
        <v>159</v>
      </c>
      <c r="E3" s="92">
        <v>81.3</v>
      </c>
      <c r="F3" s="73" t="s">
        <v>159</v>
      </c>
      <c r="G3" s="74">
        <v>1</v>
      </c>
      <c r="H3" s="73" t="s">
        <v>159</v>
      </c>
      <c r="I3" s="75">
        <v>1</v>
      </c>
      <c r="J3" s="73" t="s">
        <v>161</v>
      </c>
      <c r="K3" s="75">
        <v>0</v>
      </c>
      <c r="L3" s="73" t="s">
        <v>159</v>
      </c>
      <c r="M3" s="75">
        <v>1</v>
      </c>
      <c r="N3" s="73" t="s">
        <v>167</v>
      </c>
      <c r="O3" s="76">
        <v>0.1</v>
      </c>
      <c r="P3" s="73" t="s">
        <v>159</v>
      </c>
      <c r="Q3" s="76">
        <v>0.1</v>
      </c>
      <c r="R3" s="73" t="s">
        <v>159</v>
      </c>
      <c r="S3" s="77">
        <v>28000</v>
      </c>
      <c r="T3" s="73" t="s">
        <v>167</v>
      </c>
      <c r="U3" s="77">
        <v>-64000</v>
      </c>
      <c r="V3" s="73" t="s">
        <v>167</v>
      </c>
      <c r="W3" s="75">
        <v>1</v>
      </c>
      <c r="X3" s="73" t="s">
        <v>159</v>
      </c>
      <c r="Y3" s="75">
        <v>1</v>
      </c>
      <c r="Z3" s="73" t="s">
        <v>133</v>
      </c>
      <c r="AA3" s="76">
        <v>0.2</v>
      </c>
      <c r="AB3" s="73" t="s">
        <v>160</v>
      </c>
      <c r="AC3" s="76">
        <v>0.1</v>
      </c>
      <c r="AD3" s="73" t="s">
        <v>159</v>
      </c>
      <c r="AE3" s="76">
        <v>0.5</v>
      </c>
      <c r="AF3" s="73" t="s">
        <v>160</v>
      </c>
      <c r="AG3" s="76">
        <v>1</v>
      </c>
      <c r="AH3" s="73" t="s">
        <v>161</v>
      </c>
      <c r="AI3" s="76">
        <v>1</v>
      </c>
      <c r="AJ3" s="73" t="s">
        <v>133</v>
      </c>
      <c r="AK3" s="87">
        <v>91300</v>
      </c>
    </row>
    <row r="4" spans="1:37" x14ac:dyDescent="0.4">
      <c r="A4" s="78">
        <v>2</v>
      </c>
      <c r="B4" s="79" t="s">
        <v>160</v>
      </c>
      <c r="C4" s="80">
        <v>62.2</v>
      </c>
      <c r="D4" s="81" t="s">
        <v>160</v>
      </c>
      <c r="E4" s="93">
        <v>31.1</v>
      </c>
      <c r="F4" s="81" t="s">
        <v>160</v>
      </c>
      <c r="G4" s="82">
        <v>2</v>
      </c>
      <c r="H4" s="81" t="s">
        <v>133</v>
      </c>
      <c r="I4" s="83">
        <v>0.25</v>
      </c>
      <c r="J4" s="81" t="s">
        <v>159</v>
      </c>
      <c r="K4" s="83">
        <v>0</v>
      </c>
      <c r="L4" s="81" t="s">
        <v>160</v>
      </c>
      <c r="M4" s="83">
        <v>1</v>
      </c>
      <c r="N4" s="81" t="s">
        <v>161</v>
      </c>
      <c r="O4" s="84">
        <v>0.2</v>
      </c>
      <c r="P4" s="81" t="s">
        <v>160</v>
      </c>
      <c r="Q4" s="84">
        <v>0.1</v>
      </c>
      <c r="R4" s="81" t="s">
        <v>133</v>
      </c>
      <c r="S4" s="85">
        <v>22310</v>
      </c>
      <c r="T4" s="81" t="s">
        <v>133</v>
      </c>
      <c r="U4" s="85">
        <v>-26666.666666666668</v>
      </c>
      <c r="V4" s="81" t="s">
        <v>133</v>
      </c>
      <c r="W4" s="83">
        <v>0.25</v>
      </c>
      <c r="X4" s="81" t="s">
        <v>133</v>
      </c>
      <c r="Y4" s="83">
        <v>0.25</v>
      </c>
      <c r="Z4" s="81" t="s">
        <v>161</v>
      </c>
      <c r="AA4" s="84">
        <v>0.2</v>
      </c>
      <c r="AB4" s="81" t="s">
        <v>167</v>
      </c>
      <c r="AC4" s="84">
        <v>0.1</v>
      </c>
      <c r="AD4" s="81" t="s">
        <v>160</v>
      </c>
      <c r="AE4" s="84">
        <v>0.5</v>
      </c>
      <c r="AF4" s="81" t="s">
        <v>133</v>
      </c>
      <c r="AG4" s="84">
        <v>0.5</v>
      </c>
      <c r="AH4" s="81" t="s">
        <v>167</v>
      </c>
      <c r="AI4" s="84">
        <v>1</v>
      </c>
      <c r="AJ4" s="81" t="s">
        <v>159</v>
      </c>
      <c r="AK4" s="88">
        <v>91300</v>
      </c>
    </row>
    <row r="5" spans="1:37" x14ac:dyDescent="0.4">
      <c r="A5" s="78">
        <v>3</v>
      </c>
      <c r="B5" s="79" t="s">
        <v>133</v>
      </c>
      <c r="C5" s="80">
        <v>0</v>
      </c>
      <c r="D5" s="81" t="s">
        <v>133</v>
      </c>
      <c r="E5" s="93">
        <v>0</v>
      </c>
      <c r="F5" s="81" t="s">
        <v>133</v>
      </c>
      <c r="G5" s="82">
        <v>2.5</v>
      </c>
      <c r="H5" s="81" t="s">
        <v>161</v>
      </c>
      <c r="I5" s="83">
        <v>0</v>
      </c>
      <c r="J5" s="81" t="s">
        <v>160</v>
      </c>
      <c r="K5" s="83">
        <v>0</v>
      </c>
      <c r="L5" s="81" t="s">
        <v>133</v>
      </c>
      <c r="M5" s="83">
        <v>0.5</v>
      </c>
      <c r="N5" s="81" t="s">
        <v>133</v>
      </c>
      <c r="O5" s="84">
        <v>0.25</v>
      </c>
      <c r="P5" s="81" t="s">
        <v>167</v>
      </c>
      <c r="Q5" s="84">
        <v>0.1</v>
      </c>
      <c r="R5" s="81" t="s">
        <v>160</v>
      </c>
      <c r="S5" s="85">
        <v>20000</v>
      </c>
      <c r="T5" s="81" t="s">
        <v>159</v>
      </c>
      <c r="U5" s="85">
        <v>-8000</v>
      </c>
      <c r="V5" s="81" t="s">
        <v>161</v>
      </c>
      <c r="W5" s="83">
        <v>0</v>
      </c>
      <c r="X5" s="81" t="s">
        <v>161</v>
      </c>
      <c r="Y5" s="83">
        <v>0</v>
      </c>
      <c r="Z5" s="81" t="s">
        <v>159</v>
      </c>
      <c r="AA5" s="84">
        <v>0.2</v>
      </c>
      <c r="AB5" s="81" t="s">
        <v>133</v>
      </c>
      <c r="AC5" s="84">
        <v>0.05</v>
      </c>
      <c r="AD5" s="81" t="s">
        <v>167</v>
      </c>
      <c r="AE5" s="84">
        <v>0.5</v>
      </c>
      <c r="AF5" s="81" t="s">
        <v>161</v>
      </c>
      <c r="AG5" s="84">
        <v>0</v>
      </c>
      <c r="AH5" s="81" t="s">
        <v>133</v>
      </c>
      <c r="AI5" s="84">
        <v>0.7</v>
      </c>
      <c r="AJ5" s="81" t="s">
        <v>160</v>
      </c>
      <c r="AK5" s="88">
        <v>51100</v>
      </c>
    </row>
    <row r="6" spans="1:37" x14ac:dyDescent="0.4">
      <c r="A6" s="78">
        <v>4</v>
      </c>
      <c r="B6" s="79" t="s">
        <v>161</v>
      </c>
      <c r="C6" s="80">
        <v>-30</v>
      </c>
      <c r="D6" s="81" t="s">
        <v>161</v>
      </c>
      <c r="E6" s="93">
        <v>-15</v>
      </c>
      <c r="F6" s="81" t="s">
        <v>161</v>
      </c>
      <c r="G6" s="82">
        <v>3</v>
      </c>
      <c r="H6" s="81" t="s">
        <v>160</v>
      </c>
      <c r="I6" s="83">
        <v>0</v>
      </c>
      <c r="J6" s="81" t="s">
        <v>133</v>
      </c>
      <c r="K6" s="83">
        <v>0.25</v>
      </c>
      <c r="L6" s="81" t="s">
        <v>161</v>
      </c>
      <c r="M6" s="83">
        <v>0</v>
      </c>
      <c r="N6" s="81" t="s">
        <v>160</v>
      </c>
      <c r="O6" s="84">
        <v>0.3</v>
      </c>
      <c r="P6" s="81" t="s">
        <v>133</v>
      </c>
      <c r="Q6" s="84">
        <v>7.4999999999999997E-2</v>
      </c>
      <c r="R6" s="81" t="s">
        <v>167</v>
      </c>
      <c r="S6" s="85">
        <v>18000</v>
      </c>
      <c r="T6" s="81" t="s">
        <v>160</v>
      </c>
      <c r="U6" s="85">
        <v>-8000</v>
      </c>
      <c r="V6" s="81" t="s">
        <v>159</v>
      </c>
      <c r="W6" s="83">
        <v>0</v>
      </c>
      <c r="X6" s="81" t="s">
        <v>160</v>
      </c>
      <c r="Y6" s="83">
        <v>0</v>
      </c>
      <c r="Z6" s="81" t="s">
        <v>160</v>
      </c>
      <c r="AA6" s="84">
        <v>0.2</v>
      </c>
      <c r="AB6" s="81" t="s">
        <v>161</v>
      </c>
      <c r="AC6" s="84">
        <v>0</v>
      </c>
      <c r="AD6" s="81" t="s">
        <v>133</v>
      </c>
      <c r="AE6" s="84">
        <v>0.375</v>
      </c>
      <c r="AF6" s="81" t="s">
        <v>159</v>
      </c>
      <c r="AG6" s="84">
        <v>0</v>
      </c>
      <c r="AH6" s="81" t="s">
        <v>160</v>
      </c>
      <c r="AI6" s="84">
        <v>0.66666666666666663</v>
      </c>
      <c r="AJ6" s="81" t="s">
        <v>161</v>
      </c>
      <c r="AK6" s="88">
        <v>15000</v>
      </c>
    </row>
    <row r="7" spans="1:37" x14ac:dyDescent="0.4">
      <c r="A7" s="78">
        <v>5</v>
      </c>
      <c r="B7" s="79" t="s">
        <v>167</v>
      </c>
      <c r="C7" s="80">
        <v>-194.8</v>
      </c>
      <c r="D7" s="81" t="s">
        <v>167</v>
      </c>
      <c r="E7" s="93">
        <v>-97.4</v>
      </c>
      <c r="F7" s="81" t="s">
        <v>167</v>
      </c>
      <c r="G7" s="82">
        <v>4</v>
      </c>
      <c r="H7" s="81" t="s">
        <v>167</v>
      </c>
      <c r="I7" s="83">
        <v>0</v>
      </c>
      <c r="J7" s="81" t="s">
        <v>167</v>
      </c>
      <c r="K7" s="83">
        <v>1</v>
      </c>
      <c r="L7" s="81" t="s">
        <v>167</v>
      </c>
      <c r="M7" s="83">
        <v>0</v>
      </c>
      <c r="N7" s="81" t="s">
        <v>159</v>
      </c>
      <c r="O7" s="84">
        <v>0.4</v>
      </c>
      <c r="P7" s="81" t="s">
        <v>161</v>
      </c>
      <c r="Q7" s="84">
        <v>0</v>
      </c>
      <c r="R7" s="81" t="s">
        <v>161</v>
      </c>
      <c r="S7" s="85">
        <v>16550</v>
      </c>
      <c r="T7" s="81" t="s">
        <v>161</v>
      </c>
      <c r="U7" s="85">
        <v>0</v>
      </c>
      <c r="V7" s="81" t="s">
        <v>160</v>
      </c>
      <c r="W7" s="83">
        <v>0</v>
      </c>
      <c r="X7" s="81" t="s">
        <v>167</v>
      </c>
      <c r="Y7" s="83">
        <v>0</v>
      </c>
      <c r="Z7" s="81" t="s">
        <v>167</v>
      </c>
      <c r="AA7" s="84">
        <v>0.2</v>
      </c>
      <c r="AB7" s="81" t="s">
        <v>159</v>
      </c>
      <c r="AC7" s="84">
        <v>0</v>
      </c>
      <c r="AD7" s="81" t="s">
        <v>161</v>
      </c>
      <c r="AE7" s="84">
        <v>0</v>
      </c>
      <c r="AF7" s="81" t="s">
        <v>167</v>
      </c>
      <c r="AG7" s="84">
        <v>0</v>
      </c>
      <c r="AH7" s="81" t="s">
        <v>159</v>
      </c>
      <c r="AI7" s="84">
        <v>0.5</v>
      </c>
      <c r="AJ7" s="81" t="s">
        <v>167</v>
      </c>
      <c r="AK7" s="88">
        <v>-57400</v>
      </c>
    </row>
  </sheetData>
  <sortState xmlns:xlrd2="http://schemas.microsoft.com/office/spreadsheetml/2017/richdata2" ref="AJ3:AK30">
    <sortCondition descending="1" ref="AK1"/>
  </sortState>
  <mergeCells count="36">
    <mergeCell ref="AH1:AI1"/>
    <mergeCell ref="X1:Y1"/>
    <mergeCell ref="Z1:AA1"/>
    <mergeCell ref="AB1:AC1"/>
    <mergeCell ref="AD1:AE1"/>
    <mergeCell ref="AF1:AG1"/>
    <mergeCell ref="B1:C1"/>
    <mergeCell ref="D1:E1"/>
    <mergeCell ref="F1:G1"/>
    <mergeCell ref="H1:I1"/>
    <mergeCell ref="N1:O1"/>
    <mergeCell ref="J1:K1"/>
    <mergeCell ref="L1:M1"/>
    <mergeCell ref="B2:C2"/>
    <mergeCell ref="D2:E2"/>
    <mergeCell ref="F2:G2"/>
    <mergeCell ref="H2:I2"/>
    <mergeCell ref="N2:O2"/>
    <mergeCell ref="J2:K2"/>
    <mergeCell ref="L2:M2"/>
    <mergeCell ref="AH2:AI2"/>
    <mergeCell ref="P1:Q1"/>
    <mergeCell ref="AJ2:AK2"/>
    <mergeCell ref="Z2:AA2"/>
    <mergeCell ref="AB2:AC2"/>
    <mergeCell ref="AD2:AE2"/>
    <mergeCell ref="AF2:AG2"/>
    <mergeCell ref="P2:Q2"/>
    <mergeCell ref="R2:S2"/>
    <mergeCell ref="T2:U2"/>
    <mergeCell ref="V2:W2"/>
    <mergeCell ref="X2:Y2"/>
    <mergeCell ref="AJ1:AK1"/>
    <mergeCell ref="R1:S1"/>
    <mergeCell ref="T1:U1"/>
    <mergeCell ref="V1:W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AC69EE-40F4-4AAE-A8D0-80C2EB4FFD1A}">
  <sheetPr codeName="Sheet6"/>
  <dimension ref="A1:R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9" width="10.75" style="63"/>
    <col min="10" max="11" width="10.75" style="64"/>
    <col min="12" max="18" width="10.75" style="63"/>
    <col min="19" max="16384" width="10.75" style="66"/>
  </cols>
  <sheetData>
    <row r="1" spans="1:18" x14ac:dyDescent="0.4">
      <c r="A1" s="66" t="s">
        <v>133</v>
      </c>
      <c r="B1" s="66" t="s">
        <v>133</v>
      </c>
      <c r="C1" s="66" t="s">
        <v>133</v>
      </c>
      <c r="D1" s="67" t="s">
        <v>133</v>
      </c>
      <c r="E1" s="66" t="s">
        <v>133</v>
      </c>
      <c r="F1" s="66" t="s">
        <v>133</v>
      </c>
      <c r="G1" s="66" t="s">
        <v>133</v>
      </c>
      <c r="H1" s="66" t="s">
        <v>133</v>
      </c>
      <c r="I1" s="66" t="s">
        <v>133</v>
      </c>
      <c r="J1" s="66" t="s">
        <v>133</v>
      </c>
      <c r="K1" s="66" t="s">
        <v>133</v>
      </c>
      <c r="L1" s="66" t="s">
        <v>133</v>
      </c>
      <c r="M1" s="66" t="s">
        <v>133</v>
      </c>
      <c r="N1" s="66" t="s">
        <v>133</v>
      </c>
      <c r="O1" s="66" t="s">
        <v>133</v>
      </c>
      <c r="P1" s="66" t="s">
        <v>133</v>
      </c>
      <c r="Q1" s="66" t="s">
        <v>133</v>
      </c>
      <c r="R1" s="66" t="s">
        <v>133</v>
      </c>
    </row>
    <row r="2" spans="1:18" x14ac:dyDescent="0.4">
      <c r="A2" s="66" t="s">
        <v>9</v>
      </c>
      <c r="B2" s="66" t="s">
        <v>6</v>
      </c>
      <c r="C2" s="66" t="s">
        <v>7</v>
      </c>
      <c r="D2" s="67" t="s">
        <v>16</v>
      </c>
      <c r="E2" s="66" t="s">
        <v>15</v>
      </c>
      <c r="F2" s="66" t="s">
        <v>150</v>
      </c>
      <c r="G2" s="66" t="s">
        <v>170</v>
      </c>
      <c r="H2" s="66" t="s">
        <v>135</v>
      </c>
      <c r="I2" s="66" t="s">
        <v>134</v>
      </c>
      <c r="J2" s="66" t="s">
        <v>5</v>
      </c>
      <c r="K2" s="66" t="s">
        <v>17</v>
      </c>
      <c r="L2" s="66" t="s">
        <v>18</v>
      </c>
      <c r="M2" s="66" t="s">
        <v>129</v>
      </c>
      <c r="N2" s="66" t="s">
        <v>115</v>
      </c>
      <c r="O2" s="66" t="s">
        <v>112</v>
      </c>
      <c r="P2" s="66" t="s">
        <v>118</v>
      </c>
      <c r="Q2" s="66" t="s">
        <v>136</v>
      </c>
      <c r="R2" s="66" t="s">
        <v>132</v>
      </c>
    </row>
    <row r="3" spans="1:18" x14ac:dyDescent="0.4">
      <c r="A3" s="65">
        <v>0</v>
      </c>
      <c r="B3" s="62">
        <v>0</v>
      </c>
    </row>
    <row r="4" spans="1:18" x14ac:dyDescent="0.4">
      <c r="A4" s="65">
        <v>1</v>
      </c>
      <c r="B4" s="62">
        <v>97.4</v>
      </c>
      <c r="C4" s="62">
        <v>32.466666666666669</v>
      </c>
      <c r="D4" s="67">
        <v>2</v>
      </c>
      <c r="E4" s="63">
        <v>0.33333333333333331</v>
      </c>
      <c r="F4" s="63">
        <v>0</v>
      </c>
      <c r="G4" s="63">
        <v>0.66666666666666663</v>
      </c>
      <c r="H4" s="63">
        <v>0.3</v>
      </c>
      <c r="I4" s="63">
        <v>6.6666666666666666E-2</v>
      </c>
      <c r="J4" s="64">
        <v>22788.888888888891</v>
      </c>
      <c r="K4" s="64">
        <v>-8000</v>
      </c>
      <c r="L4" s="63">
        <v>0</v>
      </c>
      <c r="M4" s="63">
        <v>0.33333333333333331</v>
      </c>
      <c r="N4" s="63">
        <v>0.2</v>
      </c>
      <c r="O4" s="63">
        <v>3.3333333333333333E-2</v>
      </c>
      <c r="P4" s="63">
        <v>0.33333333333333331</v>
      </c>
      <c r="Q4" s="63">
        <v>1</v>
      </c>
      <c r="R4" s="63">
        <v>0.66666666666666663</v>
      </c>
    </row>
    <row r="5" spans="1:18" x14ac:dyDescent="0.4">
      <c r="A5" s="65">
        <v>2</v>
      </c>
      <c r="B5" s="62">
        <v>97.4</v>
      </c>
      <c r="C5" s="62">
        <v>13.914285714285715</v>
      </c>
      <c r="D5" s="67">
        <v>2.2857142857142856</v>
      </c>
      <c r="E5" s="63">
        <v>0.2857142857142857</v>
      </c>
      <c r="F5" s="63">
        <v>0.14285714285714285</v>
      </c>
      <c r="G5" s="63">
        <v>0.5714285714285714</v>
      </c>
      <c r="H5" s="63">
        <v>0.27142857142857141</v>
      </c>
      <c r="I5" s="63">
        <v>7.1428571428571425E-2</v>
      </c>
      <c r="J5" s="64">
        <v>22536.842105263157</v>
      </c>
      <c r="K5" s="64">
        <v>-19200</v>
      </c>
      <c r="L5" s="63">
        <v>0.14285714285714285</v>
      </c>
      <c r="M5" s="63">
        <v>0.2857142857142857</v>
      </c>
      <c r="N5" s="63">
        <v>0.2</v>
      </c>
      <c r="O5" s="63">
        <v>4.2857142857142858E-2</v>
      </c>
      <c r="P5" s="63">
        <v>0.35714285714285715</v>
      </c>
      <c r="Q5" s="63">
        <v>0.66666666666666663</v>
      </c>
      <c r="R5" s="63">
        <v>0.68421052631578949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3BA932-0877-4894-928D-12A42E9C7D4D}">
  <sheetPr codeName="Sheet4"/>
  <dimension ref="A1:Q47"/>
  <sheetViews>
    <sheetView showGridLines="0" zoomScaleNormal="100" workbookViewId="0"/>
  </sheetViews>
  <sheetFormatPr defaultColWidth="9" defaultRowHeight="18.75" x14ac:dyDescent="0.4"/>
  <cols>
    <col min="1" max="1" width="13" style="29" customWidth="1"/>
    <col min="2" max="3" width="9" style="29" customWidth="1"/>
    <col min="4" max="4" width="3.625" style="29" customWidth="1"/>
    <col min="5" max="5" width="3.625" style="123" bestFit="1" customWidth="1"/>
    <col min="6" max="6" width="11" style="39" bestFit="1" customWidth="1"/>
    <col min="7" max="9" width="9" style="29" customWidth="1"/>
    <col min="10" max="10" width="3.625" style="29" customWidth="1"/>
    <col min="11" max="11" width="3.5" style="34" customWidth="1"/>
    <col min="12" max="12" width="9" style="95" customWidth="1"/>
    <col min="13" max="13" width="3.625" style="29" customWidth="1"/>
    <col min="14" max="14" width="9" style="110" customWidth="1"/>
    <col min="15" max="15" width="9" style="120" customWidth="1"/>
    <col min="16" max="16" width="9" style="114" customWidth="1"/>
    <col min="17" max="17" width="3.625" style="102" customWidth="1"/>
    <col min="18" max="16384" width="9" style="29"/>
  </cols>
  <sheetData>
    <row r="1" spans="1:17" x14ac:dyDescent="0.4">
      <c r="A1" s="49" t="s">
        <v>0</v>
      </c>
      <c r="B1" s="141" t="s">
        <v>133</v>
      </c>
      <c r="C1" s="142"/>
      <c r="E1" s="124" t="s">
        <v>154</v>
      </c>
      <c r="F1" s="134" t="s">
        <v>108</v>
      </c>
      <c r="G1" s="133" t="s">
        <v>109</v>
      </c>
      <c r="H1" s="125" t="s">
        <v>110</v>
      </c>
      <c r="I1" s="134" t="s">
        <v>142</v>
      </c>
      <c r="K1" s="30" t="s">
        <v>20</v>
      </c>
      <c r="L1" s="31" t="s">
        <v>113</v>
      </c>
      <c r="M1" s="126"/>
      <c r="N1" s="108" t="s">
        <v>126</v>
      </c>
      <c r="O1" s="30" t="s">
        <v>127</v>
      </c>
      <c r="P1" s="112" t="s">
        <v>109</v>
      </c>
      <c r="Q1" s="96" t="s">
        <v>146</v>
      </c>
    </row>
    <row r="2" spans="1:17" x14ac:dyDescent="0.4">
      <c r="A2" s="50" t="s">
        <v>9</v>
      </c>
      <c r="B2" s="143">
        <v>8</v>
      </c>
      <c r="C2" s="144"/>
      <c r="E2" s="58" t="s">
        <v>65</v>
      </c>
      <c r="F2" s="55" t="s">
        <v>12</v>
      </c>
      <c r="G2" s="42">
        <v>10</v>
      </c>
      <c r="H2" s="127">
        <f>IF(B$19=0,0,G2/B$19)</f>
        <v>0.5</v>
      </c>
      <c r="I2" s="89">
        <v>2</v>
      </c>
      <c r="K2" s="32">
        <v>0</v>
      </c>
      <c r="L2" s="94">
        <v>0</v>
      </c>
      <c r="N2" s="109" t="s">
        <v>120</v>
      </c>
      <c r="O2" s="116">
        <f t="shared" ref="O2:O9" si="0">IF(P2=0,0,Q2/P2)</f>
        <v>0</v>
      </c>
      <c r="P2" s="113">
        <v>8</v>
      </c>
      <c r="Q2" s="97">
        <v>0</v>
      </c>
    </row>
    <row r="3" spans="1:17" x14ac:dyDescent="0.4">
      <c r="A3" s="51" t="s">
        <v>8</v>
      </c>
      <c r="B3" s="145">
        <v>80</v>
      </c>
      <c r="C3" s="146"/>
      <c r="E3" s="59" t="s">
        <v>63</v>
      </c>
      <c r="F3" s="56" t="s">
        <v>23</v>
      </c>
      <c r="G3" s="43">
        <v>8</v>
      </c>
      <c r="H3" s="128">
        <f>IF(B$19=0,0,G3/B$19)</f>
        <v>0.4</v>
      </c>
      <c r="I3" s="90">
        <v>3</v>
      </c>
      <c r="K3" s="34">
        <v>1</v>
      </c>
      <c r="L3" s="95">
        <v>-15</v>
      </c>
      <c r="N3" s="110" t="s">
        <v>121</v>
      </c>
      <c r="O3" s="117">
        <f t="shared" si="0"/>
        <v>0</v>
      </c>
      <c r="P3" s="114">
        <v>8</v>
      </c>
      <c r="Q3" s="98">
        <v>0</v>
      </c>
    </row>
    <row r="4" spans="1:17" x14ac:dyDescent="0.4">
      <c r="A4" s="51" t="s">
        <v>6</v>
      </c>
      <c r="B4" s="147">
        <v>0</v>
      </c>
      <c r="C4" s="148"/>
      <c r="E4" s="59" t="s">
        <v>64</v>
      </c>
      <c r="F4" s="56" t="s">
        <v>24</v>
      </c>
      <c r="G4" s="43">
        <v>6</v>
      </c>
      <c r="H4" s="128">
        <f>IF(B$19=0,0,G4/B$19)</f>
        <v>0.3</v>
      </c>
      <c r="I4" s="90">
        <v>3</v>
      </c>
      <c r="K4" s="34">
        <v>2</v>
      </c>
      <c r="L4" s="95">
        <v>66.3</v>
      </c>
      <c r="N4" s="110" t="s">
        <v>122</v>
      </c>
      <c r="O4" s="117">
        <f t="shared" si="0"/>
        <v>0</v>
      </c>
      <c r="P4" s="114">
        <v>8</v>
      </c>
      <c r="Q4" s="98">
        <v>0</v>
      </c>
    </row>
    <row r="5" spans="1:17" x14ac:dyDescent="0.4">
      <c r="A5" s="51" t="s">
        <v>7</v>
      </c>
      <c r="B5" s="149">
        <f>IF(B$2=0,0,B$4/B$2)</f>
        <v>0</v>
      </c>
      <c r="C5" s="150"/>
      <c r="E5" s="59" t="s">
        <v>66</v>
      </c>
      <c r="F5" s="56" t="s">
        <v>25</v>
      </c>
      <c r="G5" s="43">
        <v>4</v>
      </c>
      <c r="H5" s="128">
        <f>IF(B$19=0,0,G5/B$19)</f>
        <v>0.2</v>
      </c>
      <c r="I5" s="90">
        <v>2</v>
      </c>
      <c r="K5" s="34">
        <v>3</v>
      </c>
      <c r="L5" s="95">
        <v>97.4</v>
      </c>
      <c r="N5" s="110" t="s">
        <v>166</v>
      </c>
      <c r="O5" s="117">
        <f t="shared" si="0"/>
        <v>0</v>
      </c>
      <c r="P5" s="114">
        <v>8</v>
      </c>
      <c r="Q5" s="98">
        <v>0</v>
      </c>
    </row>
    <row r="6" spans="1:17" x14ac:dyDescent="0.4">
      <c r="A6" s="51" t="s">
        <v>1</v>
      </c>
      <c r="B6" s="139">
        <f>IF(B$2=0,0,(B$7*1+B$8*2+B$9*3+B$10*4)/B$2)</f>
        <v>2.5</v>
      </c>
      <c r="C6" s="140"/>
      <c r="E6" s="59" t="s">
        <v>69</v>
      </c>
      <c r="F6" s="56" t="s">
        <v>28</v>
      </c>
      <c r="G6" s="43">
        <v>4</v>
      </c>
      <c r="H6" s="128">
        <f>IF(B$19=0,0,G6/B$19)</f>
        <v>0.2</v>
      </c>
      <c r="I6" s="90">
        <v>2</v>
      </c>
      <c r="K6" s="34">
        <v>4</v>
      </c>
      <c r="L6" s="95">
        <v>0</v>
      </c>
      <c r="N6" s="110" t="s">
        <v>123</v>
      </c>
      <c r="O6" s="117">
        <f t="shared" si="0"/>
        <v>0</v>
      </c>
      <c r="P6" s="114">
        <v>8</v>
      </c>
      <c r="Q6" s="98">
        <v>0</v>
      </c>
    </row>
    <row r="7" spans="1:17" x14ac:dyDescent="0.4">
      <c r="A7" s="51" t="s">
        <v>2</v>
      </c>
      <c r="B7" s="43">
        <v>2</v>
      </c>
      <c r="C7" s="35">
        <f>IF(B$2=0,0,B7/B$2)</f>
        <v>0.25</v>
      </c>
      <c r="E7" s="59" t="s">
        <v>72</v>
      </c>
      <c r="F7" s="56" t="s">
        <v>31</v>
      </c>
      <c r="G7" s="43">
        <v>4</v>
      </c>
      <c r="H7" s="128">
        <f>IF(B$19=0,0,G7/B$19)</f>
        <v>0.2</v>
      </c>
      <c r="I7" s="90">
        <v>2</v>
      </c>
      <c r="K7" s="34">
        <v>5</v>
      </c>
      <c r="L7" s="95">
        <v>-15</v>
      </c>
      <c r="N7" s="110" t="s">
        <v>124</v>
      </c>
      <c r="O7" s="117">
        <f t="shared" si="0"/>
        <v>0</v>
      </c>
      <c r="P7" s="114">
        <v>8</v>
      </c>
      <c r="Q7" s="98">
        <v>0</v>
      </c>
    </row>
    <row r="8" spans="1:17" x14ac:dyDescent="0.4">
      <c r="A8" s="51" t="s">
        <v>3</v>
      </c>
      <c r="B8" s="43">
        <v>2</v>
      </c>
      <c r="C8" s="35">
        <f>IF(B$2=0,0,B8/B$2)</f>
        <v>0.25</v>
      </c>
      <c r="E8" s="59" t="s">
        <v>157</v>
      </c>
      <c r="F8" s="56" t="s">
        <v>158</v>
      </c>
      <c r="G8" s="43">
        <v>4</v>
      </c>
      <c r="H8" s="128">
        <f>IF(B$19=0,0,G8/B$19)</f>
        <v>0.2</v>
      </c>
      <c r="I8" s="90">
        <v>2</v>
      </c>
      <c r="K8" s="34">
        <v>6</v>
      </c>
      <c r="L8" s="95">
        <v>66.3</v>
      </c>
      <c r="N8" s="110" t="s">
        <v>125</v>
      </c>
      <c r="O8" s="117">
        <f t="shared" si="0"/>
        <v>0</v>
      </c>
      <c r="P8" s="114">
        <v>8</v>
      </c>
      <c r="Q8" s="98">
        <v>0</v>
      </c>
    </row>
    <row r="9" spans="1:17" x14ac:dyDescent="0.4">
      <c r="A9" s="52" t="s">
        <v>4</v>
      </c>
      <c r="B9" s="44">
        <v>2</v>
      </c>
      <c r="C9" s="36">
        <f t="shared" ref="C9:C11" si="1">IF(B$2=0,0,B9/B$2)</f>
        <v>0.25</v>
      </c>
      <c r="E9" s="59" t="s">
        <v>61</v>
      </c>
      <c r="F9" s="56" t="s">
        <v>21</v>
      </c>
      <c r="G9" s="43">
        <v>2</v>
      </c>
      <c r="H9" s="128">
        <f>IF(B$19=0,0,G9/B$19)</f>
        <v>0.1</v>
      </c>
      <c r="I9" s="90">
        <v>2</v>
      </c>
      <c r="K9" s="34">
        <v>7</v>
      </c>
      <c r="L9" s="95">
        <v>97.4</v>
      </c>
      <c r="N9" s="111" t="s">
        <v>165</v>
      </c>
      <c r="O9" s="118">
        <f t="shared" si="0"/>
        <v>0</v>
      </c>
      <c r="P9" s="115">
        <v>8</v>
      </c>
      <c r="Q9" s="99">
        <v>0</v>
      </c>
    </row>
    <row r="10" spans="1:17" x14ac:dyDescent="0.4">
      <c r="A10" s="52" t="s">
        <v>162</v>
      </c>
      <c r="B10" s="44">
        <v>2</v>
      </c>
      <c r="C10" s="36">
        <f t="shared" si="1"/>
        <v>0.25</v>
      </c>
      <c r="E10" s="59" t="s">
        <v>62</v>
      </c>
      <c r="F10" s="56" t="s">
        <v>22</v>
      </c>
      <c r="G10" s="43">
        <v>2</v>
      </c>
      <c r="H10" s="128">
        <f>IF(B$19=0,0,G10/B$19)</f>
        <v>0.1</v>
      </c>
      <c r="I10" s="90">
        <v>2</v>
      </c>
      <c r="K10" s="34">
        <v>8</v>
      </c>
      <c r="L10" s="95">
        <v>0</v>
      </c>
      <c r="N10" s="39"/>
      <c r="O10" s="122"/>
      <c r="P10" s="106"/>
      <c r="Q10" s="104"/>
    </row>
    <row r="11" spans="1:17" x14ac:dyDescent="0.4">
      <c r="A11" s="52" t="s">
        <v>171</v>
      </c>
      <c r="B11" s="44">
        <f>トップ数+B8</f>
        <v>4</v>
      </c>
      <c r="C11" s="36">
        <f>IF(B$2=0,0,B11/B$2)</f>
        <v>0.5</v>
      </c>
      <c r="E11" s="59" t="s">
        <v>67</v>
      </c>
      <c r="F11" s="56" t="s">
        <v>26</v>
      </c>
      <c r="G11" s="43">
        <v>2</v>
      </c>
      <c r="H11" s="128">
        <f>IF(B$19=0,0,G11/B$19)</f>
        <v>0.1</v>
      </c>
      <c r="I11" s="90">
        <v>2</v>
      </c>
      <c r="N11" s="108" t="s">
        <v>151</v>
      </c>
      <c r="O11" s="30" t="s">
        <v>113</v>
      </c>
      <c r="P11" s="112" t="s">
        <v>109</v>
      </c>
      <c r="Q11" s="100" t="s">
        <v>146</v>
      </c>
    </row>
    <row r="12" spans="1:17" x14ac:dyDescent="0.4">
      <c r="A12" s="52" t="s">
        <v>19</v>
      </c>
      <c r="B12" s="44">
        <v>2</v>
      </c>
      <c r="C12" s="36">
        <f>IF(B$2=0,0,B12/B$2)</f>
        <v>0.25</v>
      </c>
      <c r="E12" s="59" t="s">
        <v>68</v>
      </c>
      <c r="F12" s="56" t="s">
        <v>27</v>
      </c>
      <c r="G12" s="43">
        <v>2</v>
      </c>
      <c r="H12" s="128">
        <f>IF(B$19=0,0,G12/B$19)</f>
        <v>0.1</v>
      </c>
      <c r="I12" s="90">
        <v>2</v>
      </c>
      <c r="N12" s="109" t="s">
        <v>152</v>
      </c>
      <c r="O12" s="119">
        <f>IF(P12=0,0,Q12/P12)</f>
        <v>-15</v>
      </c>
      <c r="P12" s="113">
        <v>2</v>
      </c>
      <c r="Q12" s="101">
        <v>-30</v>
      </c>
    </row>
    <row r="13" spans="1:17" x14ac:dyDescent="0.4">
      <c r="A13" s="52" t="s">
        <v>128</v>
      </c>
      <c r="B13" s="44">
        <v>2</v>
      </c>
      <c r="C13" s="36">
        <f>IF(B$2=0,0,B13/B$2)</f>
        <v>0.25</v>
      </c>
      <c r="E13" s="59" t="s">
        <v>71</v>
      </c>
      <c r="F13" s="56" t="s">
        <v>30</v>
      </c>
      <c r="G13" s="43">
        <v>2</v>
      </c>
      <c r="H13" s="128">
        <f>IF(B$19=0,0,G13/B$19)</f>
        <v>0.1</v>
      </c>
      <c r="I13" s="90">
        <v>2</v>
      </c>
      <c r="N13" s="110" t="s">
        <v>153</v>
      </c>
      <c r="O13" s="120">
        <f>IF(P13=0,0,Q13/P13)</f>
        <v>81.3</v>
      </c>
      <c r="P13" s="114">
        <v>2</v>
      </c>
      <c r="Q13" s="102">
        <v>162.6</v>
      </c>
    </row>
    <row r="14" spans="1:17" x14ac:dyDescent="0.4">
      <c r="A14" s="53" t="s">
        <v>148</v>
      </c>
      <c r="B14" s="45">
        <v>2</v>
      </c>
      <c r="C14" s="38">
        <f>IF(B$2=0,0,B14/B$2)</f>
        <v>0.25</v>
      </c>
      <c r="E14" s="59" t="s">
        <v>75</v>
      </c>
      <c r="F14" s="56" t="s">
        <v>34</v>
      </c>
      <c r="G14" s="43">
        <v>2</v>
      </c>
      <c r="H14" s="128">
        <f>IF(B$19=0,0,G14/B$19)</f>
        <v>0.1</v>
      </c>
      <c r="I14" s="90">
        <v>2</v>
      </c>
      <c r="N14" s="110" t="s">
        <v>163</v>
      </c>
      <c r="O14" s="120">
        <f>IF(P14=0,0,Q14/P14)</f>
        <v>31.1</v>
      </c>
      <c r="P14" s="114">
        <v>2</v>
      </c>
      <c r="Q14" s="102">
        <v>62.2</v>
      </c>
    </row>
    <row r="15" spans="1:17" x14ac:dyDescent="0.4">
      <c r="A15" s="54" t="s">
        <v>114</v>
      </c>
      <c r="B15" s="46">
        <v>16</v>
      </c>
      <c r="C15" s="40">
        <f>IF(B$3=0,0,B15/B$3)</f>
        <v>0.2</v>
      </c>
      <c r="E15" s="59" t="s">
        <v>76</v>
      </c>
      <c r="F15" s="56" t="s">
        <v>35</v>
      </c>
      <c r="G15" s="43">
        <v>2</v>
      </c>
      <c r="H15" s="128">
        <f>IF(B$19=0,0,G15/B$19)</f>
        <v>0.1</v>
      </c>
      <c r="I15" s="90">
        <v>2</v>
      </c>
      <c r="N15" s="111" t="s">
        <v>164</v>
      </c>
      <c r="O15" s="121">
        <f>IF(P15=0,0,Q15/P15)</f>
        <v>-97.4</v>
      </c>
      <c r="P15" s="115">
        <v>2</v>
      </c>
      <c r="Q15" s="103">
        <v>-194.8</v>
      </c>
    </row>
    <row r="16" spans="1:17" x14ac:dyDescent="0.4">
      <c r="A16" s="51" t="s">
        <v>111</v>
      </c>
      <c r="B16" s="43">
        <v>4</v>
      </c>
      <c r="C16" s="35">
        <f>IF(B$3=0,0,B16/B$3)</f>
        <v>0.05</v>
      </c>
      <c r="E16" s="59" t="s">
        <v>168</v>
      </c>
      <c r="F16" s="56" t="s">
        <v>169</v>
      </c>
      <c r="G16" s="43">
        <v>2</v>
      </c>
      <c r="H16" s="128">
        <f>IF(B$19=0,0,G16/B$19)</f>
        <v>0.1</v>
      </c>
      <c r="I16" s="90">
        <v>2</v>
      </c>
      <c r="N16" s="29"/>
      <c r="O16" s="105"/>
      <c r="P16" s="107"/>
      <c r="Q16" s="105"/>
    </row>
    <row r="17" spans="1:17" x14ac:dyDescent="0.4">
      <c r="A17" s="50" t="s">
        <v>116</v>
      </c>
      <c r="B17" s="42">
        <v>6</v>
      </c>
      <c r="C17" s="33">
        <f>IF(B$15=0,0,B17/B$15)</f>
        <v>0.375</v>
      </c>
      <c r="E17" s="59" t="s">
        <v>78</v>
      </c>
      <c r="F17" s="56" t="s">
        <v>37</v>
      </c>
      <c r="G17" s="43">
        <v>2</v>
      </c>
      <c r="H17" s="128">
        <f>IF(B$19=0,0,G17/B$19)</f>
        <v>0.1</v>
      </c>
      <c r="I17" s="90">
        <v>2</v>
      </c>
      <c r="N17" s="108" t="s">
        <v>143</v>
      </c>
      <c r="O17" s="30" t="s">
        <v>113</v>
      </c>
      <c r="P17" s="112" t="s">
        <v>109</v>
      </c>
      <c r="Q17" s="100" t="s">
        <v>146</v>
      </c>
    </row>
    <row r="18" spans="1:17" x14ac:dyDescent="0.4">
      <c r="A18" s="50" t="s">
        <v>117</v>
      </c>
      <c r="B18" s="42">
        <v>2</v>
      </c>
      <c r="C18" s="33">
        <f>IF(B$16=0,0,B18/B$16)</f>
        <v>0.5</v>
      </c>
      <c r="E18" s="59" t="s">
        <v>79</v>
      </c>
      <c r="F18" s="56" t="s">
        <v>38</v>
      </c>
      <c r="G18" s="43">
        <v>2</v>
      </c>
      <c r="H18" s="128">
        <f>IF(B$19=0,0,G18/B$19)</f>
        <v>0.1</v>
      </c>
      <c r="I18" s="90">
        <v>2</v>
      </c>
      <c r="N18" s="109" t="s">
        <v>159</v>
      </c>
      <c r="O18" s="119">
        <f>IF(P18=0,0,Q18/P18)</f>
        <v>-108.39999999999999</v>
      </c>
      <c r="P18" s="113">
        <v>6</v>
      </c>
      <c r="Q18" s="101">
        <v>-650.4</v>
      </c>
    </row>
    <row r="19" spans="1:17" x14ac:dyDescent="0.4">
      <c r="A19" s="50" t="s">
        <v>10</v>
      </c>
      <c r="B19" s="42">
        <f>B21+B20</f>
        <v>20</v>
      </c>
      <c r="C19" s="33">
        <f>IF(B$3=0,0,B19/B$3)</f>
        <v>0.25</v>
      </c>
      <c r="E19" s="59" t="s">
        <v>82</v>
      </c>
      <c r="F19" s="56" t="s">
        <v>41</v>
      </c>
      <c r="G19" s="43">
        <v>2</v>
      </c>
      <c r="H19" s="128">
        <f>IF(B$19=0,0,G19/B$19)</f>
        <v>0.1</v>
      </c>
      <c r="I19" s="90">
        <v>2</v>
      </c>
      <c r="N19" s="110" t="s">
        <v>160</v>
      </c>
      <c r="O19" s="120">
        <f>IF(P19=0,0,Q19/P19)</f>
        <v>-41.466666666666669</v>
      </c>
      <c r="P19" s="114">
        <v>6</v>
      </c>
      <c r="Q19" s="102">
        <v>-248.8</v>
      </c>
    </row>
    <row r="20" spans="1:17" x14ac:dyDescent="0.4">
      <c r="A20" s="51" t="s">
        <v>12</v>
      </c>
      <c r="B20" s="43">
        <v>14</v>
      </c>
      <c r="C20" s="35">
        <f>IF(B$19=0,0,B20/B$19)</f>
        <v>0.7</v>
      </c>
      <c r="E20" s="59" t="s">
        <v>83</v>
      </c>
      <c r="F20" s="56" t="s">
        <v>42</v>
      </c>
      <c r="G20" s="43">
        <v>2</v>
      </c>
      <c r="H20" s="128">
        <f>IF(B$19=0,0,G20/B$19)</f>
        <v>0.1</v>
      </c>
      <c r="I20" s="90">
        <v>2</v>
      </c>
      <c r="N20" s="110" t="s">
        <v>167</v>
      </c>
      <c r="O20" s="120">
        <f>IF(P20=0,0,Q20/P20)</f>
        <v>129.86666666666665</v>
      </c>
      <c r="P20" s="114">
        <v>6</v>
      </c>
      <c r="Q20" s="102">
        <v>779.19999999999993</v>
      </c>
    </row>
    <row r="21" spans="1:17" x14ac:dyDescent="0.4">
      <c r="A21" s="51" t="s">
        <v>11</v>
      </c>
      <c r="B21" s="43">
        <v>6</v>
      </c>
      <c r="C21" s="35">
        <f>IF(B$19=0,0,B21/B$19)</f>
        <v>0.3</v>
      </c>
      <c r="E21" s="59" t="s">
        <v>95</v>
      </c>
      <c r="F21" s="56" t="s">
        <v>54</v>
      </c>
      <c r="G21" s="43">
        <v>2</v>
      </c>
      <c r="H21" s="128">
        <f>IF(B$19=0,0,G21/B$19)</f>
        <v>0.1</v>
      </c>
      <c r="I21" s="90">
        <v>2</v>
      </c>
      <c r="N21" s="110" t="s">
        <v>161</v>
      </c>
      <c r="O21" s="120">
        <f>IF(P21=0,0,Q21/P21)</f>
        <v>20</v>
      </c>
      <c r="P21" s="114">
        <v>6</v>
      </c>
      <c r="Q21" s="102">
        <v>120</v>
      </c>
    </row>
    <row r="22" spans="1:17" x14ac:dyDescent="0.4">
      <c r="A22" s="51" t="s">
        <v>13</v>
      </c>
      <c r="B22" s="43">
        <v>6</v>
      </c>
      <c r="C22" s="35">
        <f>IF(B$3=0,0,B22/B$3)</f>
        <v>7.4999999999999997E-2</v>
      </c>
      <c r="E22" s="59" t="s">
        <v>99</v>
      </c>
      <c r="F22" s="56" t="s">
        <v>58</v>
      </c>
      <c r="G22" s="43">
        <v>2</v>
      </c>
      <c r="H22" s="128">
        <f>IF(B$19=0,0,G22/B$19)</f>
        <v>0.1</v>
      </c>
      <c r="I22" s="90">
        <v>2</v>
      </c>
    </row>
    <row r="23" spans="1:17" x14ac:dyDescent="0.4">
      <c r="A23" s="51" t="s">
        <v>155</v>
      </c>
      <c r="B23" s="43">
        <v>0</v>
      </c>
      <c r="C23" s="130">
        <v>0</v>
      </c>
      <c r="E23" s="59" t="s">
        <v>104</v>
      </c>
      <c r="F23" s="56" t="s">
        <v>107</v>
      </c>
      <c r="G23" s="43">
        <v>2</v>
      </c>
      <c r="H23" s="128">
        <f>IF(B$19=0,0,G23/B$19)</f>
        <v>0.1</v>
      </c>
      <c r="I23" s="90">
        <v>2</v>
      </c>
    </row>
    <row r="24" spans="1:17" x14ac:dyDescent="0.4">
      <c r="A24" s="51" t="s">
        <v>156</v>
      </c>
      <c r="B24" s="43">
        <v>0</v>
      </c>
      <c r="C24" s="130">
        <v>0</v>
      </c>
      <c r="E24" s="59" t="s">
        <v>70</v>
      </c>
      <c r="F24" s="56" t="s">
        <v>29</v>
      </c>
      <c r="G24" s="43">
        <v>0</v>
      </c>
      <c r="H24" s="128">
        <f>IF(B$19=0,0,G24/B$19)</f>
        <v>0</v>
      </c>
      <c r="I24" s="90">
        <v>1</v>
      </c>
    </row>
    <row r="25" spans="1:17" x14ac:dyDescent="0.4">
      <c r="A25" s="51" t="s">
        <v>5</v>
      </c>
      <c r="B25" s="47">
        <f>IF(B$19=0,0,C25/B$19)</f>
        <v>22310</v>
      </c>
      <c r="C25" s="37">
        <v>446200</v>
      </c>
      <c r="E25" s="59" t="s">
        <v>73</v>
      </c>
      <c r="F25" s="56" t="s">
        <v>32</v>
      </c>
      <c r="G25" s="43">
        <v>0</v>
      </c>
      <c r="H25" s="128">
        <f>IF(B$19=0,0,G25/B$19)</f>
        <v>0</v>
      </c>
      <c r="I25" s="90">
        <v>1</v>
      </c>
    </row>
    <row r="26" spans="1:17" x14ac:dyDescent="0.4">
      <c r="A26" s="53" t="s">
        <v>14</v>
      </c>
      <c r="B26" s="48">
        <f>IF(B$22=0,0,C26/B$22)</f>
        <v>-26666.666666666668</v>
      </c>
      <c r="C26" s="41">
        <v>-160000</v>
      </c>
      <c r="E26" s="59" t="s">
        <v>74</v>
      </c>
      <c r="F26" s="56" t="s">
        <v>33</v>
      </c>
      <c r="G26" s="43">
        <v>0</v>
      </c>
      <c r="H26" s="128">
        <f>IF(B$19=0,0,G26/B$19)</f>
        <v>0</v>
      </c>
      <c r="I26" s="90">
        <v>1</v>
      </c>
    </row>
    <row r="27" spans="1:17" x14ac:dyDescent="0.4">
      <c r="A27" s="86" t="s">
        <v>130</v>
      </c>
      <c r="B27" s="137">
        <v>3</v>
      </c>
      <c r="C27" s="138"/>
      <c r="E27" s="59" t="s">
        <v>77</v>
      </c>
      <c r="F27" s="56" t="s">
        <v>36</v>
      </c>
      <c r="G27" s="43">
        <v>0</v>
      </c>
      <c r="H27" s="128">
        <f>IF(B$19=0,0,G27/B$19)</f>
        <v>0</v>
      </c>
      <c r="I27" s="90">
        <v>1</v>
      </c>
    </row>
    <row r="28" spans="1:17" x14ac:dyDescent="0.4">
      <c r="A28" s="54" t="s">
        <v>140</v>
      </c>
      <c r="B28" s="135">
        <v>91300</v>
      </c>
      <c r="C28" s="136"/>
      <c r="E28" s="59" t="s">
        <v>80</v>
      </c>
      <c r="F28" s="56" t="s">
        <v>39</v>
      </c>
      <c r="G28" s="43">
        <v>0</v>
      </c>
      <c r="H28" s="128">
        <f>IF(B$19=0,0,G28/B$19)</f>
        <v>0</v>
      </c>
      <c r="I28" s="90">
        <v>1</v>
      </c>
    </row>
    <row r="29" spans="1:17" x14ac:dyDescent="0.4">
      <c r="A29" s="53" t="s">
        <v>131</v>
      </c>
      <c r="B29" s="61">
        <v>0</v>
      </c>
      <c r="C29" s="38">
        <f>IF(B$3=0,0,B29/B$3)</f>
        <v>0</v>
      </c>
      <c r="E29" s="59" t="s">
        <v>81</v>
      </c>
      <c r="F29" s="56" t="s">
        <v>40</v>
      </c>
      <c r="G29" s="43">
        <v>0</v>
      </c>
      <c r="H29" s="128">
        <f>IF(B$19=0,0,G29/B$19)</f>
        <v>0</v>
      </c>
      <c r="I29" s="90">
        <v>1</v>
      </c>
    </row>
    <row r="30" spans="1:17" x14ac:dyDescent="0.4">
      <c r="E30" s="59" t="s">
        <v>84</v>
      </c>
      <c r="F30" s="56" t="s">
        <v>43</v>
      </c>
      <c r="G30" s="43">
        <v>0</v>
      </c>
      <c r="H30" s="128">
        <f>IF(B$19=0,0,G30/B$19)</f>
        <v>0</v>
      </c>
      <c r="I30" s="90">
        <v>1</v>
      </c>
    </row>
    <row r="31" spans="1:17" x14ac:dyDescent="0.4">
      <c r="E31" s="59" t="s">
        <v>85</v>
      </c>
      <c r="F31" s="56" t="s">
        <v>44</v>
      </c>
      <c r="G31" s="43">
        <v>0</v>
      </c>
      <c r="H31" s="128">
        <f>IF(B$19=0,0,G31/B$19)</f>
        <v>0</v>
      </c>
      <c r="I31" s="90">
        <v>1</v>
      </c>
    </row>
    <row r="32" spans="1:17" x14ac:dyDescent="0.4">
      <c r="E32" s="59" t="s">
        <v>86</v>
      </c>
      <c r="F32" s="56" t="s">
        <v>45</v>
      </c>
      <c r="G32" s="43">
        <v>0</v>
      </c>
      <c r="H32" s="128">
        <f>IF(B$19=0,0,G32/B$19)</f>
        <v>0</v>
      </c>
      <c r="I32" s="90">
        <v>1</v>
      </c>
    </row>
    <row r="33" spans="5:9" x14ac:dyDescent="0.4">
      <c r="E33" s="59" t="s">
        <v>87</v>
      </c>
      <c r="F33" s="56" t="s">
        <v>46</v>
      </c>
      <c r="G33" s="43">
        <v>0</v>
      </c>
      <c r="H33" s="128">
        <f>IF(B$19=0,0,G33/B$19)</f>
        <v>0</v>
      </c>
      <c r="I33" s="90">
        <v>1</v>
      </c>
    </row>
    <row r="34" spans="5:9" x14ac:dyDescent="0.4">
      <c r="E34" s="59" t="s">
        <v>88</v>
      </c>
      <c r="F34" s="56" t="s">
        <v>47</v>
      </c>
      <c r="G34" s="43">
        <v>0</v>
      </c>
      <c r="H34" s="128">
        <f>IF(B$19=0,0,G34/B$19)</f>
        <v>0</v>
      </c>
      <c r="I34" s="90">
        <v>1</v>
      </c>
    </row>
    <row r="35" spans="5:9" x14ac:dyDescent="0.4">
      <c r="E35" s="59" t="s">
        <v>89</v>
      </c>
      <c r="F35" s="56" t="s">
        <v>48</v>
      </c>
      <c r="G35" s="43">
        <v>0</v>
      </c>
      <c r="H35" s="128">
        <f>IF(B$19=0,0,G35/B$19)</f>
        <v>0</v>
      </c>
      <c r="I35" s="90">
        <v>1</v>
      </c>
    </row>
    <row r="36" spans="5:9" x14ac:dyDescent="0.4">
      <c r="E36" s="59" t="s">
        <v>90</v>
      </c>
      <c r="F36" s="56" t="s">
        <v>49</v>
      </c>
      <c r="G36" s="43">
        <v>0</v>
      </c>
      <c r="H36" s="128">
        <f>IF(B$19=0,0,G36/B$19)</f>
        <v>0</v>
      </c>
      <c r="I36" s="90">
        <v>1</v>
      </c>
    </row>
    <row r="37" spans="5:9" x14ac:dyDescent="0.4">
      <c r="E37" s="59" t="s">
        <v>91</v>
      </c>
      <c r="F37" s="56" t="s">
        <v>50</v>
      </c>
      <c r="G37" s="43">
        <v>0</v>
      </c>
      <c r="H37" s="128">
        <f>IF(B$19=0,0,G37/B$19)</f>
        <v>0</v>
      </c>
      <c r="I37" s="90">
        <v>1</v>
      </c>
    </row>
    <row r="38" spans="5:9" x14ac:dyDescent="0.4">
      <c r="E38" s="59" t="s">
        <v>92</v>
      </c>
      <c r="F38" s="56" t="s">
        <v>51</v>
      </c>
      <c r="G38" s="43">
        <v>0</v>
      </c>
      <c r="H38" s="128">
        <f>IF(B$19=0,0,G38/B$19)</f>
        <v>0</v>
      </c>
      <c r="I38" s="90">
        <v>1</v>
      </c>
    </row>
    <row r="39" spans="5:9" x14ac:dyDescent="0.4">
      <c r="E39" s="59" t="s">
        <v>93</v>
      </c>
      <c r="F39" s="56" t="s">
        <v>52</v>
      </c>
      <c r="G39" s="43">
        <v>0</v>
      </c>
      <c r="H39" s="128">
        <f>IF(B$19=0,0,G39/B$19)</f>
        <v>0</v>
      </c>
      <c r="I39" s="90">
        <v>1</v>
      </c>
    </row>
    <row r="40" spans="5:9" x14ac:dyDescent="0.4">
      <c r="E40" s="59" t="s">
        <v>94</v>
      </c>
      <c r="F40" s="56" t="s">
        <v>53</v>
      </c>
      <c r="G40" s="43">
        <v>0</v>
      </c>
      <c r="H40" s="128">
        <f>IF(B$19=0,0,G40/B$19)</f>
        <v>0</v>
      </c>
      <c r="I40" s="90">
        <v>1</v>
      </c>
    </row>
    <row r="41" spans="5:9" x14ac:dyDescent="0.4">
      <c r="E41" s="59" t="s">
        <v>96</v>
      </c>
      <c r="F41" s="56" t="s">
        <v>55</v>
      </c>
      <c r="G41" s="43">
        <v>0</v>
      </c>
      <c r="H41" s="128">
        <f>IF(B$19=0,0,G41/B$19)</f>
        <v>0</v>
      </c>
      <c r="I41" s="90">
        <v>1</v>
      </c>
    </row>
    <row r="42" spans="5:9" x14ac:dyDescent="0.4">
      <c r="E42" s="59" t="s">
        <v>97</v>
      </c>
      <c r="F42" s="56" t="s">
        <v>56</v>
      </c>
      <c r="G42" s="43">
        <v>0</v>
      </c>
      <c r="H42" s="128">
        <f>IF(B$19=0,0,G42/B$19)</f>
        <v>0</v>
      </c>
      <c r="I42" s="90">
        <v>1</v>
      </c>
    </row>
    <row r="43" spans="5:9" x14ac:dyDescent="0.4">
      <c r="E43" s="59" t="s">
        <v>98</v>
      </c>
      <c r="F43" s="56" t="s">
        <v>57</v>
      </c>
      <c r="G43" s="43">
        <v>0</v>
      </c>
      <c r="H43" s="128">
        <f>IF(B$19=0,0,G43/B$19)</f>
        <v>0</v>
      </c>
      <c r="I43" s="90">
        <v>1</v>
      </c>
    </row>
    <row r="44" spans="5:9" x14ac:dyDescent="0.4">
      <c r="E44" s="59" t="s">
        <v>100</v>
      </c>
      <c r="F44" s="56" t="s">
        <v>59</v>
      </c>
      <c r="G44" s="43">
        <v>0</v>
      </c>
      <c r="H44" s="128">
        <f>IF(B$19=0,0,G44/B$19)</f>
        <v>0</v>
      </c>
      <c r="I44" s="90">
        <v>1</v>
      </c>
    </row>
    <row r="45" spans="5:9" x14ac:dyDescent="0.4">
      <c r="E45" s="59" t="s">
        <v>101</v>
      </c>
      <c r="F45" s="56" t="s">
        <v>60</v>
      </c>
      <c r="G45" s="43">
        <v>0</v>
      </c>
      <c r="H45" s="128">
        <f>IF(B$19=0,0,G45/B$19)</f>
        <v>0</v>
      </c>
      <c r="I45" s="90">
        <v>1</v>
      </c>
    </row>
    <row r="46" spans="5:9" x14ac:dyDescent="0.4">
      <c r="E46" s="59" t="s">
        <v>102</v>
      </c>
      <c r="F46" s="56" t="s">
        <v>105</v>
      </c>
      <c r="G46" s="43">
        <v>0</v>
      </c>
      <c r="H46" s="128">
        <f>IF(B$19=0,0,G46/B$19)</f>
        <v>0</v>
      </c>
      <c r="I46" s="90">
        <v>1</v>
      </c>
    </row>
    <row r="47" spans="5:9" x14ac:dyDescent="0.4">
      <c r="E47" s="60" t="s">
        <v>103</v>
      </c>
      <c r="F47" s="57" t="s">
        <v>106</v>
      </c>
      <c r="G47" s="45">
        <v>0</v>
      </c>
      <c r="H47" s="129">
        <f>IF(B$19=0,0,G47/B$19)</f>
        <v>0</v>
      </c>
      <c r="I47" s="91">
        <v>1</v>
      </c>
    </row>
  </sheetData>
  <sortState xmlns:xlrd2="http://schemas.microsoft.com/office/spreadsheetml/2017/richdata2" ref="N15:Q15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E3DE5-1076-4E57-B874-D756CB3D4A8B}">
  <sheetPr codeName="Sheet8"/>
  <dimension ref="A1:R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9" width="10.75" style="63"/>
    <col min="10" max="11" width="10.75" style="64"/>
    <col min="12" max="18" width="10.75" style="63"/>
    <col min="19" max="16384" width="10.75" style="66"/>
  </cols>
  <sheetData>
    <row r="1" spans="1:18" x14ac:dyDescent="0.4">
      <c r="A1" s="66" t="s">
        <v>161</v>
      </c>
      <c r="B1" s="66" t="s">
        <v>161</v>
      </c>
      <c r="C1" s="66" t="s">
        <v>161</v>
      </c>
      <c r="D1" s="67" t="s">
        <v>161</v>
      </c>
      <c r="E1" s="66" t="s">
        <v>161</v>
      </c>
      <c r="F1" s="66" t="s">
        <v>161</v>
      </c>
      <c r="G1" s="66" t="s">
        <v>161</v>
      </c>
      <c r="H1" s="66" t="s">
        <v>161</v>
      </c>
      <c r="I1" s="66" t="s">
        <v>161</v>
      </c>
      <c r="J1" s="66" t="s">
        <v>161</v>
      </c>
      <c r="K1" s="66" t="s">
        <v>161</v>
      </c>
      <c r="L1" s="66" t="s">
        <v>161</v>
      </c>
      <c r="M1" s="66" t="s">
        <v>161</v>
      </c>
      <c r="N1" s="66" t="s">
        <v>161</v>
      </c>
      <c r="O1" s="66" t="s">
        <v>161</v>
      </c>
      <c r="P1" s="66" t="s">
        <v>161</v>
      </c>
      <c r="Q1" s="66" t="s">
        <v>161</v>
      </c>
      <c r="R1" s="66" t="s">
        <v>161</v>
      </c>
    </row>
    <row r="2" spans="1:18" x14ac:dyDescent="0.4">
      <c r="A2" s="66" t="s">
        <v>9</v>
      </c>
      <c r="B2" s="66" t="s">
        <v>6</v>
      </c>
      <c r="C2" s="66" t="s">
        <v>7</v>
      </c>
      <c r="D2" s="67" t="s">
        <v>16</v>
      </c>
      <c r="E2" s="66" t="s">
        <v>15</v>
      </c>
      <c r="F2" s="66" t="s">
        <v>150</v>
      </c>
      <c r="G2" s="66" t="s">
        <v>170</v>
      </c>
      <c r="H2" s="66" t="s">
        <v>135</v>
      </c>
      <c r="I2" s="66" t="s">
        <v>134</v>
      </c>
      <c r="J2" s="66" t="s">
        <v>5</v>
      </c>
      <c r="K2" s="66" t="s">
        <v>17</v>
      </c>
      <c r="L2" s="66" t="s">
        <v>18</v>
      </c>
      <c r="M2" s="66" t="s">
        <v>129</v>
      </c>
      <c r="N2" s="66" t="s">
        <v>115</v>
      </c>
      <c r="O2" s="66" t="s">
        <v>112</v>
      </c>
      <c r="P2" s="66" t="s">
        <v>118</v>
      </c>
      <c r="Q2" s="66" t="s">
        <v>136</v>
      </c>
      <c r="R2" s="66" t="s">
        <v>132</v>
      </c>
    </row>
    <row r="3" spans="1:18" x14ac:dyDescent="0.4">
      <c r="A3" s="65">
        <v>0</v>
      </c>
      <c r="B3" s="62">
        <v>0</v>
      </c>
    </row>
    <row r="4" spans="1:18" x14ac:dyDescent="0.4">
      <c r="A4" s="65">
        <v>1</v>
      </c>
      <c r="B4" s="62">
        <v>-15</v>
      </c>
      <c r="C4" s="62">
        <v>-15</v>
      </c>
      <c r="D4" s="67">
        <v>3</v>
      </c>
      <c r="E4" s="63">
        <v>0</v>
      </c>
      <c r="F4" s="63">
        <v>0</v>
      </c>
      <c r="G4" s="63">
        <v>0</v>
      </c>
      <c r="H4" s="63">
        <v>0.2</v>
      </c>
      <c r="I4" s="63">
        <v>0</v>
      </c>
      <c r="J4" s="64">
        <v>16550</v>
      </c>
      <c r="K4" s="64">
        <v>0</v>
      </c>
      <c r="L4" s="63">
        <v>0</v>
      </c>
      <c r="M4" s="63">
        <v>0</v>
      </c>
      <c r="N4" s="63">
        <v>0.2</v>
      </c>
      <c r="O4" s="63">
        <v>0</v>
      </c>
      <c r="P4" s="63">
        <v>0</v>
      </c>
      <c r="Q4" s="63">
        <v>0</v>
      </c>
      <c r="R4" s="63">
        <v>1</v>
      </c>
    </row>
    <row r="5" spans="1:18" x14ac:dyDescent="0.4">
      <c r="A5" s="65">
        <v>2</v>
      </c>
      <c r="B5" s="62">
        <v>-30</v>
      </c>
      <c r="C5" s="62">
        <v>-15</v>
      </c>
      <c r="D5" s="67">
        <v>3</v>
      </c>
      <c r="E5" s="63">
        <v>0</v>
      </c>
      <c r="F5" s="63">
        <v>0</v>
      </c>
      <c r="G5" s="63">
        <v>0</v>
      </c>
      <c r="H5" s="63">
        <v>0.2</v>
      </c>
      <c r="I5" s="63">
        <v>0</v>
      </c>
      <c r="J5" s="64">
        <v>16550</v>
      </c>
      <c r="K5" s="64">
        <v>0</v>
      </c>
      <c r="L5" s="63">
        <v>0</v>
      </c>
      <c r="M5" s="63">
        <v>0</v>
      </c>
      <c r="N5" s="63">
        <v>0.2</v>
      </c>
      <c r="O5" s="63">
        <v>0</v>
      </c>
      <c r="P5" s="63">
        <v>0</v>
      </c>
      <c r="Q5" s="63">
        <v>0</v>
      </c>
      <c r="R5" s="63">
        <v>1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EAF9A8-FC5A-49A9-9B59-CC90B4EBC7BB}">
  <sheetPr codeName="Sheet7"/>
  <dimension ref="A1:Q47"/>
  <sheetViews>
    <sheetView showGridLines="0" zoomScaleNormal="100" workbookViewId="0"/>
  </sheetViews>
  <sheetFormatPr defaultColWidth="9" defaultRowHeight="18.75" x14ac:dyDescent="0.4"/>
  <cols>
    <col min="1" max="1" width="13" style="29" customWidth="1"/>
    <col min="2" max="3" width="9" style="29" customWidth="1"/>
    <col min="4" max="4" width="3.625" style="29" customWidth="1"/>
    <col min="5" max="5" width="3.625" style="123" bestFit="1" customWidth="1"/>
    <col min="6" max="6" width="11" style="39" bestFit="1" customWidth="1"/>
    <col min="7" max="9" width="9" style="29" customWidth="1"/>
    <col min="10" max="10" width="3.625" style="29" customWidth="1"/>
    <col min="11" max="11" width="3.5" style="34" customWidth="1"/>
    <col min="12" max="12" width="9" style="95" customWidth="1"/>
    <col min="13" max="13" width="3.625" style="29" customWidth="1"/>
    <col min="14" max="14" width="9" style="110" customWidth="1"/>
    <col min="15" max="15" width="9" style="120" customWidth="1"/>
    <col min="16" max="16" width="9" style="114" customWidth="1"/>
    <col min="17" max="17" width="3.625" style="102" customWidth="1"/>
    <col min="18" max="16384" width="9" style="29"/>
  </cols>
  <sheetData>
    <row r="1" spans="1:17" x14ac:dyDescent="0.4">
      <c r="A1" s="49" t="s">
        <v>0</v>
      </c>
      <c r="B1" s="141" t="s">
        <v>161</v>
      </c>
      <c r="C1" s="142"/>
      <c r="E1" s="124" t="s">
        <v>154</v>
      </c>
      <c r="F1" s="134" t="s">
        <v>108</v>
      </c>
      <c r="G1" s="133" t="s">
        <v>109</v>
      </c>
      <c r="H1" s="125" t="s">
        <v>110</v>
      </c>
      <c r="I1" s="134" t="s">
        <v>142</v>
      </c>
      <c r="K1" s="30" t="s">
        <v>20</v>
      </c>
      <c r="L1" s="31" t="s">
        <v>113</v>
      </c>
      <c r="M1" s="126"/>
      <c r="N1" s="108" t="s">
        <v>126</v>
      </c>
      <c r="O1" s="30" t="s">
        <v>127</v>
      </c>
      <c r="P1" s="112" t="s">
        <v>109</v>
      </c>
      <c r="Q1" s="96" t="s">
        <v>146</v>
      </c>
    </row>
    <row r="2" spans="1:17" x14ac:dyDescent="0.4">
      <c r="A2" s="50" t="s">
        <v>9</v>
      </c>
      <c r="B2" s="143">
        <v>2</v>
      </c>
      <c r="C2" s="144"/>
      <c r="E2" s="58" t="s">
        <v>65</v>
      </c>
      <c r="F2" s="55" t="s">
        <v>12</v>
      </c>
      <c r="G2" s="42">
        <v>2</v>
      </c>
      <c r="H2" s="127">
        <f>IF(B$19=0,0,G2/B$19)</f>
        <v>0.5</v>
      </c>
      <c r="I2" s="89">
        <v>2</v>
      </c>
      <c r="K2" s="32">
        <v>0</v>
      </c>
      <c r="L2" s="94">
        <v>0</v>
      </c>
      <c r="N2" s="109" t="s">
        <v>120</v>
      </c>
      <c r="O2" s="116">
        <f t="shared" ref="O2:O9" si="0">IF(P2=0,0,Q2/P2)</f>
        <v>-1000</v>
      </c>
      <c r="P2" s="113">
        <v>2</v>
      </c>
      <c r="Q2" s="97">
        <v>-2000</v>
      </c>
    </row>
    <row r="3" spans="1:17" x14ac:dyDescent="0.4">
      <c r="A3" s="51" t="s">
        <v>8</v>
      </c>
      <c r="B3" s="145">
        <v>20</v>
      </c>
      <c r="C3" s="146"/>
      <c r="E3" s="59" t="s">
        <v>99</v>
      </c>
      <c r="F3" s="56" t="s">
        <v>58</v>
      </c>
      <c r="G3" s="43">
        <v>2</v>
      </c>
      <c r="H3" s="128">
        <f>IF(B$19=0,0,G3/B$19)</f>
        <v>0.5</v>
      </c>
      <c r="I3" s="90">
        <v>1</v>
      </c>
      <c r="K3" s="34">
        <v>1</v>
      </c>
      <c r="L3" s="95">
        <v>-15</v>
      </c>
      <c r="N3" s="110" t="s">
        <v>121</v>
      </c>
      <c r="O3" s="117">
        <f t="shared" si="0"/>
        <v>-1000</v>
      </c>
      <c r="P3" s="114">
        <v>2</v>
      </c>
      <c r="Q3" s="98">
        <v>-2000</v>
      </c>
    </row>
    <row r="4" spans="1:17" x14ac:dyDescent="0.4">
      <c r="A4" s="51" t="s">
        <v>6</v>
      </c>
      <c r="B4" s="147">
        <v>-30</v>
      </c>
      <c r="C4" s="148"/>
      <c r="E4" s="59" t="s">
        <v>61</v>
      </c>
      <c r="F4" s="56" t="s">
        <v>21</v>
      </c>
      <c r="G4" s="43">
        <v>0</v>
      </c>
      <c r="H4" s="128">
        <f>IF(B$19=0,0,G4/B$19)</f>
        <v>0</v>
      </c>
      <c r="I4" s="90">
        <v>3</v>
      </c>
      <c r="K4" s="34">
        <v>2</v>
      </c>
      <c r="L4" s="95">
        <v>-30</v>
      </c>
      <c r="N4" s="110" t="s">
        <v>122</v>
      </c>
      <c r="O4" s="117">
        <f t="shared" si="0"/>
        <v>1100</v>
      </c>
      <c r="P4" s="114">
        <v>2</v>
      </c>
      <c r="Q4" s="98">
        <v>2200</v>
      </c>
    </row>
    <row r="5" spans="1:17" x14ac:dyDescent="0.4">
      <c r="A5" s="51" t="s">
        <v>7</v>
      </c>
      <c r="B5" s="149">
        <f>IF(B$2=0,0,B$4/B$2)</f>
        <v>-15</v>
      </c>
      <c r="C5" s="150"/>
      <c r="E5" s="59" t="s">
        <v>62</v>
      </c>
      <c r="F5" s="56" t="s">
        <v>22</v>
      </c>
      <c r="G5" s="43">
        <v>0</v>
      </c>
      <c r="H5" s="128">
        <f>IF(B$19=0,0,G5/B$19)</f>
        <v>0</v>
      </c>
      <c r="I5" s="90">
        <v>3</v>
      </c>
      <c r="N5" s="110" t="s">
        <v>166</v>
      </c>
      <c r="O5" s="117">
        <f t="shared" si="0"/>
        <v>-7000</v>
      </c>
      <c r="P5" s="114">
        <v>2</v>
      </c>
      <c r="Q5" s="98">
        <v>-14000</v>
      </c>
    </row>
    <row r="6" spans="1:17" x14ac:dyDescent="0.4">
      <c r="A6" s="51" t="s">
        <v>1</v>
      </c>
      <c r="B6" s="139">
        <f>IF(B$2=0,0,(B$7*1+B$8*2+B$9*3+B$10*4)/B$2)</f>
        <v>3</v>
      </c>
      <c r="C6" s="140"/>
      <c r="E6" s="59" t="s">
        <v>63</v>
      </c>
      <c r="F6" s="56" t="s">
        <v>23</v>
      </c>
      <c r="G6" s="43">
        <v>0</v>
      </c>
      <c r="H6" s="128">
        <f>IF(B$19=0,0,G6/B$19)</f>
        <v>0</v>
      </c>
      <c r="I6" s="90">
        <v>8</v>
      </c>
      <c r="N6" s="110" t="s">
        <v>123</v>
      </c>
      <c r="O6" s="117">
        <f t="shared" si="0"/>
        <v>-16000</v>
      </c>
      <c r="P6" s="114">
        <v>2</v>
      </c>
      <c r="Q6" s="98">
        <v>-32000</v>
      </c>
    </row>
    <row r="7" spans="1:17" x14ac:dyDescent="0.4">
      <c r="A7" s="51" t="s">
        <v>2</v>
      </c>
      <c r="B7" s="43">
        <v>0</v>
      </c>
      <c r="C7" s="35">
        <f>IF(B$2=0,0,B7/B$2)</f>
        <v>0</v>
      </c>
      <c r="E7" s="59" t="s">
        <v>64</v>
      </c>
      <c r="F7" s="56" t="s">
        <v>24</v>
      </c>
      <c r="G7" s="43">
        <v>0</v>
      </c>
      <c r="H7" s="128">
        <f>IF(B$19=0,0,G7/B$19)</f>
        <v>0</v>
      </c>
      <c r="I7" s="90">
        <v>7</v>
      </c>
      <c r="N7" s="110" t="s">
        <v>124</v>
      </c>
      <c r="O7" s="117">
        <f t="shared" si="0"/>
        <v>32000</v>
      </c>
      <c r="P7" s="114">
        <v>2</v>
      </c>
      <c r="Q7" s="98">
        <v>64000</v>
      </c>
    </row>
    <row r="8" spans="1:17" x14ac:dyDescent="0.4">
      <c r="A8" s="51" t="s">
        <v>3</v>
      </c>
      <c r="B8" s="43">
        <v>0</v>
      </c>
      <c r="C8" s="35">
        <f>IF(B$2=0,0,B8/B$2)</f>
        <v>0</v>
      </c>
      <c r="E8" s="59" t="s">
        <v>66</v>
      </c>
      <c r="F8" s="56" t="s">
        <v>25</v>
      </c>
      <c r="G8" s="43">
        <v>0</v>
      </c>
      <c r="H8" s="128">
        <f>IF(B$19=0,0,G8/B$19)</f>
        <v>0</v>
      </c>
      <c r="I8" s="90">
        <v>3</v>
      </c>
      <c r="N8" s="110" t="s">
        <v>125</v>
      </c>
      <c r="O8" s="117">
        <f t="shared" si="0"/>
        <v>-18100</v>
      </c>
      <c r="P8" s="114">
        <v>2</v>
      </c>
      <c r="Q8" s="98">
        <v>-36200</v>
      </c>
    </row>
    <row r="9" spans="1:17" x14ac:dyDescent="0.4">
      <c r="A9" s="52" t="s">
        <v>4</v>
      </c>
      <c r="B9" s="44">
        <v>2</v>
      </c>
      <c r="C9" s="36">
        <f t="shared" ref="C9:C11" si="1">IF(B$2=0,0,B9/B$2)</f>
        <v>1</v>
      </c>
      <c r="E9" s="59" t="s">
        <v>67</v>
      </c>
      <c r="F9" s="56" t="s">
        <v>26</v>
      </c>
      <c r="G9" s="43">
        <v>0</v>
      </c>
      <c r="H9" s="128">
        <f>IF(B$19=0,0,G9/B$19)</f>
        <v>0</v>
      </c>
      <c r="I9" s="90">
        <v>3</v>
      </c>
      <c r="N9" s="111" t="s">
        <v>165</v>
      </c>
      <c r="O9" s="118">
        <f t="shared" si="0"/>
        <v>0</v>
      </c>
      <c r="P9" s="115">
        <v>2</v>
      </c>
      <c r="Q9" s="99">
        <v>0</v>
      </c>
    </row>
    <row r="10" spans="1:17" x14ac:dyDescent="0.4">
      <c r="A10" s="52" t="s">
        <v>162</v>
      </c>
      <c r="B10" s="44">
        <v>0</v>
      </c>
      <c r="C10" s="36">
        <f t="shared" si="1"/>
        <v>0</v>
      </c>
      <c r="E10" s="59" t="s">
        <v>68</v>
      </c>
      <c r="F10" s="56" t="s">
        <v>27</v>
      </c>
      <c r="G10" s="43">
        <v>0</v>
      </c>
      <c r="H10" s="128">
        <f>IF(B$19=0,0,G10/B$19)</f>
        <v>0</v>
      </c>
      <c r="I10" s="90">
        <v>3</v>
      </c>
      <c r="N10" s="39"/>
      <c r="O10" s="122"/>
      <c r="P10" s="106"/>
      <c r="Q10" s="104"/>
    </row>
    <row r="11" spans="1:17" x14ac:dyDescent="0.4">
      <c r="A11" s="52" t="s">
        <v>171</v>
      </c>
      <c r="B11" s="44">
        <f>トップ数+B8</f>
        <v>0</v>
      </c>
      <c r="C11" s="36">
        <f>IF(B$2=0,0,B11/B$2)</f>
        <v>0</v>
      </c>
      <c r="E11" s="59" t="s">
        <v>69</v>
      </c>
      <c r="F11" s="56" t="s">
        <v>28</v>
      </c>
      <c r="G11" s="43">
        <v>0</v>
      </c>
      <c r="H11" s="128">
        <f>IF(B$19=0,0,G11/B$19)</f>
        <v>0</v>
      </c>
      <c r="I11" s="90">
        <v>3</v>
      </c>
      <c r="N11" s="108" t="s">
        <v>151</v>
      </c>
      <c r="O11" s="30" t="s">
        <v>113</v>
      </c>
      <c r="P11" s="112" t="s">
        <v>109</v>
      </c>
      <c r="Q11" s="100" t="s">
        <v>146</v>
      </c>
    </row>
    <row r="12" spans="1:17" x14ac:dyDescent="0.4">
      <c r="A12" s="52" t="s">
        <v>19</v>
      </c>
      <c r="B12" s="44">
        <v>0</v>
      </c>
      <c r="C12" s="36">
        <f>IF(B$2=0,0,B12/B$2)</f>
        <v>0</v>
      </c>
      <c r="E12" s="59" t="s">
        <v>70</v>
      </c>
      <c r="F12" s="56" t="s">
        <v>29</v>
      </c>
      <c r="G12" s="43">
        <v>0</v>
      </c>
      <c r="H12" s="128">
        <f>IF(B$19=0,0,G12/B$19)</f>
        <v>0</v>
      </c>
      <c r="I12" s="90">
        <v>1</v>
      </c>
      <c r="N12" s="109" t="s">
        <v>152</v>
      </c>
      <c r="O12" s="119">
        <f>IF(P12=0,0,Q12/P12)</f>
        <v>-15</v>
      </c>
      <c r="P12" s="113">
        <v>2</v>
      </c>
      <c r="Q12" s="101">
        <v>-30</v>
      </c>
    </row>
    <row r="13" spans="1:17" x14ac:dyDescent="0.4">
      <c r="A13" s="52" t="s">
        <v>128</v>
      </c>
      <c r="B13" s="44">
        <v>0</v>
      </c>
      <c r="C13" s="36">
        <f>IF(B$2=0,0,B13/B$2)</f>
        <v>0</v>
      </c>
      <c r="E13" s="59" t="s">
        <v>71</v>
      </c>
      <c r="F13" s="56" t="s">
        <v>30</v>
      </c>
      <c r="G13" s="43">
        <v>0</v>
      </c>
      <c r="H13" s="128">
        <f>IF(B$19=0,0,G13/B$19)</f>
        <v>0</v>
      </c>
      <c r="I13" s="90">
        <v>3</v>
      </c>
      <c r="N13" s="110" t="s">
        <v>153</v>
      </c>
      <c r="O13" s="120">
        <f>IF(P13=0,0,Q13/P13)</f>
        <v>0</v>
      </c>
      <c r="P13" s="114">
        <v>0</v>
      </c>
      <c r="Q13" s="102">
        <v>0</v>
      </c>
    </row>
    <row r="14" spans="1:17" x14ac:dyDescent="0.4">
      <c r="A14" s="53" t="s">
        <v>148</v>
      </c>
      <c r="B14" s="45">
        <v>0</v>
      </c>
      <c r="C14" s="38">
        <f>IF(B$2=0,0,B14/B$2)</f>
        <v>0</v>
      </c>
      <c r="E14" s="59" t="s">
        <v>72</v>
      </c>
      <c r="F14" s="56" t="s">
        <v>31</v>
      </c>
      <c r="G14" s="43">
        <v>0</v>
      </c>
      <c r="H14" s="128">
        <f>IF(B$19=0,0,G14/B$19)</f>
        <v>0</v>
      </c>
      <c r="I14" s="90">
        <v>3</v>
      </c>
      <c r="N14" s="110" t="s">
        <v>163</v>
      </c>
      <c r="O14" s="120">
        <f>IF(P14=0,0,Q14/P14)</f>
        <v>0</v>
      </c>
      <c r="P14" s="114">
        <v>0</v>
      </c>
      <c r="Q14" s="102">
        <v>0</v>
      </c>
    </row>
    <row r="15" spans="1:17" x14ac:dyDescent="0.4">
      <c r="A15" s="54" t="s">
        <v>114</v>
      </c>
      <c r="B15" s="46">
        <v>4</v>
      </c>
      <c r="C15" s="40">
        <f>IF(B$3=0,0,B15/B$3)</f>
        <v>0.2</v>
      </c>
      <c r="E15" s="59" t="s">
        <v>73</v>
      </c>
      <c r="F15" s="56" t="s">
        <v>32</v>
      </c>
      <c r="G15" s="43">
        <v>0</v>
      </c>
      <c r="H15" s="128">
        <f>IF(B$19=0,0,G15/B$19)</f>
        <v>0</v>
      </c>
      <c r="I15" s="90">
        <v>1</v>
      </c>
      <c r="N15" s="111" t="s">
        <v>164</v>
      </c>
      <c r="O15" s="121">
        <f>IF(P15=0,0,Q15/P15)</f>
        <v>0</v>
      </c>
      <c r="P15" s="115">
        <v>0</v>
      </c>
      <c r="Q15" s="103">
        <v>0</v>
      </c>
    </row>
    <row r="16" spans="1:17" x14ac:dyDescent="0.4">
      <c r="A16" s="51" t="s">
        <v>111</v>
      </c>
      <c r="B16" s="43">
        <v>0</v>
      </c>
      <c r="C16" s="35">
        <f>IF(B$3=0,0,B16/B$3)</f>
        <v>0</v>
      </c>
      <c r="E16" s="59" t="s">
        <v>74</v>
      </c>
      <c r="F16" s="56" t="s">
        <v>33</v>
      </c>
      <c r="G16" s="43">
        <v>0</v>
      </c>
      <c r="H16" s="128">
        <f>IF(B$19=0,0,G16/B$19)</f>
        <v>0</v>
      </c>
      <c r="I16" s="90">
        <v>1</v>
      </c>
      <c r="N16" s="29"/>
      <c r="O16" s="105"/>
      <c r="P16" s="107"/>
      <c r="Q16" s="105"/>
    </row>
    <row r="17" spans="1:17" x14ac:dyDescent="0.4">
      <c r="A17" s="50" t="s">
        <v>116</v>
      </c>
      <c r="B17" s="42">
        <v>0</v>
      </c>
      <c r="C17" s="33">
        <f>IF(B$15=0,0,B17/B$15)</f>
        <v>0</v>
      </c>
      <c r="E17" s="59" t="s">
        <v>75</v>
      </c>
      <c r="F17" s="56" t="s">
        <v>34</v>
      </c>
      <c r="G17" s="43">
        <v>0</v>
      </c>
      <c r="H17" s="128">
        <f>IF(B$19=0,0,G17/B$19)</f>
        <v>0</v>
      </c>
      <c r="I17" s="90">
        <v>3</v>
      </c>
      <c r="N17" s="108" t="s">
        <v>143</v>
      </c>
      <c r="O17" s="30" t="s">
        <v>113</v>
      </c>
      <c r="P17" s="112" t="s">
        <v>109</v>
      </c>
      <c r="Q17" s="100" t="s">
        <v>146</v>
      </c>
    </row>
    <row r="18" spans="1:17" x14ac:dyDescent="0.4">
      <c r="A18" s="50" t="s">
        <v>117</v>
      </c>
      <c r="B18" s="42">
        <v>0</v>
      </c>
      <c r="C18" s="33">
        <f>IF(B$16=0,0,B18/B$16)</f>
        <v>0</v>
      </c>
      <c r="E18" s="59" t="s">
        <v>76</v>
      </c>
      <c r="F18" s="56" t="s">
        <v>35</v>
      </c>
      <c r="G18" s="43">
        <v>0</v>
      </c>
      <c r="H18" s="128">
        <f>IF(B$19=0,0,G18/B$19)</f>
        <v>0</v>
      </c>
      <c r="I18" s="90">
        <v>3</v>
      </c>
      <c r="N18" s="109" t="s">
        <v>159</v>
      </c>
      <c r="O18" s="119">
        <f>IF(P18=0,0,Q18/P18)</f>
        <v>-96.3</v>
      </c>
      <c r="P18" s="113">
        <v>2</v>
      </c>
      <c r="Q18" s="101">
        <v>-192.6</v>
      </c>
    </row>
    <row r="19" spans="1:17" x14ac:dyDescent="0.4">
      <c r="A19" s="50" t="s">
        <v>10</v>
      </c>
      <c r="B19" s="42">
        <f>B21+B20</f>
        <v>4</v>
      </c>
      <c r="C19" s="33">
        <f>IF(B$3=0,0,B19/B$3)</f>
        <v>0.2</v>
      </c>
      <c r="E19" s="59" t="s">
        <v>168</v>
      </c>
      <c r="F19" s="56" t="s">
        <v>169</v>
      </c>
      <c r="G19" s="43">
        <v>0</v>
      </c>
      <c r="H19" s="128">
        <f>IF(B$19=0,0,G19/B$19)</f>
        <v>0</v>
      </c>
      <c r="I19" s="90">
        <v>3</v>
      </c>
      <c r="N19" s="110" t="s">
        <v>160</v>
      </c>
      <c r="O19" s="120">
        <f>IF(P19=0,0,Q19/P19)</f>
        <v>-46.1</v>
      </c>
      <c r="P19" s="114">
        <v>2</v>
      </c>
      <c r="Q19" s="102">
        <v>-92.2</v>
      </c>
    </row>
    <row r="20" spans="1:17" x14ac:dyDescent="0.4">
      <c r="A20" s="51" t="s">
        <v>12</v>
      </c>
      <c r="B20" s="43">
        <v>4</v>
      </c>
      <c r="C20" s="35">
        <f>IF(B$19=0,0,B20/B$19)</f>
        <v>1</v>
      </c>
      <c r="E20" s="59" t="s">
        <v>77</v>
      </c>
      <c r="F20" s="56" t="s">
        <v>36</v>
      </c>
      <c r="G20" s="43">
        <v>0</v>
      </c>
      <c r="H20" s="128">
        <f>IF(B$19=0,0,G20/B$19)</f>
        <v>0</v>
      </c>
      <c r="I20" s="90">
        <v>1</v>
      </c>
      <c r="N20" s="110" t="s">
        <v>167</v>
      </c>
      <c r="O20" s="120">
        <f>IF(P20=0,0,Q20/P20)</f>
        <v>82.4</v>
      </c>
      <c r="P20" s="114">
        <v>2</v>
      </c>
      <c r="Q20" s="102">
        <v>164.8</v>
      </c>
    </row>
    <row r="21" spans="1:17" x14ac:dyDescent="0.4">
      <c r="A21" s="51" t="s">
        <v>11</v>
      </c>
      <c r="B21" s="43">
        <v>0</v>
      </c>
      <c r="C21" s="35">
        <f>IF(B$19=0,0,B21/B$19)</f>
        <v>0</v>
      </c>
      <c r="E21" s="59" t="s">
        <v>78</v>
      </c>
      <c r="F21" s="56" t="s">
        <v>37</v>
      </c>
      <c r="G21" s="43">
        <v>0</v>
      </c>
      <c r="H21" s="128">
        <f>IF(B$19=0,0,G21/B$19)</f>
        <v>0</v>
      </c>
      <c r="I21" s="90">
        <v>3</v>
      </c>
    </row>
    <row r="22" spans="1:17" x14ac:dyDescent="0.4">
      <c r="A22" s="51" t="s">
        <v>13</v>
      </c>
      <c r="B22" s="43">
        <v>0</v>
      </c>
      <c r="C22" s="35">
        <f>IF(B$3=0,0,B22/B$3)</f>
        <v>0</v>
      </c>
      <c r="E22" s="59" t="s">
        <v>79</v>
      </c>
      <c r="F22" s="56" t="s">
        <v>38</v>
      </c>
      <c r="G22" s="43">
        <v>0</v>
      </c>
      <c r="H22" s="128">
        <f>IF(B$19=0,0,G22/B$19)</f>
        <v>0</v>
      </c>
      <c r="I22" s="90">
        <v>3</v>
      </c>
    </row>
    <row r="23" spans="1:17" x14ac:dyDescent="0.4">
      <c r="A23" s="51" t="s">
        <v>155</v>
      </c>
      <c r="B23" s="43">
        <v>0</v>
      </c>
      <c r="C23" s="130">
        <v>0</v>
      </c>
      <c r="E23" s="59" t="s">
        <v>80</v>
      </c>
      <c r="F23" s="56" t="s">
        <v>39</v>
      </c>
      <c r="G23" s="43">
        <v>0</v>
      </c>
      <c r="H23" s="128">
        <f>IF(B$19=0,0,G23/B$19)</f>
        <v>0</v>
      </c>
      <c r="I23" s="90">
        <v>1</v>
      </c>
    </row>
    <row r="24" spans="1:17" x14ac:dyDescent="0.4">
      <c r="A24" s="51" t="s">
        <v>156</v>
      </c>
      <c r="B24" s="43">
        <v>0</v>
      </c>
      <c r="C24" s="130">
        <v>20</v>
      </c>
      <c r="E24" s="59" t="s">
        <v>81</v>
      </c>
      <c r="F24" s="56" t="s">
        <v>40</v>
      </c>
      <c r="G24" s="43">
        <v>0</v>
      </c>
      <c r="H24" s="128">
        <f>IF(B$19=0,0,G24/B$19)</f>
        <v>0</v>
      </c>
      <c r="I24" s="90">
        <v>1</v>
      </c>
    </row>
    <row r="25" spans="1:17" x14ac:dyDescent="0.4">
      <c r="A25" s="51" t="s">
        <v>5</v>
      </c>
      <c r="B25" s="47">
        <f>IF(B$19=0,0,C25/B$19)</f>
        <v>16550</v>
      </c>
      <c r="C25" s="37">
        <v>66200</v>
      </c>
      <c r="E25" s="59" t="s">
        <v>82</v>
      </c>
      <c r="F25" s="56" t="s">
        <v>41</v>
      </c>
      <c r="G25" s="43">
        <v>0</v>
      </c>
      <c r="H25" s="128">
        <f>IF(B$19=0,0,G25/B$19)</f>
        <v>0</v>
      </c>
      <c r="I25" s="90">
        <v>3</v>
      </c>
    </row>
    <row r="26" spans="1:17" x14ac:dyDescent="0.4">
      <c r="A26" s="53" t="s">
        <v>14</v>
      </c>
      <c r="B26" s="48">
        <f>IF(B$22=0,0,C26/B$22)</f>
        <v>0</v>
      </c>
      <c r="C26" s="41">
        <v>0</v>
      </c>
      <c r="E26" s="59" t="s">
        <v>83</v>
      </c>
      <c r="F26" s="56" t="s">
        <v>42</v>
      </c>
      <c r="G26" s="43">
        <v>0</v>
      </c>
      <c r="H26" s="128">
        <f>IF(B$19=0,0,G26/B$19)</f>
        <v>0</v>
      </c>
      <c r="I26" s="90">
        <v>3</v>
      </c>
    </row>
    <row r="27" spans="1:17" x14ac:dyDescent="0.4">
      <c r="A27" s="86" t="s">
        <v>130</v>
      </c>
      <c r="B27" s="137">
        <v>0</v>
      </c>
      <c r="C27" s="138"/>
      <c r="E27" s="59" t="s">
        <v>84</v>
      </c>
      <c r="F27" s="56" t="s">
        <v>43</v>
      </c>
      <c r="G27" s="43">
        <v>0</v>
      </c>
      <c r="H27" s="128">
        <f>IF(B$19=0,0,G27/B$19)</f>
        <v>0</v>
      </c>
      <c r="I27" s="90">
        <v>1</v>
      </c>
    </row>
    <row r="28" spans="1:17" x14ac:dyDescent="0.4">
      <c r="A28" s="54" t="s">
        <v>140</v>
      </c>
      <c r="B28" s="135">
        <v>15000</v>
      </c>
      <c r="C28" s="136"/>
      <c r="E28" s="59" t="s">
        <v>85</v>
      </c>
      <c r="F28" s="56" t="s">
        <v>44</v>
      </c>
      <c r="G28" s="43">
        <v>0</v>
      </c>
      <c r="H28" s="128">
        <f>IF(B$19=0,0,G28/B$19)</f>
        <v>0</v>
      </c>
      <c r="I28" s="90">
        <v>1</v>
      </c>
    </row>
    <row r="29" spans="1:17" x14ac:dyDescent="0.4">
      <c r="A29" s="53" t="s">
        <v>131</v>
      </c>
      <c r="B29" s="61">
        <v>0</v>
      </c>
      <c r="C29" s="38">
        <f>IF(B$3=0,0,B29/B$3)</f>
        <v>0</v>
      </c>
      <c r="E29" s="59" t="s">
        <v>86</v>
      </c>
      <c r="F29" s="56" t="s">
        <v>45</v>
      </c>
      <c r="G29" s="43">
        <v>0</v>
      </c>
      <c r="H29" s="128">
        <f>IF(B$19=0,0,G29/B$19)</f>
        <v>0</v>
      </c>
      <c r="I29" s="90">
        <v>1</v>
      </c>
    </row>
    <row r="30" spans="1:17" x14ac:dyDescent="0.4">
      <c r="E30" s="59" t="s">
        <v>87</v>
      </c>
      <c r="F30" s="56" t="s">
        <v>46</v>
      </c>
      <c r="G30" s="43">
        <v>0</v>
      </c>
      <c r="H30" s="128">
        <f>IF(B$19=0,0,G30/B$19)</f>
        <v>0</v>
      </c>
      <c r="I30" s="90">
        <v>1</v>
      </c>
    </row>
    <row r="31" spans="1:17" x14ac:dyDescent="0.4">
      <c r="E31" s="59" t="s">
        <v>88</v>
      </c>
      <c r="F31" s="56" t="s">
        <v>47</v>
      </c>
      <c r="G31" s="43">
        <v>0</v>
      </c>
      <c r="H31" s="128">
        <f>IF(B$19=0,0,G31/B$19)</f>
        <v>0</v>
      </c>
      <c r="I31" s="90">
        <v>1</v>
      </c>
    </row>
    <row r="32" spans="1:17" x14ac:dyDescent="0.4">
      <c r="E32" s="59" t="s">
        <v>89</v>
      </c>
      <c r="F32" s="56" t="s">
        <v>48</v>
      </c>
      <c r="G32" s="43">
        <v>0</v>
      </c>
      <c r="H32" s="128">
        <f>IF(B$19=0,0,G32/B$19)</f>
        <v>0</v>
      </c>
      <c r="I32" s="90">
        <v>1</v>
      </c>
    </row>
    <row r="33" spans="5:9" x14ac:dyDescent="0.4">
      <c r="E33" s="59" t="s">
        <v>90</v>
      </c>
      <c r="F33" s="56" t="s">
        <v>49</v>
      </c>
      <c r="G33" s="43">
        <v>0</v>
      </c>
      <c r="H33" s="128">
        <f>IF(B$19=0,0,G33/B$19)</f>
        <v>0</v>
      </c>
      <c r="I33" s="90">
        <v>1</v>
      </c>
    </row>
    <row r="34" spans="5:9" x14ac:dyDescent="0.4">
      <c r="E34" s="59" t="s">
        <v>91</v>
      </c>
      <c r="F34" s="56" t="s">
        <v>50</v>
      </c>
      <c r="G34" s="43">
        <v>0</v>
      </c>
      <c r="H34" s="128">
        <f>IF(B$19=0,0,G34/B$19)</f>
        <v>0</v>
      </c>
      <c r="I34" s="90">
        <v>1</v>
      </c>
    </row>
    <row r="35" spans="5:9" x14ac:dyDescent="0.4">
      <c r="E35" s="59" t="s">
        <v>92</v>
      </c>
      <c r="F35" s="56" t="s">
        <v>51</v>
      </c>
      <c r="G35" s="43">
        <v>0</v>
      </c>
      <c r="H35" s="128">
        <f>IF(B$19=0,0,G35/B$19)</f>
        <v>0</v>
      </c>
      <c r="I35" s="90">
        <v>1</v>
      </c>
    </row>
    <row r="36" spans="5:9" x14ac:dyDescent="0.4">
      <c r="E36" s="59" t="s">
        <v>93</v>
      </c>
      <c r="F36" s="56" t="s">
        <v>52</v>
      </c>
      <c r="G36" s="43">
        <v>0</v>
      </c>
      <c r="H36" s="128">
        <f>IF(B$19=0,0,G36/B$19)</f>
        <v>0</v>
      </c>
      <c r="I36" s="90">
        <v>1</v>
      </c>
    </row>
    <row r="37" spans="5:9" x14ac:dyDescent="0.4">
      <c r="E37" s="59" t="s">
        <v>94</v>
      </c>
      <c r="F37" s="56" t="s">
        <v>53</v>
      </c>
      <c r="G37" s="43">
        <v>0</v>
      </c>
      <c r="H37" s="128">
        <f>IF(B$19=0,0,G37/B$19)</f>
        <v>0</v>
      </c>
      <c r="I37" s="90">
        <v>1</v>
      </c>
    </row>
    <row r="38" spans="5:9" x14ac:dyDescent="0.4">
      <c r="E38" s="59" t="s">
        <v>95</v>
      </c>
      <c r="F38" s="56" t="s">
        <v>54</v>
      </c>
      <c r="G38" s="43">
        <v>0</v>
      </c>
      <c r="H38" s="128">
        <f>IF(B$19=0,0,G38/B$19)</f>
        <v>0</v>
      </c>
      <c r="I38" s="90">
        <v>3</v>
      </c>
    </row>
    <row r="39" spans="5:9" x14ac:dyDescent="0.4">
      <c r="E39" s="59" t="s">
        <v>96</v>
      </c>
      <c r="F39" s="56" t="s">
        <v>55</v>
      </c>
      <c r="G39" s="43">
        <v>0</v>
      </c>
      <c r="H39" s="128">
        <f>IF(B$19=0,0,G39/B$19)</f>
        <v>0</v>
      </c>
      <c r="I39" s="90">
        <v>1</v>
      </c>
    </row>
    <row r="40" spans="5:9" x14ac:dyDescent="0.4">
      <c r="E40" s="59" t="s">
        <v>97</v>
      </c>
      <c r="F40" s="56" t="s">
        <v>56</v>
      </c>
      <c r="G40" s="43">
        <v>0</v>
      </c>
      <c r="H40" s="128">
        <f>IF(B$19=0,0,G40/B$19)</f>
        <v>0</v>
      </c>
      <c r="I40" s="90">
        <v>1</v>
      </c>
    </row>
    <row r="41" spans="5:9" x14ac:dyDescent="0.4">
      <c r="E41" s="59" t="s">
        <v>98</v>
      </c>
      <c r="F41" s="56" t="s">
        <v>57</v>
      </c>
      <c r="G41" s="43">
        <v>0</v>
      </c>
      <c r="H41" s="128">
        <f>IF(B$19=0,0,G41/B$19)</f>
        <v>0</v>
      </c>
      <c r="I41" s="90">
        <v>1</v>
      </c>
    </row>
    <row r="42" spans="5:9" x14ac:dyDescent="0.4">
      <c r="E42" s="59" t="s">
        <v>100</v>
      </c>
      <c r="F42" s="56" t="s">
        <v>59</v>
      </c>
      <c r="G42" s="43">
        <v>0</v>
      </c>
      <c r="H42" s="128">
        <f>IF(B$19=0,0,G42/B$19)</f>
        <v>0</v>
      </c>
      <c r="I42" s="90">
        <v>1</v>
      </c>
    </row>
    <row r="43" spans="5:9" x14ac:dyDescent="0.4">
      <c r="E43" s="59" t="s">
        <v>101</v>
      </c>
      <c r="F43" s="56" t="s">
        <v>60</v>
      </c>
      <c r="G43" s="43">
        <v>0</v>
      </c>
      <c r="H43" s="128">
        <f>IF(B$19=0,0,G43/B$19)</f>
        <v>0</v>
      </c>
      <c r="I43" s="90">
        <v>1</v>
      </c>
    </row>
    <row r="44" spans="5:9" x14ac:dyDescent="0.4">
      <c r="E44" s="59" t="s">
        <v>102</v>
      </c>
      <c r="F44" s="56" t="s">
        <v>105</v>
      </c>
      <c r="G44" s="43">
        <v>0</v>
      </c>
      <c r="H44" s="128">
        <f>IF(B$19=0,0,G44/B$19)</f>
        <v>0</v>
      </c>
      <c r="I44" s="90">
        <v>1</v>
      </c>
    </row>
    <row r="45" spans="5:9" x14ac:dyDescent="0.4">
      <c r="E45" s="59" t="s">
        <v>103</v>
      </c>
      <c r="F45" s="56" t="s">
        <v>106</v>
      </c>
      <c r="G45" s="43">
        <v>0</v>
      </c>
      <c r="H45" s="128">
        <f>IF(B$19=0,0,G45/B$19)</f>
        <v>0</v>
      </c>
      <c r="I45" s="90">
        <v>1</v>
      </c>
    </row>
    <row r="46" spans="5:9" x14ac:dyDescent="0.4">
      <c r="E46" s="59" t="s">
        <v>104</v>
      </c>
      <c r="F46" s="56" t="s">
        <v>107</v>
      </c>
      <c r="G46" s="43">
        <v>0</v>
      </c>
      <c r="H46" s="128">
        <f>IF(B$19=0,0,G46/B$19)</f>
        <v>0</v>
      </c>
      <c r="I46" s="90">
        <v>3</v>
      </c>
    </row>
    <row r="47" spans="5:9" x14ac:dyDescent="0.4">
      <c r="E47" s="60" t="s">
        <v>157</v>
      </c>
      <c r="F47" s="57" t="s">
        <v>158</v>
      </c>
      <c r="G47" s="45">
        <v>0</v>
      </c>
      <c r="H47" s="129">
        <f>IF(B$19=0,0,G47/B$19)</f>
        <v>0</v>
      </c>
      <c r="I47" s="91">
        <v>3</v>
      </c>
    </row>
  </sheetData>
  <sortState xmlns:xlrd2="http://schemas.microsoft.com/office/spreadsheetml/2017/richdata2" ref="N15:Q15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F2FCA6-67ED-40FA-BD7F-F5E358ADB6B6}">
  <sheetPr codeName="Sheet10"/>
  <dimension ref="A1:R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9" width="10.75" style="63"/>
    <col min="10" max="11" width="10.75" style="64"/>
    <col min="12" max="18" width="10.75" style="63"/>
    <col min="19" max="16384" width="10.75" style="66"/>
  </cols>
  <sheetData>
    <row r="1" spans="1:18" x14ac:dyDescent="0.4">
      <c r="A1" s="66" t="s">
        <v>159</v>
      </c>
      <c r="B1" s="66" t="s">
        <v>159</v>
      </c>
      <c r="C1" s="66" t="s">
        <v>159</v>
      </c>
      <c r="D1" s="67" t="s">
        <v>159</v>
      </c>
      <c r="E1" s="66" t="s">
        <v>159</v>
      </c>
      <c r="F1" s="66" t="s">
        <v>159</v>
      </c>
      <c r="G1" s="66" t="s">
        <v>159</v>
      </c>
      <c r="H1" s="66" t="s">
        <v>159</v>
      </c>
      <c r="I1" s="66" t="s">
        <v>159</v>
      </c>
      <c r="J1" s="66" t="s">
        <v>159</v>
      </c>
      <c r="K1" s="66" t="s">
        <v>159</v>
      </c>
      <c r="L1" s="66" t="s">
        <v>159</v>
      </c>
      <c r="M1" s="66" t="s">
        <v>159</v>
      </c>
      <c r="N1" s="66" t="s">
        <v>159</v>
      </c>
      <c r="O1" s="66" t="s">
        <v>159</v>
      </c>
      <c r="P1" s="66" t="s">
        <v>159</v>
      </c>
      <c r="Q1" s="66" t="s">
        <v>159</v>
      </c>
      <c r="R1" s="66" t="s">
        <v>159</v>
      </c>
    </row>
    <row r="2" spans="1:18" x14ac:dyDescent="0.4">
      <c r="A2" s="66" t="s">
        <v>9</v>
      </c>
      <c r="B2" s="66" t="s">
        <v>6</v>
      </c>
      <c r="C2" s="66" t="s">
        <v>7</v>
      </c>
      <c r="D2" s="67" t="s">
        <v>16</v>
      </c>
      <c r="E2" s="66" t="s">
        <v>15</v>
      </c>
      <c r="F2" s="66" t="s">
        <v>150</v>
      </c>
      <c r="G2" s="66" t="s">
        <v>170</v>
      </c>
      <c r="H2" s="66" t="s">
        <v>135</v>
      </c>
      <c r="I2" s="66" t="s">
        <v>134</v>
      </c>
      <c r="J2" s="66" t="s">
        <v>5</v>
      </c>
      <c r="K2" s="66" t="s">
        <v>17</v>
      </c>
      <c r="L2" s="66" t="s">
        <v>18</v>
      </c>
      <c r="M2" s="66" t="s">
        <v>129</v>
      </c>
      <c r="N2" s="66" t="s">
        <v>115</v>
      </c>
      <c r="O2" s="66" t="s">
        <v>112</v>
      </c>
      <c r="P2" s="66" t="s">
        <v>118</v>
      </c>
      <c r="Q2" s="66" t="s">
        <v>136</v>
      </c>
      <c r="R2" s="66" t="s">
        <v>132</v>
      </c>
    </row>
    <row r="3" spans="1:18" x14ac:dyDescent="0.4">
      <c r="A3" s="65">
        <v>0</v>
      </c>
      <c r="B3" s="62">
        <v>0</v>
      </c>
    </row>
    <row r="4" spans="1:18" x14ac:dyDescent="0.4">
      <c r="A4" s="65">
        <v>1</v>
      </c>
      <c r="B4" s="62">
        <v>81.3</v>
      </c>
      <c r="C4" s="62">
        <v>81.3</v>
      </c>
      <c r="D4" s="67">
        <v>1</v>
      </c>
      <c r="E4" s="63">
        <v>1</v>
      </c>
      <c r="F4" s="63">
        <v>0</v>
      </c>
      <c r="G4" s="63">
        <v>1</v>
      </c>
      <c r="H4" s="63">
        <v>0.4</v>
      </c>
      <c r="I4" s="63">
        <v>0.1</v>
      </c>
      <c r="J4" s="64">
        <v>28000</v>
      </c>
      <c r="K4" s="64">
        <v>-8000</v>
      </c>
      <c r="L4" s="63">
        <v>0</v>
      </c>
      <c r="M4" s="63">
        <v>1</v>
      </c>
      <c r="N4" s="63">
        <v>0.2</v>
      </c>
      <c r="O4" s="63">
        <v>0</v>
      </c>
      <c r="P4" s="63">
        <v>0.5</v>
      </c>
      <c r="Q4" s="63">
        <v>0</v>
      </c>
      <c r="R4" s="63">
        <v>0.5</v>
      </c>
    </row>
    <row r="5" spans="1:18" x14ac:dyDescent="0.4">
      <c r="A5" s="65">
        <v>2</v>
      </c>
      <c r="B5" s="62">
        <v>162.6</v>
      </c>
      <c r="C5" s="62">
        <v>81.3</v>
      </c>
      <c r="D5" s="67">
        <v>1</v>
      </c>
      <c r="E5" s="63">
        <v>1</v>
      </c>
      <c r="F5" s="63">
        <v>0</v>
      </c>
      <c r="G5" s="63">
        <v>1</v>
      </c>
      <c r="H5" s="63">
        <v>0.4</v>
      </c>
      <c r="I5" s="63">
        <v>0.1</v>
      </c>
      <c r="J5" s="64">
        <v>28000</v>
      </c>
      <c r="K5" s="64">
        <v>-8000</v>
      </c>
      <c r="L5" s="63">
        <v>0</v>
      </c>
      <c r="M5" s="63">
        <v>1</v>
      </c>
      <c r="N5" s="63">
        <v>0.2</v>
      </c>
      <c r="O5" s="63">
        <v>0</v>
      </c>
      <c r="P5" s="63">
        <v>0.5</v>
      </c>
      <c r="Q5" s="63">
        <v>0</v>
      </c>
      <c r="R5" s="63">
        <v>0.5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859E8D-CC57-4BC8-B9A6-54E13F03472A}">
  <sheetPr codeName="Sheet9"/>
  <dimension ref="A1:Q47"/>
  <sheetViews>
    <sheetView showGridLines="0" zoomScaleNormal="100" workbookViewId="0"/>
  </sheetViews>
  <sheetFormatPr defaultColWidth="9" defaultRowHeight="18.75" x14ac:dyDescent="0.4"/>
  <cols>
    <col min="1" max="1" width="13" style="29" customWidth="1"/>
    <col min="2" max="3" width="9" style="29" customWidth="1"/>
    <col min="4" max="4" width="3.625" style="29" customWidth="1"/>
    <col min="5" max="5" width="3.625" style="123" bestFit="1" customWidth="1"/>
    <col min="6" max="6" width="11" style="39" bestFit="1" customWidth="1"/>
    <col min="7" max="9" width="9" style="29" customWidth="1"/>
    <col min="10" max="10" width="3.625" style="29" customWidth="1"/>
    <col min="11" max="11" width="3.5" style="34" customWidth="1"/>
    <col min="12" max="12" width="9" style="95" customWidth="1"/>
    <col min="13" max="13" width="3.625" style="29" customWidth="1"/>
    <col min="14" max="14" width="9" style="110" customWidth="1"/>
    <col min="15" max="15" width="9" style="120" customWidth="1"/>
    <col min="16" max="16" width="9" style="114" customWidth="1"/>
    <col min="17" max="17" width="3.625" style="102" customWidth="1"/>
    <col min="18" max="16384" width="9" style="29"/>
  </cols>
  <sheetData>
    <row r="1" spans="1:17" x14ac:dyDescent="0.4">
      <c r="A1" s="49" t="s">
        <v>0</v>
      </c>
      <c r="B1" s="141" t="s">
        <v>159</v>
      </c>
      <c r="C1" s="142"/>
      <c r="E1" s="124" t="s">
        <v>154</v>
      </c>
      <c r="F1" s="134" t="s">
        <v>108</v>
      </c>
      <c r="G1" s="133" t="s">
        <v>109</v>
      </c>
      <c r="H1" s="125" t="s">
        <v>110</v>
      </c>
      <c r="I1" s="134" t="s">
        <v>142</v>
      </c>
      <c r="K1" s="30" t="s">
        <v>20</v>
      </c>
      <c r="L1" s="31" t="s">
        <v>113</v>
      </c>
      <c r="M1" s="126"/>
      <c r="N1" s="108" t="s">
        <v>126</v>
      </c>
      <c r="O1" s="30" t="s">
        <v>127</v>
      </c>
      <c r="P1" s="112" t="s">
        <v>109</v>
      </c>
      <c r="Q1" s="96" t="s">
        <v>146</v>
      </c>
    </row>
    <row r="2" spans="1:17" x14ac:dyDescent="0.4">
      <c r="A2" s="50" t="s">
        <v>9</v>
      </c>
      <c r="B2" s="143">
        <v>2</v>
      </c>
      <c r="C2" s="144"/>
      <c r="E2" s="58" t="s">
        <v>63</v>
      </c>
      <c r="F2" s="55" t="s">
        <v>23</v>
      </c>
      <c r="G2" s="42">
        <v>6</v>
      </c>
      <c r="H2" s="127">
        <f>IF(B$19=0,0,G2/B$19)</f>
        <v>0.75</v>
      </c>
      <c r="I2" s="89">
        <v>2</v>
      </c>
      <c r="K2" s="32">
        <v>0</v>
      </c>
      <c r="L2" s="94">
        <v>0</v>
      </c>
      <c r="N2" s="109" t="s">
        <v>120</v>
      </c>
      <c r="O2" s="116">
        <f t="shared" ref="O2:O9" si="0">IF(P2=0,0,Q2/P2)</f>
        <v>-8000</v>
      </c>
      <c r="P2" s="113">
        <v>2</v>
      </c>
      <c r="Q2" s="97">
        <v>-16000</v>
      </c>
    </row>
    <row r="3" spans="1:17" x14ac:dyDescent="0.4">
      <c r="A3" s="51" t="s">
        <v>8</v>
      </c>
      <c r="B3" s="145">
        <v>20</v>
      </c>
      <c r="C3" s="146"/>
      <c r="E3" s="59" t="s">
        <v>64</v>
      </c>
      <c r="F3" s="56" t="s">
        <v>24</v>
      </c>
      <c r="G3" s="43">
        <v>6</v>
      </c>
      <c r="H3" s="128">
        <f>IF(B$19=0,0,G3/B$19)</f>
        <v>0.75</v>
      </c>
      <c r="I3" s="90">
        <v>1</v>
      </c>
      <c r="K3" s="34">
        <v>1</v>
      </c>
      <c r="L3" s="95">
        <v>81.3</v>
      </c>
      <c r="N3" s="110" t="s">
        <v>121</v>
      </c>
      <c r="O3" s="117">
        <f t="shared" si="0"/>
        <v>-3000</v>
      </c>
      <c r="P3" s="114">
        <v>2</v>
      </c>
      <c r="Q3" s="98">
        <v>-6000</v>
      </c>
    </row>
    <row r="4" spans="1:17" x14ac:dyDescent="0.4">
      <c r="A4" s="51" t="s">
        <v>6</v>
      </c>
      <c r="B4" s="147">
        <v>162.6</v>
      </c>
      <c r="C4" s="148"/>
      <c r="E4" s="59" t="s">
        <v>65</v>
      </c>
      <c r="F4" s="56" t="s">
        <v>12</v>
      </c>
      <c r="G4" s="43">
        <v>4</v>
      </c>
      <c r="H4" s="128">
        <f>IF(B$19=0,0,G4/B$19)</f>
        <v>0.5</v>
      </c>
      <c r="I4" s="90">
        <v>2</v>
      </c>
      <c r="K4" s="34">
        <v>2</v>
      </c>
      <c r="L4" s="95">
        <v>162.6</v>
      </c>
      <c r="N4" s="110" t="s">
        <v>122</v>
      </c>
      <c r="O4" s="117">
        <f t="shared" si="0"/>
        <v>-300</v>
      </c>
      <c r="P4" s="114">
        <v>2</v>
      </c>
      <c r="Q4" s="98">
        <v>-600</v>
      </c>
    </row>
    <row r="5" spans="1:17" x14ac:dyDescent="0.4">
      <c r="A5" s="51" t="s">
        <v>7</v>
      </c>
      <c r="B5" s="149">
        <f>IF(B$2=0,0,B$4/B$2)</f>
        <v>81.3</v>
      </c>
      <c r="C5" s="150"/>
      <c r="E5" s="59" t="s">
        <v>66</v>
      </c>
      <c r="F5" s="56" t="s">
        <v>25</v>
      </c>
      <c r="G5" s="43">
        <v>4</v>
      </c>
      <c r="H5" s="128">
        <f>IF(B$19=0,0,G5/B$19)</f>
        <v>0.5</v>
      </c>
      <c r="I5" s="90">
        <v>1</v>
      </c>
      <c r="N5" s="110" t="s">
        <v>166</v>
      </c>
      <c r="O5" s="117">
        <f t="shared" si="0"/>
        <v>5300</v>
      </c>
      <c r="P5" s="114">
        <v>2</v>
      </c>
      <c r="Q5" s="98">
        <v>10600</v>
      </c>
    </row>
    <row r="6" spans="1:17" x14ac:dyDescent="0.4">
      <c r="A6" s="51" t="s">
        <v>1</v>
      </c>
      <c r="B6" s="139">
        <f>IF(B$2=0,0,(B$7*1+B$8*2+B$9*3+B$10*4)/B$2)</f>
        <v>1</v>
      </c>
      <c r="C6" s="140"/>
      <c r="E6" s="59" t="s">
        <v>69</v>
      </c>
      <c r="F6" s="56" t="s">
        <v>28</v>
      </c>
      <c r="G6" s="43">
        <v>4</v>
      </c>
      <c r="H6" s="128">
        <f>IF(B$19=0,0,G6/B$19)</f>
        <v>0.5</v>
      </c>
      <c r="I6" s="90">
        <v>1</v>
      </c>
      <c r="N6" s="110" t="s">
        <v>123</v>
      </c>
      <c r="O6" s="117">
        <f t="shared" si="0"/>
        <v>32000</v>
      </c>
      <c r="P6" s="114">
        <v>2</v>
      </c>
      <c r="Q6" s="98">
        <v>64000</v>
      </c>
    </row>
    <row r="7" spans="1:17" x14ac:dyDescent="0.4">
      <c r="A7" s="51" t="s">
        <v>2</v>
      </c>
      <c r="B7" s="43">
        <v>2</v>
      </c>
      <c r="C7" s="35">
        <f>IF(B$2=0,0,B7/B$2)</f>
        <v>1</v>
      </c>
      <c r="E7" s="59" t="s">
        <v>72</v>
      </c>
      <c r="F7" s="56" t="s">
        <v>31</v>
      </c>
      <c r="G7" s="43">
        <v>4</v>
      </c>
      <c r="H7" s="128">
        <f>IF(B$19=0,0,G7/B$19)</f>
        <v>0.5</v>
      </c>
      <c r="I7" s="90">
        <v>1</v>
      </c>
      <c r="N7" s="110" t="s">
        <v>124</v>
      </c>
      <c r="O7" s="117">
        <f t="shared" si="0"/>
        <v>-16000</v>
      </c>
      <c r="P7" s="114">
        <v>2</v>
      </c>
      <c r="Q7" s="98">
        <v>-32000</v>
      </c>
    </row>
    <row r="8" spans="1:17" x14ac:dyDescent="0.4">
      <c r="A8" s="51" t="s">
        <v>3</v>
      </c>
      <c r="B8" s="43">
        <v>0</v>
      </c>
      <c r="C8" s="35">
        <f>IF(B$2=0,0,B8/B$2)</f>
        <v>0</v>
      </c>
      <c r="E8" s="59" t="s">
        <v>157</v>
      </c>
      <c r="F8" s="56" t="s">
        <v>158</v>
      </c>
      <c r="G8" s="43">
        <v>4</v>
      </c>
      <c r="H8" s="128">
        <f>IF(B$19=0,0,G8/B$19)</f>
        <v>0.5</v>
      </c>
      <c r="I8" s="90">
        <v>1</v>
      </c>
      <c r="N8" s="110" t="s">
        <v>125</v>
      </c>
      <c r="O8" s="117">
        <f t="shared" si="0"/>
        <v>-7700</v>
      </c>
      <c r="P8" s="114">
        <v>2</v>
      </c>
      <c r="Q8" s="98">
        <v>-15400</v>
      </c>
    </row>
    <row r="9" spans="1:17" x14ac:dyDescent="0.4">
      <c r="A9" s="52" t="s">
        <v>4</v>
      </c>
      <c r="B9" s="44">
        <v>0</v>
      </c>
      <c r="C9" s="36">
        <f t="shared" ref="C9:C11" si="1">IF(B$2=0,0,B9/B$2)</f>
        <v>0</v>
      </c>
      <c r="E9" s="59" t="s">
        <v>67</v>
      </c>
      <c r="F9" s="56" t="s">
        <v>26</v>
      </c>
      <c r="G9" s="43">
        <v>2</v>
      </c>
      <c r="H9" s="128">
        <f>IF(B$19=0,0,G9/B$19)</f>
        <v>0.25</v>
      </c>
      <c r="I9" s="90">
        <v>1</v>
      </c>
      <c r="N9" s="111" t="s">
        <v>165</v>
      </c>
      <c r="O9" s="118">
        <f t="shared" si="0"/>
        <v>64000</v>
      </c>
      <c r="P9" s="115">
        <v>2</v>
      </c>
      <c r="Q9" s="99">
        <v>128000</v>
      </c>
    </row>
    <row r="10" spans="1:17" x14ac:dyDescent="0.4">
      <c r="A10" s="52" t="s">
        <v>162</v>
      </c>
      <c r="B10" s="44">
        <v>0</v>
      </c>
      <c r="C10" s="36">
        <f t="shared" si="1"/>
        <v>0</v>
      </c>
      <c r="E10" s="59" t="s">
        <v>68</v>
      </c>
      <c r="F10" s="56" t="s">
        <v>27</v>
      </c>
      <c r="G10" s="43">
        <v>2</v>
      </c>
      <c r="H10" s="128">
        <f>IF(B$19=0,0,G10/B$19)</f>
        <v>0.25</v>
      </c>
      <c r="I10" s="90">
        <v>1</v>
      </c>
      <c r="N10" s="39"/>
      <c r="O10" s="122"/>
      <c r="P10" s="106"/>
      <c r="Q10" s="104"/>
    </row>
    <row r="11" spans="1:17" x14ac:dyDescent="0.4">
      <c r="A11" s="52" t="s">
        <v>171</v>
      </c>
      <c r="B11" s="44">
        <f>トップ数+B8</f>
        <v>2</v>
      </c>
      <c r="C11" s="36">
        <f>IF(B$2=0,0,B11/B$2)</f>
        <v>1</v>
      </c>
      <c r="E11" s="59" t="s">
        <v>71</v>
      </c>
      <c r="F11" s="56" t="s">
        <v>30</v>
      </c>
      <c r="G11" s="43">
        <v>2</v>
      </c>
      <c r="H11" s="128">
        <f>IF(B$19=0,0,G11/B$19)</f>
        <v>0.25</v>
      </c>
      <c r="I11" s="90">
        <v>1</v>
      </c>
      <c r="N11" s="108" t="s">
        <v>151</v>
      </c>
      <c r="O11" s="30" t="s">
        <v>113</v>
      </c>
      <c r="P11" s="112" t="s">
        <v>109</v>
      </c>
      <c r="Q11" s="100" t="s">
        <v>146</v>
      </c>
    </row>
    <row r="12" spans="1:17" x14ac:dyDescent="0.4">
      <c r="A12" s="52" t="s">
        <v>19</v>
      </c>
      <c r="B12" s="44">
        <v>0</v>
      </c>
      <c r="C12" s="36">
        <f>IF(B$2=0,0,B12/B$2)</f>
        <v>0</v>
      </c>
      <c r="E12" s="59" t="s">
        <v>168</v>
      </c>
      <c r="F12" s="56" t="s">
        <v>169</v>
      </c>
      <c r="G12" s="43">
        <v>2</v>
      </c>
      <c r="H12" s="128">
        <f>IF(B$19=0,0,G12/B$19)</f>
        <v>0.25</v>
      </c>
      <c r="I12" s="90">
        <v>1</v>
      </c>
      <c r="N12" s="109" t="s">
        <v>152</v>
      </c>
      <c r="O12" s="119">
        <f>IF(P12=0,0,Q12/P12)</f>
        <v>0</v>
      </c>
      <c r="P12" s="113">
        <v>0</v>
      </c>
      <c r="Q12" s="101">
        <v>0</v>
      </c>
    </row>
    <row r="13" spans="1:17" x14ac:dyDescent="0.4">
      <c r="A13" s="52" t="s">
        <v>128</v>
      </c>
      <c r="B13" s="44">
        <v>2</v>
      </c>
      <c r="C13" s="36">
        <f>IF(B$2=0,0,B13/B$2)</f>
        <v>1</v>
      </c>
      <c r="E13" s="59" t="s">
        <v>79</v>
      </c>
      <c r="F13" s="56" t="s">
        <v>38</v>
      </c>
      <c r="G13" s="43">
        <v>2</v>
      </c>
      <c r="H13" s="128">
        <f>IF(B$19=0,0,G13/B$19)</f>
        <v>0.25</v>
      </c>
      <c r="I13" s="90">
        <v>1</v>
      </c>
      <c r="N13" s="110" t="s">
        <v>153</v>
      </c>
      <c r="O13" s="120">
        <f>IF(P13=0,0,Q13/P13)</f>
        <v>81.3</v>
      </c>
      <c r="P13" s="114">
        <v>2</v>
      </c>
      <c r="Q13" s="102">
        <v>162.6</v>
      </c>
    </row>
    <row r="14" spans="1:17" x14ac:dyDescent="0.4">
      <c r="A14" s="53" t="s">
        <v>148</v>
      </c>
      <c r="B14" s="45">
        <v>2</v>
      </c>
      <c r="C14" s="38">
        <f>IF(B$2=0,0,B14/B$2)</f>
        <v>1</v>
      </c>
      <c r="E14" s="59" t="s">
        <v>104</v>
      </c>
      <c r="F14" s="56" t="s">
        <v>107</v>
      </c>
      <c r="G14" s="43">
        <v>2</v>
      </c>
      <c r="H14" s="128">
        <f>IF(B$19=0,0,G14/B$19)</f>
        <v>0.25</v>
      </c>
      <c r="I14" s="90">
        <v>1</v>
      </c>
      <c r="N14" s="110" t="s">
        <v>163</v>
      </c>
      <c r="O14" s="120">
        <f>IF(P14=0,0,Q14/P14)</f>
        <v>0</v>
      </c>
      <c r="P14" s="114">
        <v>0</v>
      </c>
      <c r="Q14" s="102">
        <v>0</v>
      </c>
    </row>
    <row r="15" spans="1:17" x14ac:dyDescent="0.4">
      <c r="A15" s="54" t="s">
        <v>114</v>
      </c>
      <c r="B15" s="46">
        <v>4</v>
      </c>
      <c r="C15" s="40">
        <f>IF(B$3=0,0,B15/B$3)</f>
        <v>0.2</v>
      </c>
      <c r="E15" s="59" t="s">
        <v>61</v>
      </c>
      <c r="F15" s="56" t="s">
        <v>21</v>
      </c>
      <c r="G15" s="43">
        <v>0</v>
      </c>
      <c r="H15" s="128">
        <f>IF(B$19=0,0,G15/B$19)</f>
        <v>0</v>
      </c>
      <c r="I15" s="90">
        <v>3</v>
      </c>
      <c r="N15" s="111" t="s">
        <v>164</v>
      </c>
      <c r="O15" s="121">
        <f>IF(P15=0,0,Q15/P15)</f>
        <v>0</v>
      </c>
      <c r="P15" s="115">
        <v>0</v>
      </c>
      <c r="Q15" s="103">
        <v>0</v>
      </c>
    </row>
    <row r="16" spans="1:17" x14ac:dyDescent="0.4">
      <c r="A16" s="51" t="s">
        <v>111</v>
      </c>
      <c r="B16" s="43">
        <v>0</v>
      </c>
      <c r="C16" s="35">
        <f>IF(B$3=0,0,B16/B$3)</f>
        <v>0</v>
      </c>
      <c r="E16" s="59" t="s">
        <v>62</v>
      </c>
      <c r="F16" s="56" t="s">
        <v>22</v>
      </c>
      <c r="G16" s="43">
        <v>0</v>
      </c>
      <c r="H16" s="128">
        <f>IF(B$19=0,0,G16/B$19)</f>
        <v>0</v>
      </c>
      <c r="I16" s="90">
        <v>3</v>
      </c>
      <c r="N16" s="29"/>
      <c r="O16" s="105"/>
      <c r="P16" s="107"/>
      <c r="Q16" s="105"/>
    </row>
    <row r="17" spans="1:17" x14ac:dyDescent="0.4">
      <c r="A17" s="50" t="s">
        <v>116</v>
      </c>
      <c r="B17" s="42">
        <v>2</v>
      </c>
      <c r="C17" s="33">
        <f>IF(B$15=0,0,B17/B$15)</f>
        <v>0.5</v>
      </c>
      <c r="E17" s="59" t="s">
        <v>70</v>
      </c>
      <c r="F17" s="56" t="s">
        <v>29</v>
      </c>
      <c r="G17" s="43">
        <v>0</v>
      </c>
      <c r="H17" s="128">
        <f>IF(B$19=0,0,G17/B$19)</f>
        <v>0</v>
      </c>
      <c r="I17" s="90">
        <v>1</v>
      </c>
      <c r="N17" s="108" t="s">
        <v>143</v>
      </c>
      <c r="O17" s="30" t="s">
        <v>113</v>
      </c>
      <c r="P17" s="112" t="s">
        <v>109</v>
      </c>
      <c r="Q17" s="100" t="s">
        <v>146</v>
      </c>
    </row>
    <row r="18" spans="1:17" x14ac:dyDescent="0.4">
      <c r="A18" s="50" t="s">
        <v>117</v>
      </c>
      <c r="B18" s="42">
        <v>0</v>
      </c>
      <c r="C18" s="33">
        <f>IF(B$16=0,0,B18/B$16)</f>
        <v>0</v>
      </c>
      <c r="E18" s="59" t="s">
        <v>73</v>
      </c>
      <c r="F18" s="56" t="s">
        <v>32</v>
      </c>
      <c r="G18" s="43">
        <v>0</v>
      </c>
      <c r="H18" s="128">
        <f>IF(B$19=0,0,G18/B$19)</f>
        <v>0</v>
      </c>
      <c r="I18" s="90">
        <v>1</v>
      </c>
      <c r="N18" s="109" t="s">
        <v>160</v>
      </c>
      <c r="O18" s="119">
        <f>IF(P18=0,0,Q18/P18)</f>
        <v>50.2</v>
      </c>
      <c r="P18" s="113">
        <v>2</v>
      </c>
      <c r="Q18" s="101">
        <v>100.4</v>
      </c>
    </row>
    <row r="19" spans="1:17" x14ac:dyDescent="0.4">
      <c r="A19" s="50" t="s">
        <v>10</v>
      </c>
      <c r="B19" s="42">
        <f>B21+B20</f>
        <v>8</v>
      </c>
      <c r="C19" s="33">
        <f>IF(B$3=0,0,B19/B$3)</f>
        <v>0.4</v>
      </c>
      <c r="E19" s="59" t="s">
        <v>74</v>
      </c>
      <c r="F19" s="56" t="s">
        <v>33</v>
      </c>
      <c r="G19" s="43">
        <v>0</v>
      </c>
      <c r="H19" s="128">
        <f>IF(B$19=0,0,G19/B$19)</f>
        <v>0</v>
      </c>
      <c r="I19" s="90">
        <v>1</v>
      </c>
      <c r="N19" s="110" t="s">
        <v>167</v>
      </c>
      <c r="O19" s="120">
        <f>IF(P19=0,0,Q19/P19)</f>
        <v>178.7</v>
      </c>
      <c r="P19" s="114">
        <v>2</v>
      </c>
      <c r="Q19" s="102">
        <v>357.4</v>
      </c>
    </row>
    <row r="20" spans="1:17" x14ac:dyDescent="0.4">
      <c r="A20" s="51" t="s">
        <v>12</v>
      </c>
      <c r="B20" s="43">
        <v>4</v>
      </c>
      <c r="C20" s="35">
        <f>IF(B$19=0,0,B20/B$19)</f>
        <v>0.5</v>
      </c>
      <c r="E20" s="59" t="s">
        <v>75</v>
      </c>
      <c r="F20" s="56" t="s">
        <v>34</v>
      </c>
      <c r="G20" s="43">
        <v>0</v>
      </c>
      <c r="H20" s="128">
        <f>IF(B$19=0,0,G20/B$19)</f>
        <v>0</v>
      </c>
      <c r="I20" s="90">
        <v>3</v>
      </c>
      <c r="N20" s="110" t="s">
        <v>161</v>
      </c>
      <c r="O20" s="120">
        <f>IF(P20=0,0,Q20/P20)</f>
        <v>96.3</v>
      </c>
      <c r="P20" s="114">
        <v>2</v>
      </c>
      <c r="Q20" s="102">
        <v>192.6</v>
      </c>
    </row>
    <row r="21" spans="1:17" x14ac:dyDescent="0.4">
      <c r="A21" s="51" t="s">
        <v>11</v>
      </c>
      <c r="B21" s="43">
        <v>4</v>
      </c>
      <c r="C21" s="35">
        <f>IF(B$19=0,0,B21/B$19)</f>
        <v>0.5</v>
      </c>
      <c r="E21" s="59" t="s">
        <v>76</v>
      </c>
      <c r="F21" s="56" t="s">
        <v>35</v>
      </c>
      <c r="G21" s="43">
        <v>0</v>
      </c>
      <c r="H21" s="128">
        <f>IF(B$19=0,0,G21/B$19)</f>
        <v>0</v>
      </c>
      <c r="I21" s="90">
        <v>3</v>
      </c>
    </row>
    <row r="22" spans="1:17" x14ac:dyDescent="0.4">
      <c r="A22" s="51" t="s">
        <v>13</v>
      </c>
      <c r="B22" s="43">
        <v>2</v>
      </c>
      <c r="C22" s="35">
        <f>IF(B$3=0,0,B22/B$3)</f>
        <v>0.1</v>
      </c>
      <c r="E22" s="59" t="s">
        <v>77</v>
      </c>
      <c r="F22" s="56" t="s">
        <v>36</v>
      </c>
      <c r="G22" s="43">
        <v>0</v>
      </c>
      <c r="H22" s="128">
        <f>IF(B$19=0,0,G22/B$19)</f>
        <v>0</v>
      </c>
      <c r="I22" s="90">
        <v>1</v>
      </c>
    </row>
    <row r="23" spans="1:17" x14ac:dyDescent="0.4">
      <c r="A23" s="51" t="s">
        <v>155</v>
      </c>
      <c r="B23" s="43">
        <v>2</v>
      </c>
      <c r="C23" s="130">
        <v>2</v>
      </c>
      <c r="E23" s="59" t="s">
        <v>78</v>
      </c>
      <c r="F23" s="56" t="s">
        <v>37</v>
      </c>
      <c r="G23" s="43">
        <v>0</v>
      </c>
      <c r="H23" s="128">
        <f>IF(B$19=0,0,G23/B$19)</f>
        <v>0</v>
      </c>
      <c r="I23" s="90">
        <v>3</v>
      </c>
    </row>
    <row r="24" spans="1:17" x14ac:dyDescent="0.4">
      <c r="A24" s="51" t="s">
        <v>156</v>
      </c>
      <c r="B24" s="43">
        <v>0</v>
      </c>
      <c r="C24" s="130">
        <v>9</v>
      </c>
      <c r="E24" s="59" t="s">
        <v>80</v>
      </c>
      <c r="F24" s="56" t="s">
        <v>39</v>
      </c>
      <c r="G24" s="43">
        <v>0</v>
      </c>
      <c r="H24" s="128">
        <f>IF(B$19=0,0,G24/B$19)</f>
        <v>0</v>
      </c>
      <c r="I24" s="90">
        <v>1</v>
      </c>
    </row>
    <row r="25" spans="1:17" x14ac:dyDescent="0.4">
      <c r="A25" s="51" t="s">
        <v>5</v>
      </c>
      <c r="B25" s="47">
        <f>IF(B$19=0,0,C25/B$19)</f>
        <v>28000</v>
      </c>
      <c r="C25" s="37">
        <v>224000</v>
      </c>
      <c r="E25" s="59" t="s">
        <v>81</v>
      </c>
      <c r="F25" s="56" t="s">
        <v>40</v>
      </c>
      <c r="G25" s="43">
        <v>0</v>
      </c>
      <c r="H25" s="128">
        <f>IF(B$19=0,0,G25/B$19)</f>
        <v>0</v>
      </c>
      <c r="I25" s="90">
        <v>1</v>
      </c>
    </row>
    <row r="26" spans="1:17" x14ac:dyDescent="0.4">
      <c r="A26" s="53" t="s">
        <v>14</v>
      </c>
      <c r="B26" s="48">
        <f>IF(B$22=0,0,C26/B$22)</f>
        <v>-8000</v>
      </c>
      <c r="C26" s="41">
        <v>-16000</v>
      </c>
      <c r="E26" s="59" t="s">
        <v>82</v>
      </c>
      <c r="F26" s="56" t="s">
        <v>41</v>
      </c>
      <c r="G26" s="43">
        <v>0</v>
      </c>
      <c r="H26" s="128">
        <f>IF(B$19=0,0,G26/B$19)</f>
        <v>0</v>
      </c>
      <c r="I26" s="90">
        <v>3</v>
      </c>
    </row>
    <row r="27" spans="1:17" x14ac:dyDescent="0.4">
      <c r="A27" s="86" t="s">
        <v>130</v>
      </c>
      <c r="B27" s="137">
        <v>3</v>
      </c>
      <c r="C27" s="138"/>
      <c r="E27" s="59" t="s">
        <v>83</v>
      </c>
      <c r="F27" s="56" t="s">
        <v>42</v>
      </c>
      <c r="G27" s="43">
        <v>0</v>
      </c>
      <c r="H27" s="128">
        <f>IF(B$19=0,0,G27/B$19)</f>
        <v>0</v>
      </c>
      <c r="I27" s="90">
        <v>3</v>
      </c>
    </row>
    <row r="28" spans="1:17" x14ac:dyDescent="0.4">
      <c r="A28" s="54" t="s">
        <v>140</v>
      </c>
      <c r="B28" s="135">
        <v>91300</v>
      </c>
      <c r="C28" s="136"/>
      <c r="E28" s="59" t="s">
        <v>84</v>
      </c>
      <c r="F28" s="56" t="s">
        <v>43</v>
      </c>
      <c r="G28" s="43">
        <v>0</v>
      </c>
      <c r="H28" s="128">
        <f>IF(B$19=0,0,G28/B$19)</f>
        <v>0</v>
      </c>
      <c r="I28" s="90">
        <v>1</v>
      </c>
    </row>
    <row r="29" spans="1:17" x14ac:dyDescent="0.4">
      <c r="A29" s="53" t="s">
        <v>131</v>
      </c>
      <c r="B29" s="61">
        <v>0</v>
      </c>
      <c r="C29" s="38">
        <f>IF(B$3=0,0,B29/B$3)</f>
        <v>0</v>
      </c>
      <c r="E29" s="59" t="s">
        <v>85</v>
      </c>
      <c r="F29" s="56" t="s">
        <v>44</v>
      </c>
      <c r="G29" s="43">
        <v>0</v>
      </c>
      <c r="H29" s="128">
        <f>IF(B$19=0,0,G29/B$19)</f>
        <v>0</v>
      </c>
      <c r="I29" s="90">
        <v>1</v>
      </c>
    </row>
    <row r="30" spans="1:17" x14ac:dyDescent="0.4">
      <c r="E30" s="59" t="s">
        <v>86</v>
      </c>
      <c r="F30" s="56" t="s">
        <v>45</v>
      </c>
      <c r="G30" s="43">
        <v>0</v>
      </c>
      <c r="H30" s="128">
        <f>IF(B$19=0,0,G30/B$19)</f>
        <v>0</v>
      </c>
      <c r="I30" s="90">
        <v>1</v>
      </c>
    </row>
    <row r="31" spans="1:17" x14ac:dyDescent="0.4">
      <c r="E31" s="59" t="s">
        <v>87</v>
      </c>
      <c r="F31" s="56" t="s">
        <v>46</v>
      </c>
      <c r="G31" s="43">
        <v>0</v>
      </c>
      <c r="H31" s="128">
        <f>IF(B$19=0,0,G31/B$19)</f>
        <v>0</v>
      </c>
      <c r="I31" s="90">
        <v>1</v>
      </c>
    </row>
    <row r="32" spans="1:17" x14ac:dyDescent="0.4">
      <c r="E32" s="59" t="s">
        <v>88</v>
      </c>
      <c r="F32" s="56" t="s">
        <v>47</v>
      </c>
      <c r="G32" s="43">
        <v>0</v>
      </c>
      <c r="H32" s="128">
        <f>IF(B$19=0,0,G32/B$19)</f>
        <v>0</v>
      </c>
      <c r="I32" s="90">
        <v>1</v>
      </c>
    </row>
    <row r="33" spans="5:9" x14ac:dyDescent="0.4">
      <c r="E33" s="59" t="s">
        <v>89</v>
      </c>
      <c r="F33" s="56" t="s">
        <v>48</v>
      </c>
      <c r="G33" s="43">
        <v>0</v>
      </c>
      <c r="H33" s="128">
        <f>IF(B$19=0,0,G33/B$19)</f>
        <v>0</v>
      </c>
      <c r="I33" s="90">
        <v>1</v>
      </c>
    </row>
    <row r="34" spans="5:9" x14ac:dyDescent="0.4">
      <c r="E34" s="59" t="s">
        <v>90</v>
      </c>
      <c r="F34" s="56" t="s">
        <v>49</v>
      </c>
      <c r="G34" s="43">
        <v>0</v>
      </c>
      <c r="H34" s="128">
        <f>IF(B$19=0,0,G34/B$19)</f>
        <v>0</v>
      </c>
      <c r="I34" s="90">
        <v>1</v>
      </c>
    </row>
    <row r="35" spans="5:9" x14ac:dyDescent="0.4">
      <c r="E35" s="59" t="s">
        <v>91</v>
      </c>
      <c r="F35" s="56" t="s">
        <v>50</v>
      </c>
      <c r="G35" s="43">
        <v>0</v>
      </c>
      <c r="H35" s="128">
        <f>IF(B$19=0,0,G35/B$19)</f>
        <v>0</v>
      </c>
      <c r="I35" s="90">
        <v>1</v>
      </c>
    </row>
    <row r="36" spans="5:9" x14ac:dyDescent="0.4">
      <c r="E36" s="59" t="s">
        <v>92</v>
      </c>
      <c r="F36" s="56" t="s">
        <v>51</v>
      </c>
      <c r="G36" s="43">
        <v>0</v>
      </c>
      <c r="H36" s="128">
        <f>IF(B$19=0,0,G36/B$19)</f>
        <v>0</v>
      </c>
      <c r="I36" s="90">
        <v>1</v>
      </c>
    </row>
    <row r="37" spans="5:9" x14ac:dyDescent="0.4">
      <c r="E37" s="59" t="s">
        <v>93</v>
      </c>
      <c r="F37" s="56" t="s">
        <v>52</v>
      </c>
      <c r="G37" s="43">
        <v>0</v>
      </c>
      <c r="H37" s="128">
        <f>IF(B$19=0,0,G37/B$19)</f>
        <v>0</v>
      </c>
      <c r="I37" s="90">
        <v>1</v>
      </c>
    </row>
    <row r="38" spans="5:9" x14ac:dyDescent="0.4">
      <c r="E38" s="59" t="s">
        <v>94</v>
      </c>
      <c r="F38" s="56" t="s">
        <v>53</v>
      </c>
      <c r="G38" s="43">
        <v>0</v>
      </c>
      <c r="H38" s="128">
        <f>IF(B$19=0,0,G38/B$19)</f>
        <v>0</v>
      </c>
      <c r="I38" s="90">
        <v>1</v>
      </c>
    </row>
    <row r="39" spans="5:9" x14ac:dyDescent="0.4">
      <c r="E39" s="59" t="s">
        <v>95</v>
      </c>
      <c r="F39" s="56" t="s">
        <v>54</v>
      </c>
      <c r="G39" s="43">
        <v>0</v>
      </c>
      <c r="H39" s="128">
        <f>IF(B$19=0,0,G39/B$19)</f>
        <v>0</v>
      </c>
      <c r="I39" s="90">
        <v>3</v>
      </c>
    </row>
    <row r="40" spans="5:9" x14ac:dyDescent="0.4">
      <c r="E40" s="59" t="s">
        <v>96</v>
      </c>
      <c r="F40" s="56" t="s">
        <v>55</v>
      </c>
      <c r="G40" s="43">
        <v>0</v>
      </c>
      <c r="H40" s="128">
        <f>IF(B$19=0,0,G40/B$19)</f>
        <v>0</v>
      </c>
      <c r="I40" s="90">
        <v>1</v>
      </c>
    </row>
    <row r="41" spans="5:9" x14ac:dyDescent="0.4">
      <c r="E41" s="59" t="s">
        <v>97</v>
      </c>
      <c r="F41" s="56" t="s">
        <v>56</v>
      </c>
      <c r="G41" s="43">
        <v>0</v>
      </c>
      <c r="H41" s="128">
        <f>IF(B$19=0,0,G41/B$19)</f>
        <v>0</v>
      </c>
      <c r="I41" s="90">
        <v>1</v>
      </c>
    </row>
    <row r="42" spans="5:9" x14ac:dyDescent="0.4">
      <c r="E42" s="59" t="s">
        <v>98</v>
      </c>
      <c r="F42" s="56" t="s">
        <v>57</v>
      </c>
      <c r="G42" s="43">
        <v>0</v>
      </c>
      <c r="H42" s="128">
        <f>IF(B$19=0,0,G42/B$19)</f>
        <v>0</v>
      </c>
      <c r="I42" s="90">
        <v>1</v>
      </c>
    </row>
    <row r="43" spans="5:9" x14ac:dyDescent="0.4">
      <c r="E43" s="59" t="s">
        <v>99</v>
      </c>
      <c r="F43" s="56" t="s">
        <v>58</v>
      </c>
      <c r="G43" s="43">
        <v>0</v>
      </c>
      <c r="H43" s="128">
        <f>IF(B$19=0,0,G43/B$19)</f>
        <v>0</v>
      </c>
      <c r="I43" s="90">
        <v>3</v>
      </c>
    </row>
    <row r="44" spans="5:9" x14ac:dyDescent="0.4">
      <c r="E44" s="59" t="s">
        <v>100</v>
      </c>
      <c r="F44" s="56" t="s">
        <v>59</v>
      </c>
      <c r="G44" s="43">
        <v>0</v>
      </c>
      <c r="H44" s="128">
        <f>IF(B$19=0,0,G44/B$19)</f>
        <v>0</v>
      </c>
      <c r="I44" s="90">
        <v>1</v>
      </c>
    </row>
    <row r="45" spans="5:9" x14ac:dyDescent="0.4">
      <c r="E45" s="59" t="s">
        <v>101</v>
      </c>
      <c r="F45" s="56" t="s">
        <v>60</v>
      </c>
      <c r="G45" s="43">
        <v>0</v>
      </c>
      <c r="H45" s="128">
        <f>IF(B$19=0,0,G45/B$19)</f>
        <v>0</v>
      </c>
      <c r="I45" s="90">
        <v>1</v>
      </c>
    </row>
    <row r="46" spans="5:9" x14ac:dyDescent="0.4">
      <c r="E46" s="59" t="s">
        <v>102</v>
      </c>
      <c r="F46" s="56" t="s">
        <v>105</v>
      </c>
      <c r="G46" s="43">
        <v>0</v>
      </c>
      <c r="H46" s="128">
        <f>IF(B$19=0,0,G46/B$19)</f>
        <v>0</v>
      </c>
      <c r="I46" s="90">
        <v>1</v>
      </c>
    </row>
    <row r="47" spans="5:9" x14ac:dyDescent="0.4">
      <c r="E47" s="60" t="s">
        <v>103</v>
      </c>
      <c r="F47" s="57" t="s">
        <v>106</v>
      </c>
      <c r="G47" s="45">
        <v>0</v>
      </c>
      <c r="H47" s="129">
        <f>IF(B$19=0,0,G47/B$19)</f>
        <v>0</v>
      </c>
      <c r="I47" s="91">
        <v>1</v>
      </c>
    </row>
  </sheetData>
  <sortState xmlns:xlrd2="http://schemas.microsoft.com/office/spreadsheetml/2017/richdata2" ref="N15:Q15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6993C-EC69-45BC-865F-9D0F088CB443}">
  <sheetPr codeName="Sheet12"/>
  <dimension ref="A1:R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9" width="10.75" style="63"/>
    <col min="10" max="11" width="10.75" style="64"/>
    <col min="12" max="18" width="10.75" style="63"/>
    <col min="19" max="16384" width="10.75" style="66"/>
  </cols>
  <sheetData>
    <row r="1" spans="1:18" x14ac:dyDescent="0.4">
      <c r="A1" s="66" t="s">
        <v>160</v>
      </c>
      <c r="B1" s="66" t="s">
        <v>160</v>
      </c>
      <c r="C1" s="66" t="s">
        <v>160</v>
      </c>
      <c r="D1" s="67" t="s">
        <v>160</v>
      </c>
      <c r="E1" s="66" t="s">
        <v>160</v>
      </c>
      <c r="F1" s="66" t="s">
        <v>160</v>
      </c>
      <c r="G1" s="66" t="s">
        <v>160</v>
      </c>
      <c r="H1" s="66" t="s">
        <v>160</v>
      </c>
      <c r="I1" s="66" t="s">
        <v>160</v>
      </c>
      <c r="J1" s="66" t="s">
        <v>160</v>
      </c>
      <c r="K1" s="66" t="s">
        <v>160</v>
      </c>
      <c r="L1" s="66" t="s">
        <v>160</v>
      </c>
      <c r="M1" s="66" t="s">
        <v>160</v>
      </c>
      <c r="N1" s="66" t="s">
        <v>160</v>
      </c>
      <c r="O1" s="66" t="s">
        <v>160</v>
      </c>
      <c r="P1" s="66" t="s">
        <v>160</v>
      </c>
      <c r="Q1" s="66" t="s">
        <v>160</v>
      </c>
      <c r="R1" s="66" t="s">
        <v>160</v>
      </c>
    </row>
    <row r="2" spans="1:18" x14ac:dyDescent="0.4">
      <c r="A2" s="66" t="s">
        <v>9</v>
      </c>
      <c r="B2" s="66" t="s">
        <v>6</v>
      </c>
      <c r="C2" s="66" t="s">
        <v>7</v>
      </c>
      <c r="D2" s="67" t="s">
        <v>16</v>
      </c>
      <c r="E2" s="66" t="s">
        <v>15</v>
      </c>
      <c r="F2" s="66" t="s">
        <v>150</v>
      </c>
      <c r="G2" s="66" t="s">
        <v>170</v>
      </c>
      <c r="H2" s="66" t="s">
        <v>135</v>
      </c>
      <c r="I2" s="66" t="s">
        <v>134</v>
      </c>
      <c r="J2" s="66" t="s">
        <v>5</v>
      </c>
      <c r="K2" s="66" t="s">
        <v>17</v>
      </c>
      <c r="L2" s="66" t="s">
        <v>18</v>
      </c>
      <c r="M2" s="66" t="s">
        <v>129</v>
      </c>
      <c r="N2" s="66" t="s">
        <v>115</v>
      </c>
      <c r="O2" s="66" t="s">
        <v>112</v>
      </c>
      <c r="P2" s="66" t="s">
        <v>118</v>
      </c>
      <c r="Q2" s="66" t="s">
        <v>136</v>
      </c>
      <c r="R2" s="66" t="s">
        <v>132</v>
      </c>
    </row>
    <row r="3" spans="1:18" x14ac:dyDescent="0.4">
      <c r="A3" s="65">
        <v>0</v>
      </c>
      <c r="B3" s="62">
        <v>0</v>
      </c>
    </row>
    <row r="4" spans="1:18" x14ac:dyDescent="0.4">
      <c r="A4" s="65">
        <v>1</v>
      </c>
      <c r="B4" s="62">
        <v>31.1</v>
      </c>
      <c r="C4" s="62">
        <v>31.1</v>
      </c>
      <c r="D4" s="67">
        <v>2</v>
      </c>
      <c r="E4" s="63">
        <v>0</v>
      </c>
      <c r="F4" s="63">
        <v>0</v>
      </c>
      <c r="G4" s="63">
        <v>1</v>
      </c>
      <c r="H4" s="63">
        <v>0.3</v>
      </c>
      <c r="I4" s="63">
        <v>0.1</v>
      </c>
      <c r="J4" s="64">
        <v>20000</v>
      </c>
      <c r="K4" s="64">
        <v>-8000</v>
      </c>
      <c r="L4" s="63">
        <v>0</v>
      </c>
      <c r="M4" s="63">
        <v>0</v>
      </c>
      <c r="N4" s="63">
        <v>0.2</v>
      </c>
      <c r="O4" s="63">
        <v>0.1</v>
      </c>
      <c r="P4" s="63">
        <v>0.5</v>
      </c>
      <c r="Q4" s="63">
        <v>1</v>
      </c>
      <c r="R4" s="63">
        <v>0.66666666666666663</v>
      </c>
    </row>
    <row r="5" spans="1:18" x14ac:dyDescent="0.4">
      <c r="A5" s="65">
        <v>2</v>
      </c>
      <c r="B5" s="62">
        <v>62.2</v>
      </c>
      <c r="C5" s="62">
        <v>31.1</v>
      </c>
      <c r="D5" s="67">
        <v>2</v>
      </c>
      <c r="E5" s="63">
        <v>0</v>
      </c>
      <c r="F5" s="63">
        <v>0</v>
      </c>
      <c r="G5" s="63">
        <v>1</v>
      </c>
      <c r="H5" s="63">
        <v>0.3</v>
      </c>
      <c r="I5" s="63">
        <v>0.1</v>
      </c>
      <c r="J5" s="64">
        <v>20000</v>
      </c>
      <c r="K5" s="64">
        <v>-8000</v>
      </c>
      <c r="L5" s="63">
        <v>0</v>
      </c>
      <c r="M5" s="63">
        <v>0</v>
      </c>
      <c r="N5" s="63">
        <v>0.2</v>
      </c>
      <c r="O5" s="63">
        <v>0.1</v>
      </c>
      <c r="P5" s="63">
        <v>0.5</v>
      </c>
      <c r="Q5" s="63">
        <v>1</v>
      </c>
      <c r="R5" s="63">
        <v>0.66666666666666663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B5035-7C89-4145-BBAF-5181EA9D189A}">
  <sheetPr codeName="Sheet11"/>
  <dimension ref="A1:Q47"/>
  <sheetViews>
    <sheetView showGridLines="0" zoomScaleNormal="100" workbookViewId="0"/>
  </sheetViews>
  <sheetFormatPr defaultColWidth="9" defaultRowHeight="18.75" x14ac:dyDescent="0.4"/>
  <cols>
    <col min="1" max="1" width="13" style="29" customWidth="1"/>
    <col min="2" max="3" width="9" style="29" customWidth="1"/>
    <col min="4" max="4" width="3.625" style="29" customWidth="1"/>
    <col min="5" max="5" width="3.625" style="123" bestFit="1" customWidth="1"/>
    <col min="6" max="6" width="11" style="39" bestFit="1" customWidth="1"/>
    <col min="7" max="9" width="9" style="29" customWidth="1"/>
    <col min="10" max="10" width="3.625" style="29" customWidth="1"/>
    <col min="11" max="11" width="3.5" style="34" customWidth="1"/>
    <col min="12" max="12" width="9" style="95" customWidth="1"/>
    <col min="13" max="13" width="3.625" style="29" customWidth="1"/>
    <col min="14" max="14" width="9" style="110" customWidth="1"/>
    <col min="15" max="15" width="9" style="120" customWidth="1"/>
    <col min="16" max="16" width="9" style="114" customWidth="1"/>
    <col min="17" max="17" width="3.625" style="102" customWidth="1"/>
    <col min="18" max="16384" width="9" style="29"/>
  </cols>
  <sheetData>
    <row r="1" spans="1:17" x14ac:dyDescent="0.4">
      <c r="A1" s="49" t="s">
        <v>0</v>
      </c>
      <c r="B1" s="141" t="s">
        <v>160</v>
      </c>
      <c r="C1" s="142"/>
      <c r="E1" s="124" t="s">
        <v>154</v>
      </c>
      <c r="F1" s="134" t="s">
        <v>108</v>
      </c>
      <c r="G1" s="133" t="s">
        <v>109</v>
      </c>
      <c r="H1" s="125" t="s">
        <v>110</v>
      </c>
      <c r="I1" s="134" t="s">
        <v>142</v>
      </c>
      <c r="K1" s="30" t="s">
        <v>20</v>
      </c>
      <c r="L1" s="31" t="s">
        <v>113</v>
      </c>
      <c r="M1" s="126"/>
      <c r="N1" s="108" t="s">
        <v>126</v>
      </c>
      <c r="O1" s="30" t="s">
        <v>127</v>
      </c>
      <c r="P1" s="112" t="s">
        <v>109</v>
      </c>
      <c r="Q1" s="96" t="s">
        <v>146</v>
      </c>
    </row>
    <row r="2" spans="1:17" x14ac:dyDescent="0.4">
      <c r="A2" s="50" t="s">
        <v>9</v>
      </c>
      <c r="B2" s="143">
        <v>2</v>
      </c>
      <c r="C2" s="144"/>
      <c r="E2" s="58" t="s">
        <v>61</v>
      </c>
      <c r="F2" s="55" t="s">
        <v>21</v>
      </c>
      <c r="G2" s="42">
        <v>2</v>
      </c>
      <c r="H2" s="127">
        <f>IF(B$19=0,0,G2/B$19)</f>
        <v>0.33333333333333331</v>
      </c>
      <c r="I2" s="89">
        <v>1</v>
      </c>
      <c r="K2" s="32">
        <v>0</v>
      </c>
      <c r="L2" s="94">
        <v>0</v>
      </c>
      <c r="N2" s="109" t="s">
        <v>120</v>
      </c>
      <c r="O2" s="116">
        <f t="shared" ref="O2:O9" si="0">IF(P2=0,0,Q2/P2)</f>
        <v>9000</v>
      </c>
      <c r="P2" s="113">
        <v>2</v>
      </c>
      <c r="Q2" s="97">
        <v>18000</v>
      </c>
    </row>
    <row r="3" spans="1:17" x14ac:dyDescent="0.4">
      <c r="A3" s="51" t="s">
        <v>8</v>
      </c>
      <c r="B3" s="145">
        <v>20</v>
      </c>
      <c r="C3" s="146"/>
      <c r="E3" s="59" t="s">
        <v>62</v>
      </c>
      <c r="F3" s="56" t="s">
        <v>22</v>
      </c>
      <c r="G3" s="43">
        <v>2</v>
      </c>
      <c r="H3" s="128">
        <f>IF(B$19=0,0,G3/B$19)</f>
        <v>0.33333333333333331</v>
      </c>
      <c r="I3" s="90">
        <v>1</v>
      </c>
      <c r="K3" s="34">
        <v>1</v>
      </c>
      <c r="L3" s="95">
        <v>31.1</v>
      </c>
      <c r="N3" s="110" t="s">
        <v>121</v>
      </c>
      <c r="O3" s="117">
        <f t="shared" si="0"/>
        <v>5000</v>
      </c>
      <c r="P3" s="114">
        <v>2</v>
      </c>
      <c r="Q3" s="98">
        <v>10000</v>
      </c>
    </row>
    <row r="4" spans="1:17" x14ac:dyDescent="0.4">
      <c r="A4" s="51" t="s">
        <v>6</v>
      </c>
      <c r="B4" s="147">
        <v>62.2</v>
      </c>
      <c r="C4" s="148"/>
      <c r="E4" s="59" t="s">
        <v>65</v>
      </c>
      <c r="F4" s="56" t="s">
        <v>12</v>
      </c>
      <c r="G4" s="43">
        <v>2</v>
      </c>
      <c r="H4" s="128">
        <f>IF(B$19=0,0,G4/B$19)</f>
        <v>0.33333333333333331</v>
      </c>
      <c r="I4" s="90">
        <v>5</v>
      </c>
      <c r="K4" s="34">
        <v>2</v>
      </c>
      <c r="L4" s="95">
        <v>62.2</v>
      </c>
      <c r="N4" s="110" t="s">
        <v>122</v>
      </c>
      <c r="O4" s="117">
        <f t="shared" si="0"/>
        <v>-500</v>
      </c>
      <c r="P4" s="114">
        <v>2</v>
      </c>
      <c r="Q4" s="98">
        <v>-1000</v>
      </c>
    </row>
    <row r="5" spans="1:17" x14ac:dyDescent="0.4">
      <c r="A5" s="51" t="s">
        <v>7</v>
      </c>
      <c r="B5" s="149">
        <f>IF(B$2=0,0,B$4/B$2)</f>
        <v>31.1</v>
      </c>
      <c r="C5" s="150"/>
      <c r="E5" s="59" t="s">
        <v>75</v>
      </c>
      <c r="F5" s="56" t="s">
        <v>34</v>
      </c>
      <c r="G5" s="43">
        <v>2</v>
      </c>
      <c r="H5" s="128">
        <f>IF(B$19=0,0,G5/B$19)</f>
        <v>0.33333333333333331</v>
      </c>
      <c r="I5" s="90">
        <v>1</v>
      </c>
      <c r="N5" s="110" t="s">
        <v>166</v>
      </c>
      <c r="O5" s="117">
        <f t="shared" si="0"/>
        <v>-15300</v>
      </c>
      <c r="P5" s="114">
        <v>2</v>
      </c>
      <c r="Q5" s="98">
        <v>-30600</v>
      </c>
    </row>
    <row r="6" spans="1:17" x14ac:dyDescent="0.4">
      <c r="A6" s="51" t="s">
        <v>1</v>
      </c>
      <c r="B6" s="139">
        <f>IF(B$2=0,0,(B$7*1+B$8*2+B$9*3+B$10*4)/B$2)</f>
        <v>2</v>
      </c>
      <c r="C6" s="140"/>
      <c r="E6" s="59" t="s">
        <v>78</v>
      </c>
      <c r="F6" s="56" t="s">
        <v>37</v>
      </c>
      <c r="G6" s="43">
        <v>2</v>
      </c>
      <c r="H6" s="128">
        <f>IF(B$19=0,0,G6/B$19)</f>
        <v>0.33333333333333331</v>
      </c>
      <c r="I6" s="90">
        <v>1</v>
      </c>
      <c r="N6" s="110" t="s">
        <v>123</v>
      </c>
      <c r="O6" s="117">
        <f t="shared" si="0"/>
        <v>-8000</v>
      </c>
      <c r="P6" s="114">
        <v>2</v>
      </c>
      <c r="Q6" s="98">
        <v>-16000</v>
      </c>
    </row>
    <row r="7" spans="1:17" x14ac:dyDescent="0.4">
      <c r="A7" s="51" t="s">
        <v>2</v>
      </c>
      <c r="B7" s="43">
        <v>0</v>
      </c>
      <c r="C7" s="35">
        <f>IF(B$2=0,0,B7/B$2)</f>
        <v>0</v>
      </c>
      <c r="E7" s="59" t="s">
        <v>82</v>
      </c>
      <c r="F7" s="56" t="s">
        <v>41</v>
      </c>
      <c r="G7" s="43">
        <v>2</v>
      </c>
      <c r="H7" s="128">
        <f>IF(B$19=0,0,G7/B$19)</f>
        <v>0.33333333333333331</v>
      </c>
      <c r="I7" s="90">
        <v>1</v>
      </c>
      <c r="N7" s="110" t="s">
        <v>124</v>
      </c>
      <c r="O7" s="117">
        <f t="shared" si="0"/>
        <v>-8000</v>
      </c>
      <c r="P7" s="114">
        <v>2</v>
      </c>
      <c r="Q7" s="98">
        <v>-16000</v>
      </c>
    </row>
    <row r="8" spans="1:17" x14ac:dyDescent="0.4">
      <c r="A8" s="51" t="s">
        <v>3</v>
      </c>
      <c r="B8" s="43">
        <v>2</v>
      </c>
      <c r="C8" s="35">
        <f>IF(B$2=0,0,B8/B$2)</f>
        <v>1</v>
      </c>
      <c r="E8" s="59" t="s">
        <v>95</v>
      </c>
      <c r="F8" s="56" t="s">
        <v>54</v>
      </c>
      <c r="G8" s="43">
        <v>2</v>
      </c>
      <c r="H8" s="128">
        <f>IF(B$19=0,0,G8/B$19)</f>
        <v>0.33333333333333331</v>
      </c>
      <c r="I8" s="90">
        <v>1</v>
      </c>
      <c r="N8" s="110" t="s">
        <v>125</v>
      </c>
      <c r="O8" s="117">
        <f t="shared" si="0"/>
        <v>43900</v>
      </c>
      <c r="P8" s="114">
        <v>2</v>
      </c>
      <c r="Q8" s="98">
        <v>87800</v>
      </c>
    </row>
    <row r="9" spans="1:17" x14ac:dyDescent="0.4">
      <c r="A9" s="52" t="s">
        <v>4</v>
      </c>
      <c r="B9" s="44">
        <v>0</v>
      </c>
      <c r="C9" s="36">
        <f t="shared" ref="C9:C11" si="1">IF(B$2=0,0,B9/B$2)</f>
        <v>0</v>
      </c>
      <c r="E9" s="59" t="s">
        <v>63</v>
      </c>
      <c r="F9" s="56" t="s">
        <v>23</v>
      </c>
      <c r="G9" s="43">
        <v>0</v>
      </c>
      <c r="H9" s="128">
        <f>IF(B$19=0,0,G9/B$19)</f>
        <v>0</v>
      </c>
      <c r="I9" s="90">
        <v>8</v>
      </c>
      <c r="N9" s="111" t="s">
        <v>165</v>
      </c>
      <c r="O9" s="118">
        <f t="shared" si="0"/>
        <v>0</v>
      </c>
      <c r="P9" s="115">
        <v>2</v>
      </c>
      <c r="Q9" s="99">
        <v>0</v>
      </c>
    </row>
    <row r="10" spans="1:17" x14ac:dyDescent="0.4">
      <c r="A10" s="52" t="s">
        <v>162</v>
      </c>
      <c r="B10" s="44">
        <v>0</v>
      </c>
      <c r="C10" s="36">
        <f t="shared" si="1"/>
        <v>0</v>
      </c>
      <c r="E10" s="59" t="s">
        <v>64</v>
      </c>
      <c r="F10" s="56" t="s">
        <v>24</v>
      </c>
      <c r="G10" s="43">
        <v>0</v>
      </c>
      <c r="H10" s="128">
        <f>IF(B$19=0,0,G10/B$19)</f>
        <v>0</v>
      </c>
      <c r="I10" s="90">
        <v>7</v>
      </c>
      <c r="N10" s="39"/>
      <c r="O10" s="122"/>
      <c r="P10" s="106"/>
      <c r="Q10" s="104"/>
    </row>
    <row r="11" spans="1:17" x14ac:dyDescent="0.4">
      <c r="A11" s="52" t="s">
        <v>171</v>
      </c>
      <c r="B11" s="44">
        <f>トップ数+B8</f>
        <v>2</v>
      </c>
      <c r="C11" s="36">
        <f>IF(B$2=0,0,B11/B$2)</f>
        <v>1</v>
      </c>
      <c r="E11" s="59" t="s">
        <v>66</v>
      </c>
      <c r="F11" s="56" t="s">
        <v>25</v>
      </c>
      <c r="G11" s="43">
        <v>0</v>
      </c>
      <c r="H11" s="128">
        <f>IF(B$19=0,0,G11/B$19)</f>
        <v>0</v>
      </c>
      <c r="I11" s="90">
        <v>3</v>
      </c>
      <c r="N11" s="108" t="s">
        <v>151</v>
      </c>
      <c r="O11" s="30" t="s">
        <v>113</v>
      </c>
      <c r="P11" s="112" t="s">
        <v>109</v>
      </c>
      <c r="Q11" s="100" t="s">
        <v>146</v>
      </c>
    </row>
    <row r="12" spans="1:17" x14ac:dyDescent="0.4">
      <c r="A12" s="52" t="s">
        <v>19</v>
      </c>
      <c r="B12" s="44">
        <v>0</v>
      </c>
      <c r="C12" s="36">
        <f>IF(B$2=0,0,B12/B$2)</f>
        <v>0</v>
      </c>
      <c r="E12" s="59" t="s">
        <v>67</v>
      </c>
      <c r="F12" s="56" t="s">
        <v>26</v>
      </c>
      <c r="G12" s="43">
        <v>0</v>
      </c>
      <c r="H12" s="128">
        <f>IF(B$19=0,0,G12/B$19)</f>
        <v>0</v>
      </c>
      <c r="I12" s="90">
        <v>3</v>
      </c>
      <c r="N12" s="109" t="s">
        <v>152</v>
      </c>
      <c r="O12" s="119">
        <f>IF(P12=0,0,Q12/P12)</f>
        <v>0</v>
      </c>
      <c r="P12" s="113">
        <v>0</v>
      </c>
      <c r="Q12" s="101">
        <v>0</v>
      </c>
    </row>
    <row r="13" spans="1:17" x14ac:dyDescent="0.4">
      <c r="A13" s="52" t="s">
        <v>128</v>
      </c>
      <c r="B13" s="44">
        <v>0</v>
      </c>
      <c r="C13" s="36">
        <f>IF(B$2=0,0,B13/B$2)</f>
        <v>0</v>
      </c>
      <c r="E13" s="59" t="s">
        <v>68</v>
      </c>
      <c r="F13" s="56" t="s">
        <v>27</v>
      </c>
      <c r="G13" s="43">
        <v>0</v>
      </c>
      <c r="H13" s="128">
        <f>IF(B$19=0,0,G13/B$19)</f>
        <v>0</v>
      </c>
      <c r="I13" s="90">
        <v>3</v>
      </c>
      <c r="N13" s="110" t="s">
        <v>153</v>
      </c>
      <c r="O13" s="120">
        <f>IF(P13=0,0,Q13/P13)</f>
        <v>0</v>
      </c>
      <c r="P13" s="114">
        <v>0</v>
      </c>
      <c r="Q13" s="102">
        <v>0</v>
      </c>
    </row>
    <row r="14" spans="1:17" x14ac:dyDescent="0.4">
      <c r="A14" s="53" t="s">
        <v>148</v>
      </c>
      <c r="B14" s="45">
        <v>0</v>
      </c>
      <c r="C14" s="38">
        <f>IF(B$2=0,0,B14/B$2)</f>
        <v>0</v>
      </c>
      <c r="E14" s="59" t="s">
        <v>69</v>
      </c>
      <c r="F14" s="56" t="s">
        <v>28</v>
      </c>
      <c r="G14" s="43">
        <v>0</v>
      </c>
      <c r="H14" s="128">
        <f>IF(B$19=0,0,G14/B$19)</f>
        <v>0</v>
      </c>
      <c r="I14" s="90">
        <v>3</v>
      </c>
      <c r="N14" s="110" t="s">
        <v>163</v>
      </c>
      <c r="O14" s="120">
        <f>IF(P14=0,0,Q14/P14)</f>
        <v>31.1</v>
      </c>
      <c r="P14" s="114">
        <v>2</v>
      </c>
      <c r="Q14" s="102">
        <v>62.2</v>
      </c>
    </row>
    <row r="15" spans="1:17" x14ac:dyDescent="0.4">
      <c r="A15" s="54" t="s">
        <v>114</v>
      </c>
      <c r="B15" s="46">
        <v>4</v>
      </c>
      <c r="C15" s="40">
        <f>IF(B$3=0,0,B15/B$3)</f>
        <v>0.2</v>
      </c>
      <c r="E15" s="59" t="s">
        <v>70</v>
      </c>
      <c r="F15" s="56" t="s">
        <v>29</v>
      </c>
      <c r="G15" s="43">
        <v>0</v>
      </c>
      <c r="H15" s="128">
        <f>IF(B$19=0,0,G15/B$19)</f>
        <v>0</v>
      </c>
      <c r="I15" s="90">
        <v>1</v>
      </c>
      <c r="N15" s="111" t="s">
        <v>164</v>
      </c>
      <c r="O15" s="121">
        <f>IF(P15=0,0,Q15/P15)</f>
        <v>0</v>
      </c>
      <c r="P15" s="115">
        <v>0</v>
      </c>
      <c r="Q15" s="103">
        <v>0</v>
      </c>
    </row>
    <row r="16" spans="1:17" x14ac:dyDescent="0.4">
      <c r="A16" s="51" t="s">
        <v>111</v>
      </c>
      <c r="B16" s="43">
        <v>2</v>
      </c>
      <c r="C16" s="35">
        <f>IF(B$3=0,0,B16/B$3)</f>
        <v>0.1</v>
      </c>
      <c r="E16" s="59" t="s">
        <v>71</v>
      </c>
      <c r="F16" s="56" t="s">
        <v>30</v>
      </c>
      <c r="G16" s="43">
        <v>0</v>
      </c>
      <c r="H16" s="128">
        <f>IF(B$19=0,0,G16/B$19)</f>
        <v>0</v>
      </c>
      <c r="I16" s="90">
        <v>3</v>
      </c>
      <c r="N16" s="29"/>
      <c r="O16" s="105"/>
      <c r="P16" s="107"/>
      <c r="Q16" s="105"/>
    </row>
    <row r="17" spans="1:17" x14ac:dyDescent="0.4">
      <c r="A17" s="50" t="s">
        <v>116</v>
      </c>
      <c r="B17" s="42">
        <v>2</v>
      </c>
      <c r="C17" s="33">
        <f>IF(B$15=0,0,B17/B$15)</f>
        <v>0.5</v>
      </c>
      <c r="E17" s="59" t="s">
        <v>72</v>
      </c>
      <c r="F17" s="56" t="s">
        <v>31</v>
      </c>
      <c r="G17" s="43">
        <v>0</v>
      </c>
      <c r="H17" s="128">
        <f>IF(B$19=0,0,G17/B$19)</f>
        <v>0</v>
      </c>
      <c r="I17" s="90">
        <v>3</v>
      </c>
      <c r="N17" s="108" t="s">
        <v>143</v>
      </c>
      <c r="O17" s="30" t="s">
        <v>113</v>
      </c>
      <c r="P17" s="112" t="s">
        <v>109</v>
      </c>
      <c r="Q17" s="100" t="s">
        <v>146</v>
      </c>
    </row>
    <row r="18" spans="1:17" x14ac:dyDescent="0.4">
      <c r="A18" s="50" t="s">
        <v>117</v>
      </c>
      <c r="B18" s="42">
        <v>2</v>
      </c>
      <c r="C18" s="33">
        <f>IF(B$16=0,0,B18/B$16)</f>
        <v>1</v>
      </c>
      <c r="E18" s="59" t="s">
        <v>73</v>
      </c>
      <c r="F18" s="56" t="s">
        <v>32</v>
      </c>
      <c r="G18" s="43">
        <v>0</v>
      </c>
      <c r="H18" s="128">
        <f>IF(B$19=0,0,G18/B$19)</f>
        <v>0</v>
      </c>
      <c r="I18" s="90">
        <v>1</v>
      </c>
      <c r="N18" s="109" t="s">
        <v>167</v>
      </c>
      <c r="O18" s="119">
        <f>IF(P18=0,0,Q18/P18)</f>
        <v>128.5</v>
      </c>
      <c r="P18" s="113">
        <v>2</v>
      </c>
      <c r="Q18" s="101">
        <v>257</v>
      </c>
    </row>
    <row r="19" spans="1:17" x14ac:dyDescent="0.4">
      <c r="A19" s="50" t="s">
        <v>10</v>
      </c>
      <c r="B19" s="42">
        <f>B21+B20</f>
        <v>6</v>
      </c>
      <c r="C19" s="33">
        <f>IF(B$3=0,0,B19/B$3)</f>
        <v>0.3</v>
      </c>
      <c r="E19" s="59" t="s">
        <v>74</v>
      </c>
      <c r="F19" s="56" t="s">
        <v>33</v>
      </c>
      <c r="G19" s="43">
        <v>0</v>
      </c>
      <c r="H19" s="128">
        <f>IF(B$19=0,0,G19/B$19)</f>
        <v>0</v>
      </c>
      <c r="I19" s="90">
        <v>1</v>
      </c>
      <c r="N19" s="110" t="s">
        <v>161</v>
      </c>
      <c r="O19" s="120">
        <f>IF(P19=0,0,Q19/P19)</f>
        <v>46.1</v>
      </c>
      <c r="P19" s="114">
        <v>2</v>
      </c>
      <c r="Q19" s="102">
        <v>92.2</v>
      </c>
    </row>
    <row r="20" spans="1:17" x14ac:dyDescent="0.4">
      <c r="A20" s="51" t="s">
        <v>12</v>
      </c>
      <c r="B20" s="43">
        <v>4</v>
      </c>
      <c r="C20" s="35">
        <f>IF(B$19=0,0,B20/B$19)</f>
        <v>0.66666666666666663</v>
      </c>
      <c r="E20" s="59" t="s">
        <v>76</v>
      </c>
      <c r="F20" s="56" t="s">
        <v>35</v>
      </c>
      <c r="G20" s="43">
        <v>0</v>
      </c>
      <c r="H20" s="128">
        <f>IF(B$19=0,0,G20/B$19)</f>
        <v>0</v>
      </c>
      <c r="I20" s="90">
        <v>3</v>
      </c>
      <c r="N20" s="110" t="s">
        <v>159</v>
      </c>
      <c r="O20" s="120">
        <f>IF(P20=0,0,Q20/P20)</f>
        <v>-50.199999999999996</v>
      </c>
      <c r="P20" s="114">
        <v>2</v>
      </c>
      <c r="Q20" s="102">
        <v>-100.39999999999999</v>
      </c>
    </row>
    <row r="21" spans="1:17" x14ac:dyDescent="0.4">
      <c r="A21" s="51" t="s">
        <v>11</v>
      </c>
      <c r="B21" s="43">
        <v>2</v>
      </c>
      <c r="C21" s="35">
        <f>IF(B$19=0,0,B21/B$19)</f>
        <v>0.33333333333333331</v>
      </c>
      <c r="E21" s="59" t="s">
        <v>168</v>
      </c>
      <c r="F21" s="56" t="s">
        <v>169</v>
      </c>
      <c r="G21" s="43">
        <v>0</v>
      </c>
      <c r="H21" s="128">
        <f>IF(B$19=0,0,G21/B$19)</f>
        <v>0</v>
      </c>
      <c r="I21" s="90">
        <v>3</v>
      </c>
    </row>
    <row r="22" spans="1:17" x14ac:dyDescent="0.4">
      <c r="A22" s="51" t="s">
        <v>13</v>
      </c>
      <c r="B22" s="43">
        <v>2</v>
      </c>
      <c r="C22" s="35">
        <f>IF(B$3=0,0,B22/B$3)</f>
        <v>0.1</v>
      </c>
      <c r="E22" s="59" t="s">
        <v>77</v>
      </c>
      <c r="F22" s="56" t="s">
        <v>36</v>
      </c>
      <c r="G22" s="43">
        <v>0</v>
      </c>
      <c r="H22" s="128">
        <f>IF(B$19=0,0,G22/B$19)</f>
        <v>0</v>
      </c>
      <c r="I22" s="90">
        <v>1</v>
      </c>
    </row>
    <row r="23" spans="1:17" x14ac:dyDescent="0.4">
      <c r="A23" s="51" t="s">
        <v>155</v>
      </c>
      <c r="B23" s="43">
        <v>0</v>
      </c>
      <c r="C23" s="130">
        <v>0</v>
      </c>
      <c r="E23" s="59" t="s">
        <v>79</v>
      </c>
      <c r="F23" s="56" t="s">
        <v>38</v>
      </c>
      <c r="G23" s="43">
        <v>0</v>
      </c>
      <c r="H23" s="128">
        <f>IF(B$19=0,0,G23/B$19)</f>
        <v>0</v>
      </c>
      <c r="I23" s="90">
        <v>3</v>
      </c>
    </row>
    <row r="24" spans="1:17" x14ac:dyDescent="0.4">
      <c r="A24" s="51" t="s">
        <v>156</v>
      </c>
      <c r="B24" s="43">
        <v>0</v>
      </c>
      <c r="C24" s="130">
        <v>5</v>
      </c>
      <c r="E24" s="59" t="s">
        <v>80</v>
      </c>
      <c r="F24" s="56" t="s">
        <v>39</v>
      </c>
      <c r="G24" s="43">
        <v>0</v>
      </c>
      <c r="H24" s="128">
        <f>IF(B$19=0,0,G24/B$19)</f>
        <v>0</v>
      </c>
      <c r="I24" s="90">
        <v>1</v>
      </c>
    </row>
    <row r="25" spans="1:17" x14ac:dyDescent="0.4">
      <c r="A25" s="51" t="s">
        <v>5</v>
      </c>
      <c r="B25" s="47">
        <f>IF(B$19=0,0,C25/B$19)</f>
        <v>20000</v>
      </c>
      <c r="C25" s="37">
        <v>120000</v>
      </c>
      <c r="E25" s="59" t="s">
        <v>81</v>
      </c>
      <c r="F25" s="56" t="s">
        <v>40</v>
      </c>
      <c r="G25" s="43">
        <v>0</v>
      </c>
      <c r="H25" s="128">
        <f>IF(B$19=0,0,G25/B$19)</f>
        <v>0</v>
      </c>
      <c r="I25" s="90">
        <v>1</v>
      </c>
    </row>
    <row r="26" spans="1:17" x14ac:dyDescent="0.4">
      <c r="A26" s="53" t="s">
        <v>14</v>
      </c>
      <c r="B26" s="48">
        <f>IF(B$22=0,0,C26/B$22)</f>
        <v>-8000</v>
      </c>
      <c r="C26" s="41">
        <v>-16000</v>
      </c>
      <c r="E26" s="59" t="s">
        <v>83</v>
      </c>
      <c r="F26" s="56" t="s">
        <v>42</v>
      </c>
      <c r="G26" s="43">
        <v>0</v>
      </c>
      <c r="H26" s="128">
        <f>IF(B$19=0,0,G26/B$19)</f>
        <v>0</v>
      </c>
      <c r="I26" s="90">
        <v>3</v>
      </c>
    </row>
    <row r="27" spans="1:17" x14ac:dyDescent="0.4">
      <c r="A27" s="86" t="s">
        <v>130</v>
      </c>
      <c r="B27" s="137">
        <v>0</v>
      </c>
      <c r="C27" s="138"/>
      <c r="E27" s="59" t="s">
        <v>84</v>
      </c>
      <c r="F27" s="56" t="s">
        <v>43</v>
      </c>
      <c r="G27" s="43">
        <v>0</v>
      </c>
      <c r="H27" s="128">
        <f>IF(B$19=0,0,G27/B$19)</f>
        <v>0</v>
      </c>
      <c r="I27" s="90">
        <v>1</v>
      </c>
    </row>
    <row r="28" spans="1:17" x14ac:dyDescent="0.4">
      <c r="A28" s="54" t="s">
        <v>140</v>
      </c>
      <c r="B28" s="135">
        <v>51100</v>
      </c>
      <c r="C28" s="136"/>
      <c r="E28" s="59" t="s">
        <v>85</v>
      </c>
      <c r="F28" s="56" t="s">
        <v>44</v>
      </c>
      <c r="G28" s="43">
        <v>0</v>
      </c>
      <c r="H28" s="128">
        <f>IF(B$19=0,0,G28/B$19)</f>
        <v>0</v>
      </c>
      <c r="I28" s="90">
        <v>1</v>
      </c>
    </row>
    <row r="29" spans="1:17" x14ac:dyDescent="0.4">
      <c r="A29" s="53" t="s">
        <v>131</v>
      </c>
      <c r="B29" s="61">
        <v>0</v>
      </c>
      <c r="C29" s="38">
        <f>IF(B$3=0,0,B29/B$3)</f>
        <v>0</v>
      </c>
      <c r="E29" s="59" t="s">
        <v>86</v>
      </c>
      <c r="F29" s="56" t="s">
        <v>45</v>
      </c>
      <c r="G29" s="43">
        <v>0</v>
      </c>
      <c r="H29" s="128">
        <f>IF(B$19=0,0,G29/B$19)</f>
        <v>0</v>
      </c>
      <c r="I29" s="90">
        <v>1</v>
      </c>
    </row>
    <row r="30" spans="1:17" x14ac:dyDescent="0.4">
      <c r="E30" s="59" t="s">
        <v>87</v>
      </c>
      <c r="F30" s="56" t="s">
        <v>46</v>
      </c>
      <c r="G30" s="43">
        <v>0</v>
      </c>
      <c r="H30" s="128">
        <f>IF(B$19=0,0,G30/B$19)</f>
        <v>0</v>
      </c>
      <c r="I30" s="90">
        <v>1</v>
      </c>
    </row>
    <row r="31" spans="1:17" x14ac:dyDescent="0.4">
      <c r="E31" s="59" t="s">
        <v>88</v>
      </c>
      <c r="F31" s="56" t="s">
        <v>47</v>
      </c>
      <c r="G31" s="43">
        <v>0</v>
      </c>
      <c r="H31" s="128">
        <f>IF(B$19=0,0,G31/B$19)</f>
        <v>0</v>
      </c>
      <c r="I31" s="90">
        <v>1</v>
      </c>
    </row>
    <row r="32" spans="1:17" x14ac:dyDescent="0.4">
      <c r="E32" s="59" t="s">
        <v>89</v>
      </c>
      <c r="F32" s="56" t="s">
        <v>48</v>
      </c>
      <c r="G32" s="43">
        <v>0</v>
      </c>
      <c r="H32" s="128">
        <f>IF(B$19=0,0,G32/B$19)</f>
        <v>0</v>
      </c>
      <c r="I32" s="90">
        <v>1</v>
      </c>
    </row>
    <row r="33" spans="5:9" x14ac:dyDescent="0.4">
      <c r="E33" s="59" t="s">
        <v>90</v>
      </c>
      <c r="F33" s="56" t="s">
        <v>49</v>
      </c>
      <c r="G33" s="43">
        <v>0</v>
      </c>
      <c r="H33" s="128">
        <f>IF(B$19=0,0,G33/B$19)</f>
        <v>0</v>
      </c>
      <c r="I33" s="90">
        <v>1</v>
      </c>
    </row>
    <row r="34" spans="5:9" x14ac:dyDescent="0.4">
      <c r="E34" s="59" t="s">
        <v>91</v>
      </c>
      <c r="F34" s="56" t="s">
        <v>50</v>
      </c>
      <c r="G34" s="43">
        <v>0</v>
      </c>
      <c r="H34" s="128">
        <f>IF(B$19=0,0,G34/B$19)</f>
        <v>0</v>
      </c>
      <c r="I34" s="90">
        <v>1</v>
      </c>
    </row>
    <row r="35" spans="5:9" x14ac:dyDescent="0.4">
      <c r="E35" s="59" t="s">
        <v>92</v>
      </c>
      <c r="F35" s="56" t="s">
        <v>51</v>
      </c>
      <c r="G35" s="43">
        <v>0</v>
      </c>
      <c r="H35" s="128">
        <f>IF(B$19=0,0,G35/B$19)</f>
        <v>0</v>
      </c>
      <c r="I35" s="90">
        <v>1</v>
      </c>
    </row>
    <row r="36" spans="5:9" x14ac:dyDescent="0.4">
      <c r="E36" s="59" t="s">
        <v>93</v>
      </c>
      <c r="F36" s="56" t="s">
        <v>52</v>
      </c>
      <c r="G36" s="43">
        <v>0</v>
      </c>
      <c r="H36" s="128">
        <f>IF(B$19=0,0,G36/B$19)</f>
        <v>0</v>
      </c>
      <c r="I36" s="90">
        <v>1</v>
      </c>
    </row>
    <row r="37" spans="5:9" x14ac:dyDescent="0.4">
      <c r="E37" s="59" t="s">
        <v>94</v>
      </c>
      <c r="F37" s="56" t="s">
        <v>53</v>
      </c>
      <c r="G37" s="43">
        <v>0</v>
      </c>
      <c r="H37" s="128">
        <f>IF(B$19=0,0,G37/B$19)</f>
        <v>0</v>
      </c>
      <c r="I37" s="90">
        <v>1</v>
      </c>
    </row>
    <row r="38" spans="5:9" x14ac:dyDescent="0.4">
      <c r="E38" s="59" t="s">
        <v>96</v>
      </c>
      <c r="F38" s="56" t="s">
        <v>55</v>
      </c>
      <c r="G38" s="43">
        <v>0</v>
      </c>
      <c r="H38" s="128">
        <f>IF(B$19=0,0,G38/B$19)</f>
        <v>0</v>
      </c>
      <c r="I38" s="90">
        <v>1</v>
      </c>
    </row>
    <row r="39" spans="5:9" x14ac:dyDescent="0.4">
      <c r="E39" s="59" t="s">
        <v>97</v>
      </c>
      <c r="F39" s="56" t="s">
        <v>56</v>
      </c>
      <c r="G39" s="43">
        <v>0</v>
      </c>
      <c r="H39" s="128">
        <f>IF(B$19=0,0,G39/B$19)</f>
        <v>0</v>
      </c>
      <c r="I39" s="90">
        <v>1</v>
      </c>
    </row>
    <row r="40" spans="5:9" x14ac:dyDescent="0.4">
      <c r="E40" s="59" t="s">
        <v>98</v>
      </c>
      <c r="F40" s="56" t="s">
        <v>57</v>
      </c>
      <c r="G40" s="43">
        <v>0</v>
      </c>
      <c r="H40" s="128">
        <f>IF(B$19=0,0,G40/B$19)</f>
        <v>0</v>
      </c>
      <c r="I40" s="90">
        <v>1</v>
      </c>
    </row>
    <row r="41" spans="5:9" x14ac:dyDescent="0.4">
      <c r="E41" s="59" t="s">
        <v>99</v>
      </c>
      <c r="F41" s="56" t="s">
        <v>58</v>
      </c>
      <c r="G41" s="43">
        <v>0</v>
      </c>
      <c r="H41" s="128">
        <f>IF(B$19=0,0,G41/B$19)</f>
        <v>0</v>
      </c>
      <c r="I41" s="90">
        <v>3</v>
      </c>
    </row>
    <row r="42" spans="5:9" x14ac:dyDescent="0.4">
      <c r="E42" s="59" t="s">
        <v>100</v>
      </c>
      <c r="F42" s="56" t="s">
        <v>59</v>
      </c>
      <c r="G42" s="43">
        <v>0</v>
      </c>
      <c r="H42" s="128">
        <f>IF(B$19=0,0,G42/B$19)</f>
        <v>0</v>
      </c>
      <c r="I42" s="90">
        <v>1</v>
      </c>
    </row>
    <row r="43" spans="5:9" x14ac:dyDescent="0.4">
      <c r="E43" s="59" t="s">
        <v>101</v>
      </c>
      <c r="F43" s="56" t="s">
        <v>60</v>
      </c>
      <c r="G43" s="43">
        <v>0</v>
      </c>
      <c r="H43" s="128">
        <f>IF(B$19=0,0,G43/B$19)</f>
        <v>0</v>
      </c>
      <c r="I43" s="90">
        <v>1</v>
      </c>
    </row>
    <row r="44" spans="5:9" x14ac:dyDescent="0.4">
      <c r="E44" s="59" t="s">
        <v>102</v>
      </c>
      <c r="F44" s="56" t="s">
        <v>105</v>
      </c>
      <c r="G44" s="43">
        <v>0</v>
      </c>
      <c r="H44" s="128">
        <f>IF(B$19=0,0,G44/B$19)</f>
        <v>0</v>
      </c>
      <c r="I44" s="90">
        <v>1</v>
      </c>
    </row>
    <row r="45" spans="5:9" x14ac:dyDescent="0.4">
      <c r="E45" s="59" t="s">
        <v>103</v>
      </c>
      <c r="F45" s="56" t="s">
        <v>106</v>
      </c>
      <c r="G45" s="43">
        <v>0</v>
      </c>
      <c r="H45" s="128">
        <f>IF(B$19=0,0,G45/B$19)</f>
        <v>0</v>
      </c>
      <c r="I45" s="90">
        <v>1</v>
      </c>
    </row>
    <row r="46" spans="5:9" x14ac:dyDescent="0.4">
      <c r="E46" s="59" t="s">
        <v>104</v>
      </c>
      <c r="F46" s="56" t="s">
        <v>107</v>
      </c>
      <c r="G46" s="43">
        <v>0</v>
      </c>
      <c r="H46" s="128">
        <f>IF(B$19=0,0,G46/B$19)</f>
        <v>0</v>
      </c>
      <c r="I46" s="90">
        <v>3</v>
      </c>
    </row>
    <row r="47" spans="5:9" x14ac:dyDescent="0.4">
      <c r="E47" s="60" t="s">
        <v>157</v>
      </c>
      <c r="F47" s="57" t="s">
        <v>158</v>
      </c>
      <c r="G47" s="45">
        <v>0</v>
      </c>
      <c r="H47" s="129">
        <f>IF(B$19=0,0,G47/B$19)</f>
        <v>0</v>
      </c>
      <c r="I47" s="91">
        <v>3</v>
      </c>
    </row>
  </sheetData>
  <sortState xmlns:xlrd2="http://schemas.microsoft.com/office/spreadsheetml/2017/richdata2" ref="N15:Q15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8F3889-2612-4750-975C-3E51138BDF65}">
  <sheetPr codeName="Sheet14"/>
  <dimension ref="A1:R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9" width="10.75" style="63"/>
    <col min="10" max="11" width="10.75" style="64"/>
    <col min="12" max="18" width="10.75" style="63"/>
    <col min="19" max="16384" width="10.75" style="66"/>
  </cols>
  <sheetData>
    <row r="1" spans="1:18" x14ac:dyDescent="0.4">
      <c r="A1" s="66" t="s">
        <v>167</v>
      </c>
      <c r="B1" s="66" t="s">
        <v>167</v>
      </c>
      <c r="C1" s="66" t="s">
        <v>167</v>
      </c>
      <c r="D1" s="67" t="s">
        <v>167</v>
      </c>
      <c r="E1" s="66" t="s">
        <v>167</v>
      </c>
      <c r="F1" s="66" t="s">
        <v>167</v>
      </c>
      <c r="G1" s="66" t="s">
        <v>167</v>
      </c>
      <c r="H1" s="66" t="s">
        <v>167</v>
      </c>
      <c r="I1" s="66" t="s">
        <v>167</v>
      </c>
      <c r="J1" s="66" t="s">
        <v>167</v>
      </c>
      <c r="K1" s="66" t="s">
        <v>167</v>
      </c>
      <c r="L1" s="66" t="s">
        <v>167</v>
      </c>
      <c r="M1" s="66" t="s">
        <v>167</v>
      </c>
      <c r="N1" s="66" t="s">
        <v>167</v>
      </c>
      <c r="O1" s="66" t="s">
        <v>167</v>
      </c>
      <c r="P1" s="66" t="s">
        <v>167</v>
      </c>
      <c r="Q1" s="66" t="s">
        <v>167</v>
      </c>
      <c r="R1" s="66" t="s">
        <v>167</v>
      </c>
    </row>
    <row r="2" spans="1:18" x14ac:dyDescent="0.4">
      <c r="A2" s="66" t="s">
        <v>9</v>
      </c>
      <c r="B2" s="66" t="s">
        <v>6</v>
      </c>
      <c r="C2" s="66" t="s">
        <v>7</v>
      </c>
      <c r="D2" s="67" t="s">
        <v>16</v>
      </c>
      <c r="E2" s="66" t="s">
        <v>15</v>
      </c>
      <c r="F2" s="66" t="s">
        <v>150</v>
      </c>
      <c r="G2" s="66" t="s">
        <v>170</v>
      </c>
      <c r="H2" s="66" t="s">
        <v>135</v>
      </c>
      <c r="I2" s="66" t="s">
        <v>134</v>
      </c>
      <c r="J2" s="66" t="s">
        <v>5</v>
      </c>
      <c r="K2" s="66" t="s">
        <v>17</v>
      </c>
      <c r="L2" s="66" t="s">
        <v>18</v>
      </c>
      <c r="M2" s="66" t="s">
        <v>129</v>
      </c>
      <c r="N2" s="66" t="s">
        <v>115</v>
      </c>
      <c r="O2" s="66" t="s">
        <v>112</v>
      </c>
      <c r="P2" s="66" t="s">
        <v>118</v>
      </c>
      <c r="Q2" s="66" t="s">
        <v>136</v>
      </c>
      <c r="R2" s="66" t="s">
        <v>132</v>
      </c>
    </row>
    <row r="3" spans="1:18" x14ac:dyDescent="0.4">
      <c r="A3" s="65">
        <v>0</v>
      </c>
      <c r="B3" s="62">
        <v>0</v>
      </c>
    </row>
    <row r="4" spans="1:18" x14ac:dyDescent="0.4">
      <c r="A4" s="65">
        <v>1</v>
      </c>
      <c r="B4" s="62">
        <v>-97.4</v>
      </c>
      <c r="C4" s="62">
        <v>-97.4</v>
      </c>
      <c r="D4" s="67">
        <v>4</v>
      </c>
      <c r="E4" s="63">
        <v>0</v>
      </c>
      <c r="F4" s="63">
        <v>1</v>
      </c>
      <c r="G4" s="63">
        <v>0</v>
      </c>
      <c r="H4" s="63">
        <v>0.1</v>
      </c>
      <c r="I4" s="63">
        <v>0.1</v>
      </c>
      <c r="J4" s="64">
        <v>18000</v>
      </c>
      <c r="K4" s="64">
        <v>-64000</v>
      </c>
      <c r="L4" s="63">
        <v>1</v>
      </c>
      <c r="M4" s="63">
        <v>0</v>
      </c>
      <c r="N4" s="63">
        <v>0.2</v>
      </c>
      <c r="O4" s="63">
        <v>0.1</v>
      </c>
      <c r="P4" s="63">
        <v>0.5</v>
      </c>
      <c r="Q4" s="63">
        <v>0</v>
      </c>
      <c r="R4" s="63">
        <v>1</v>
      </c>
    </row>
    <row r="5" spans="1:18" x14ac:dyDescent="0.4">
      <c r="A5" s="65">
        <v>2</v>
      </c>
      <c r="B5" s="62">
        <v>-194.8</v>
      </c>
      <c r="C5" s="62">
        <v>-97.4</v>
      </c>
      <c r="D5" s="67">
        <v>4</v>
      </c>
      <c r="E5" s="63">
        <v>0</v>
      </c>
      <c r="F5" s="63">
        <v>1</v>
      </c>
      <c r="G5" s="63">
        <v>0</v>
      </c>
      <c r="H5" s="63">
        <v>0.1</v>
      </c>
      <c r="I5" s="63">
        <v>0.1</v>
      </c>
      <c r="J5" s="64">
        <v>18000</v>
      </c>
      <c r="K5" s="64">
        <v>-64000</v>
      </c>
      <c r="L5" s="63">
        <v>1</v>
      </c>
      <c r="M5" s="63">
        <v>0</v>
      </c>
      <c r="N5" s="63">
        <v>0.2</v>
      </c>
      <c r="O5" s="63">
        <v>0.1</v>
      </c>
      <c r="P5" s="63">
        <v>0.5</v>
      </c>
      <c r="Q5" s="63">
        <v>0</v>
      </c>
      <c r="R5" s="63">
        <v>1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72462E-D176-4DD7-9333-3701BF41D7B4}">
  <sheetPr codeName="Sheet13"/>
  <dimension ref="A1:Q47"/>
  <sheetViews>
    <sheetView showGridLines="0" zoomScaleNormal="100" workbookViewId="0"/>
  </sheetViews>
  <sheetFormatPr defaultColWidth="9" defaultRowHeight="18.75" x14ac:dyDescent="0.4"/>
  <cols>
    <col min="1" max="1" width="13" style="29" customWidth="1"/>
    <col min="2" max="3" width="9" style="29" customWidth="1"/>
    <col min="4" max="4" width="3.625" style="29" customWidth="1"/>
    <col min="5" max="5" width="3.625" style="123" bestFit="1" customWidth="1"/>
    <col min="6" max="6" width="11" style="39" bestFit="1" customWidth="1"/>
    <col min="7" max="9" width="9" style="29" customWidth="1"/>
    <col min="10" max="10" width="3.625" style="29" customWidth="1"/>
    <col min="11" max="11" width="3.5" style="34" customWidth="1"/>
    <col min="12" max="12" width="9" style="95" customWidth="1"/>
    <col min="13" max="13" width="3.625" style="29" customWidth="1"/>
    <col min="14" max="14" width="9" style="110" customWidth="1"/>
    <col min="15" max="15" width="9" style="120" customWidth="1"/>
    <col min="16" max="16" width="9" style="114" customWidth="1"/>
    <col min="17" max="17" width="3.625" style="102" customWidth="1"/>
    <col min="18" max="16384" width="9" style="29"/>
  </cols>
  <sheetData>
    <row r="1" spans="1:17" x14ac:dyDescent="0.4">
      <c r="A1" s="49" t="s">
        <v>0</v>
      </c>
      <c r="B1" s="141" t="s">
        <v>167</v>
      </c>
      <c r="C1" s="142"/>
      <c r="E1" s="124" t="s">
        <v>154</v>
      </c>
      <c r="F1" s="134" t="s">
        <v>108</v>
      </c>
      <c r="G1" s="133" t="s">
        <v>109</v>
      </c>
      <c r="H1" s="125" t="s">
        <v>110</v>
      </c>
      <c r="I1" s="134" t="s">
        <v>142</v>
      </c>
      <c r="K1" s="30" t="s">
        <v>20</v>
      </c>
      <c r="L1" s="31" t="s">
        <v>113</v>
      </c>
      <c r="M1" s="126"/>
      <c r="N1" s="108" t="s">
        <v>126</v>
      </c>
      <c r="O1" s="30" t="s">
        <v>127</v>
      </c>
      <c r="P1" s="112" t="s">
        <v>109</v>
      </c>
      <c r="Q1" s="96" t="s">
        <v>146</v>
      </c>
    </row>
    <row r="2" spans="1:17" x14ac:dyDescent="0.4">
      <c r="A2" s="50" t="s">
        <v>9</v>
      </c>
      <c r="B2" s="143">
        <v>2</v>
      </c>
      <c r="C2" s="144"/>
      <c r="E2" s="58" t="s">
        <v>63</v>
      </c>
      <c r="F2" s="55" t="s">
        <v>23</v>
      </c>
      <c r="G2" s="42">
        <v>2</v>
      </c>
      <c r="H2" s="127">
        <f>IF(B$19=0,0,G2/B$19)</f>
        <v>1</v>
      </c>
      <c r="I2" s="89">
        <v>1</v>
      </c>
      <c r="K2" s="32">
        <v>0</v>
      </c>
      <c r="L2" s="94">
        <v>0</v>
      </c>
      <c r="N2" s="109" t="s">
        <v>120</v>
      </c>
      <c r="O2" s="116">
        <f t="shared" ref="O2:O9" si="0">IF(P2=0,0,Q2/P2)</f>
        <v>0</v>
      </c>
      <c r="P2" s="113">
        <v>2</v>
      </c>
      <c r="Q2" s="97">
        <v>0</v>
      </c>
    </row>
    <row r="3" spans="1:17" x14ac:dyDescent="0.4">
      <c r="A3" s="51" t="s">
        <v>8</v>
      </c>
      <c r="B3" s="145">
        <v>20</v>
      </c>
      <c r="C3" s="146"/>
      <c r="E3" s="59" t="s">
        <v>65</v>
      </c>
      <c r="F3" s="56" t="s">
        <v>12</v>
      </c>
      <c r="G3" s="43">
        <v>2</v>
      </c>
      <c r="H3" s="128">
        <f>IF(B$19=0,0,G3/B$19)</f>
        <v>1</v>
      </c>
      <c r="I3" s="90">
        <v>1</v>
      </c>
      <c r="K3" s="34">
        <v>1</v>
      </c>
      <c r="L3" s="95">
        <v>-97.4</v>
      </c>
      <c r="N3" s="110" t="s">
        <v>121</v>
      </c>
      <c r="O3" s="117">
        <f t="shared" si="0"/>
        <v>-1000</v>
      </c>
      <c r="P3" s="114">
        <v>2</v>
      </c>
      <c r="Q3" s="98">
        <v>-2000</v>
      </c>
    </row>
    <row r="4" spans="1:17" x14ac:dyDescent="0.4">
      <c r="A4" s="51" t="s">
        <v>6</v>
      </c>
      <c r="B4" s="147">
        <v>-194.8</v>
      </c>
      <c r="C4" s="148"/>
      <c r="E4" s="59" t="s">
        <v>76</v>
      </c>
      <c r="F4" s="56" t="s">
        <v>35</v>
      </c>
      <c r="G4" s="43">
        <v>2</v>
      </c>
      <c r="H4" s="128">
        <f>IF(B$19=0,0,G4/B$19)</f>
        <v>1</v>
      </c>
      <c r="I4" s="90">
        <v>1</v>
      </c>
      <c r="K4" s="34">
        <v>2</v>
      </c>
      <c r="L4" s="95">
        <v>-194.8</v>
      </c>
      <c r="N4" s="110" t="s">
        <v>122</v>
      </c>
      <c r="O4" s="117">
        <f t="shared" si="0"/>
        <v>-300</v>
      </c>
      <c r="P4" s="114">
        <v>2</v>
      </c>
      <c r="Q4" s="98">
        <v>-600</v>
      </c>
    </row>
    <row r="5" spans="1:17" x14ac:dyDescent="0.4">
      <c r="A5" s="51" t="s">
        <v>7</v>
      </c>
      <c r="B5" s="149">
        <f>IF(B$2=0,0,B$4/B$2)</f>
        <v>-97.4</v>
      </c>
      <c r="C5" s="150"/>
      <c r="E5" s="59" t="s">
        <v>83</v>
      </c>
      <c r="F5" s="56" t="s">
        <v>42</v>
      </c>
      <c r="G5" s="43">
        <v>2</v>
      </c>
      <c r="H5" s="128">
        <f>IF(B$19=0,0,G5/B$19)</f>
        <v>1</v>
      </c>
      <c r="I5" s="90">
        <v>1</v>
      </c>
      <c r="N5" s="110" t="s">
        <v>166</v>
      </c>
      <c r="O5" s="117">
        <f t="shared" si="0"/>
        <v>17000</v>
      </c>
      <c r="P5" s="114">
        <v>2</v>
      </c>
      <c r="Q5" s="98">
        <v>34000</v>
      </c>
    </row>
    <row r="6" spans="1:17" x14ac:dyDescent="0.4">
      <c r="A6" s="51" t="s">
        <v>1</v>
      </c>
      <c r="B6" s="139">
        <f>IF(B$2=0,0,(B$7*1+B$8*2+B$9*3+B$10*4)/B$2)</f>
        <v>4</v>
      </c>
      <c r="C6" s="140"/>
      <c r="E6" s="59" t="s">
        <v>61</v>
      </c>
      <c r="F6" s="56" t="s">
        <v>21</v>
      </c>
      <c r="G6" s="43">
        <v>0</v>
      </c>
      <c r="H6" s="128">
        <f>IF(B$19=0,0,G6/B$19)</f>
        <v>0</v>
      </c>
      <c r="I6" s="90">
        <v>3</v>
      </c>
      <c r="N6" s="110" t="s">
        <v>123</v>
      </c>
      <c r="O6" s="117">
        <f t="shared" si="0"/>
        <v>-8000</v>
      </c>
      <c r="P6" s="114">
        <v>2</v>
      </c>
      <c r="Q6" s="98">
        <v>-16000</v>
      </c>
    </row>
    <row r="7" spans="1:17" x14ac:dyDescent="0.4">
      <c r="A7" s="51" t="s">
        <v>2</v>
      </c>
      <c r="B7" s="43">
        <v>0</v>
      </c>
      <c r="C7" s="35">
        <f>IF(B$2=0,0,B7/B$2)</f>
        <v>0</v>
      </c>
      <c r="E7" s="59" t="s">
        <v>62</v>
      </c>
      <c r="F7" s="56" t="s">
        <v>22</v>
      </c>
      <c r="G7" s="43">
        <v>0</v>
      </c>
      <c r="H7" s="128">
        <f>IF(B$19=0,0,G7/B$19)</f>
        <v>0</v>
      </c>
      <c r="I7" s="90">
        <v>3</v>
      </c>
      <c r="N7" s="110" t="s">
        <v>124</v>
      </c>
      <c r="O7" s="117">
        <f t="shared" si="0"/>
        <v>-8000</v>
      </c>
      <c r="P7" s="114">
        <v>2</v>
      </c>
      <c r="Q7" s="98">
        <v>-16000</v>
      </c>
    </row>
    <row r="8" spans="1:17" x14ac:dyDescent="0.4">
      <c r="A8" s="51" t="s">
        <v>3</v>
      </c>
      <c r="B8" s="43">
        <v>0</v>
      </c>
      <c r="C8" s="35">
        <f>IF(B$2=0,0,B8/B$2)</f>
        <v>0</v>
      </c>
      <c r="E8" s="59" t="s">
        <v>64</v>
      </c>
      <c r="F8" s="56" t="s">
        <v>24</v>
      </c>
      <c r="G8" s="43">
        <v>0</v>
      </c>
      <c r="H8" s="128">
        <f>IF(B$19=0,0,G8/B$19)</f>
        <v>0</v>
      </c>
      <c r="I8" s="90">
        <v>7</v>
      </c>
      <c r="N8" s="110" t="s">
        <v>125</v>
      </c>
      <c r="O8" s="117">
        <f t="shared" si="0"/>
        <v>-18100</v>
      </c>
      <c r="P8" s="114">
        <v>2</v>
      </c>
      <c r="Q8" s="98">
        <v>-36200</v>
      </c>
    </row>
    <row r="9" spans="1:17" x14ac:dyDescent="0.4">
      <c r="A9" s="52" t="s">
        <v>4</v>
      </c>
      <c r="B9" s="44">
        <v>0</v>
      </c>
      <c r="C9" s="36">
        <f t="shared" ref="C9:C11" si="1">IF(B$2=0,0,B9/B$2)</f>
        <v>0</v>
      </c>
      <c r="E9" s="59" t="s">
        <v>66</v>
      </c>
      <c r="F9" s="56" t="s">
        <v>25</v>
      </c>
      <c r="G9" s="43">
        <v>0</v>
      </c>
      <c r="H9" s="128">
        <f>IF(B$19=0,0,G9/B$19)</f>
        <v>0</v>
      </c>
      <c r="I9" s="90">
        <v>3</v>
      </c>
      <c r="N9" s="111" t="s">
        <v>165</v>
      </c>
      <c r="O9" s="118">
        <f t="shared" si="0"/>
        <v>-64000</v>
      </c>
      <c r="P9" s="115">
        <v>2</v>
      </c>
      <c r="Q9" s="99">
        <v>-128000</v>
      </c>
    </row>
    <row r="10" spans="1:17" x14ac:dyDescent="0.4">
      <c r="A10" s="52" t="s">
        <v>162</v>
      </c>
      <c r="B10" s="44">
        <v>2</v>
      </c>
      <c r="C10" s="36">
        <f t="shared" si="1"/>
        <v>1</v>
      </c>
      <c r="E10" s="59" t="s">
        <v>67</v>
      </c>
      <c r="F10" s="56" t="s">
        <v>26</v>
      </c>
      <c r="G10" s="43">
        <v>0</v>
      </c>
      <c r="H10" s="128">
        <f>IF(B$19=0,0,G10/B$19)</f>
        <v>0</v>
      </c>
      <c r="I10" s="90">
        <v>3</v>
      </c>
      <c r="N10" s="39"/>
      <c r="O10" s="122"/>
      <c r="P10" s="106"/>
      <c r="Q10" s="104"/>
    </row>
    <row r="11" spans="1:17" x14ac:dyDescent="0.4">
      <c r="A11" s="52" t="s">
        <v>171</v>
      </c>
      <c r="B11" s="44">
        <f>トップ数+B8</f>
        <v>0</v>
      </c>
      <c r="C11" s="36">
        <f>IF(B$2=0,0,B11/B$2)</f>
        <v>0</v>
      </c>
      <c r="E11" s="59" t="s">
        <v>68</v>
      </c>
      <c r="F11" s="56" t="s">
        <v>27</v>
      </c>
      <c r="G11" s="43">
        <v>0</v>
      </c>
      <c r="H11" s="128">
        <f>IF(B$19=0,0,G11/B$19)</f>
        <v>0</v>
      </c>
      <c r="I11" s="90">
        <v>3</v>
      </c>
      <c r="N11" s="108" t="s">
        <v>151</v>
      </c>
      <c r="O11" s="30" t="s">
        <v>113</v>
      </c>
      <c r="P11" s="112" t="s">
        <v>109</v>
      </c>
      <c r="Q11" s="100" t="s">
        <v>146</v>
      </c>
    </row>
    <row r="12" spans="1:17" x14ac:dyDescent="0.4">
      <c r="A12" s="52" t="s">
        <v>19</v>
      </c>
      <c r="B12" s="44">
        <v>2</v>
      </c>
      <c r="C12" s="36">
        <f>IF(B$2=0,0,B12/B$2)</f>
        <v>1</v>
      </c>
      <c r="E12" s="59" t="s">
        <v>69</v>
      </c>
      <c r="F12" s="56" t="s">
        <v>28</v>
      </c>
      <c r="G12" s="43">
        <v>0</v>
      </c>
      <c r="H12" s="128">
        <f>IF(B$19=0,0,G12/B$19)</f>
        <v>0</v>
      </c>
      <c r="I12" s="90">
        <v>3</v>
      </c>
      <c r="N12" s="109" t="s">
        <v>152</v>
      </c>
      <c r="O12" s="119">
        <f>IF(P12=0,0,Q12/P12)</f>
        <v>0</v>
      </c>
      <c r="P12" s="113">
        <v>0</v>
      </c>
      <c r="Q12" s="101">
        <v>0</v>
      </c>
    </row>
    <row r="13" spans="1:17" x14ac:dyDescent="0.4">
      <c r="A13" s="52" t="s">
        <v>128</v>
      </c>
      <c r="B13" s="44">
        <v>0</v>
      </c>
      <c r="C13" s="36">
        <f>IF(B$2=0,0,B13/B$2)</f>
        <v>0</v>
      </c>
      <c r="E13" s="59" t="s">
        <v>70</v>
      </c>
      <c r="F13" s="56" t="s">
        <v>29</v>
      </c>
      <c r="G13" s="43">
        <v>0</v>
      </c>
      <c r="H13" s="128">
        <f>IF(B$19=0,0,G13/B$19)</f>
        <v>0</v>
      </c>
      <c r="I13" s="90">
        <v>1</v>
      </c>
      <c r="N13" s="110" t="s">
        <v>153</v>
      </c>
      <c r="O13" s="120">
        <f>IF(P13=0,0,Q13/P13)</f>
        <v>0</v>
      </c>
      <c r="P13" s="114">
        <v>0</v>
      </c>
      <c r="Q13" s="102">
        <v>0</v>
      </c>
    </row>
    <row r="14" spans="1:17" x14ac:dyDescent="0.4">
      <c r="A14" s="53" t="s">
        <v>148</v>
      </c>
      <c r="B14" s="45">
        <v>0</v>
      </c>
      <c r="C14" s="38">
        <f>IF(B$2=0,0,B14/B$2)</f>
        <v>0</v>
      </c>
      <c r="E14" s="59" t="s">
        <v>71</v>
      </c>
      <c r="F14" s="56" t="s">
        <v>30</v>
      </c>
      <c r="G14" s="43">
        <v>0</v>
      </c>
      <c r="H14" s="128">
        <f>IF(B$19=0,0,G14/B$19)</f>
        <v>0</v>
      </c>
      <c r="I14" s="90">
        <v>3</v>
      </c>
      <c r="N14" s="110" t="s">
        <v>163</v>
      </c>
      <c r="O14" s="120">
        <f>IF(P14=0,0,Q14/P14)</f>
        <v>0</v>
      </c>
      <c r="P14" s="114">
        <v>0</v>
      </c>
      <c r="Q14" s="102">
        <v>0</v>
      </c>
    </row>
    <row r="15" spans="1:17" x14ac:dyDescent="0.4">
      <c r="A15" s="54" t="s">
        <v>114</v>
      </c>
      <c r="B15" s="46">
        <v>4</v>
      </c>
      <c r="C15" s="40">
        <f>IF(B$3=0,0,B15/B$3)</f>
        <v>0.2</v>
      </c>
      <c r="E15" s="59" t="s">
        <v>72</v>
      </c>
      <c r="F15" s="56" t="s">
        <v>31</v>
      </c>
      <c r="G15" s="43">
        <v>0</v>
      </c>
      <c r="H15" s="128">
        <f>IF(B$19=0,0,G15/B$19)</f>
        <v>0</v>
      </c>
      <c r="I15" s="90">
        <v>3</v>
      </c>
      <c r="N15" s="111" t="s">
        <v>164</v>
      </c>
      <c r="O15" s="121">
        <f>IF(P15=0,0,Q15/P15)</f>
        <v>-97.4</v>
      </c>
      <c r="P15" s="115">
        <v>2</v>
      </c>
      <c r="Q15" s="103">
        <v>-194.8</v>
      </c>
    </row>
    <row r="16" spans="1:17" x14ac:dyDescent="0.4">
      <c r="A16" s="51" t="s">
        <v>111</v>
      </c>
      <c r="B16" s="43">
        <v>2</v>
      </c>
      <c r="C16" s="35">
        <f>IF(B$3=0,0,B16/B$3)</f>
        <v>0.1</v>
      </c>
      <c r="E16" s="59" t="s">
        <v>73</v>
      </c>
      <c r="F16" s="56" t="s">
        <v>32</v>
      </c>
      <c r="G16" s="43">
        <v>0</v>
      </c>
      <c r="H16" s="128">
        <f>IF(B$19=0,0,G16/B$19)</f>
        <v>0</v>
      </c>
      <c r="I16" s="90">
        <v>1</v>
      </c>
      <c r="N16" s="29"/>
      <c r="O16" s="105"/>
      <c r="P16" s="107"/>
      <c r="Q16" s="105"/>
    </row>
    <row r="17" spans="1:17" x14ac:dyDescent="0.4">
      <c r="A17" s="50" t="s">
        <v>116</v>
      </c>
      <c r="B17" s="42">
        <v>2</v>
      </c>
      <c r="C17" s="33">
        <f>IF(B$15=0,0,B17/B$15)</f>
        <v>0.5</v>
      </c>
      <c r="E17" s="59" t="s">
        <v>74</v>
      </c>
      <c r="F17" s="56" t="s">
        <v>33</v>
      </c>
      <c r="G17" s="43">
        <v>0</v>
      </c>
      <c r="H17" s="128">
        <f>IF(B$19=0,0,G17/B$19)</f>
        <v>0</v>
      </c>
      <c r="I17" s="90">
        <v>1</v>
      </c>
      <c r="N17" s="108" t="s">
        <v>143</v>
      </c>
      <c r="O17" s="30" t="s">
        <v>113</v>
      </c>
      <c r="P17" s="112" t="s">
        <v>109</v>
      </c>
      <c r="Q17" s="100" t="s">
        <v>146</v>
      </c>
    </row>
    <row r="18" spans="1:17" x14ac:dyDescent="0.4">
      <c r="A18" s="50" t="s">
        <v>117</v>
      </c>
      <c r="B18" s="42">
        <v>0</v>
      </c>
      <c r="C18" s="33">
        <f>IF(B$16=0,0,B18/B$16)</f>
        <v>0</v>
      </c>
      <c r="E18" s="59" t="s">
        <v>75</v>
      </c>
      <c r="F18" s="56" t="s">
        <v>34</v>
      </c>
      <c r="G18" s="43">
        <v>0</v>
      </c>
      <c r="H18" s="128">
        <f>IF(B$19=0,0,G18/B$19)</f>
        <v>0</v>
      </c>
      <c r="I18" s="90">
        <v>3</v>
      </c>
      <c r="N18" s="109" t="s">
        <v>161</v>
      </c>
      <c r="O18" s="119">
        <f>IF(P18=0,0,Q18/P18)</f>
        <v>-82.4</v>
      </c>
      <c r="P18" s="113">
        <v>2</v>
      </c>
      <c r="Q18" s="101">
        <v>-164.8</v>
      </c>
    </row>
    <row r="19" spans="1:17" x14ac:dyDescent="0.4">
      <c r="A19" s="50" t="s">
        <v>10</v>
      </c>
      <c r="B19" s="42">
        <f>B21+B20</f>
        <v>2</v>
      </c>
      <c r="C19" s="33">
        <f>IF(B$3=0,0,B19/B$3)</f>
        <v>0.1</v>
      </c>
      <c r="E19" s="59" t="s">
        <v>168</v>
      </c>
      <c r="F19" s="56" t="s">
        <v>169</v>
      </c>
      <c r="G19" s="43">
        <v>0</v>
      </c>
      <c r="H19" s="128">
        <f>IF(B$19=0,0,G19/B$19)</f>
        <v>0</v>
      </c>
      <c r="I19" s="90">
        <v>3</v>
      </c>
      <c r="N19" s="110" t="s">
        <v>159</v>
      </c>
      <c r="O19" s="120">
        <f>IF(P19=0,0,Q19/P19)</f>
        <v>-178.70000000000002</v>
      </c>
      <c r="P19" s="114">
        <v>2</v>
      </c>
      <c r="Q19" s="102">
        <v>-357.40000000000003</v>
      </c>
    </row>
    <row r="20" spans="1:17" x14ac:dyDescent="0.4">
      <c r="A20" s="51" t="s">
        <v>12</v>
      </c>
      <c r="B20" s="43">
        <v>2</v>
      </c>
      <c r="C20" s="35">
        <f>IF(B$19=0,0,B20/B$19)</f>
        <v>1</v>
      </c>
      <c r="E20" s="59" t="s">
        <v>77</v>
      </c>
      <c r="F20" s="56" t="s">
        <v>36</v>
      </c>
      <c r="G20" s="43">
        <v>0</v>
      </c>
      <c r="H20" s="128">
        <f>IF(B$19=0,0,G20/B$19)</f>
        <v>0</v>
      </c>
      <c r="I20" s="90">
        <v>1</v>
      </c>
      <c r="N20" s="110" t="s">
        <v>160</v>
      </c>
      <c r="O20" s="120">
        <f>IF(P20=0,0,Q20/P20)</f>
        <v>-128.5</v>
      </c>
      <c r="P20" s="114">
        <v>2</v>
      </c>
      <c r="Q20" s="102">
        <v>-257</v>
      </c>
    </row>
    <row r="21" spans="1:17" x14ac:dyDescent="0.4">
      <c r="A21" s="51" t="s">
        <v>11</v>
      </c>
      <c r="B21" s="43">
        <v>0</v>
      </c>
      <c r="C21" s="35">
        <f>IF(B$19=0,0,B21/B$19)</f>
        <v>0</v>
      </c>
      <c r="E21" s="59" t="s">
        <v>78</v>
      </c>
      <c r="F21" s="56" t="s">
        <v>37</v>
      </c>
      <c r="G21" s="43">
        <v>0</v>
      </c>
      <c r="H21" s="128">
        <f>IF(B$19=0,0,G21/B$19)</f>
        <v>0</v>
      </c>
      <c r="I21" s="90">
        <v>3</v>
      </c>
    </row>
    <row r="22" spans="1:17" x14ac:dyDescent="0.4">
      <c r="A22" s="51" t="s">
        <v>13</v>
      </c>
      <c r="B22" s="43">
        <v>2</v>
      </c>
      <c r="C22" s="35">
        <f>IF(B$3=0,0,B22/B$3)</f>
        <v>0.1</v>
      </c>
      <c r="E22" s="59" t="s">
        <v>79</v>
      </c>
      <c r="F22" s="56" t="s">
        <v>38</v>
      </c>
      <c r="G22" s="43">
        <v>0</v>
      </c>
      <c r="H22" s="128">
        <f>IF(B$19=0,0,G22/B$19)</f>
        <v>0</v>
      </c>
      <c r="I22" s="90">
        <v>3</v>
      </c>
    </row>
    <row r="23" spans="1:17" x14ac:dyDescent="0.4">
      <c r="A23" s="51" t="s">
        <v>155</v>
      </c>
      <c r="B23" s="43">
        <v>0</v>
      </c>
      <c r="C23" s="130">
        <v>0</v>
      </c>
      <c r="E23" s="59" t="s">
        <v>80</v>
      </c>
      <c r="F23" s="56" t="s">
        <v>39</v>
      </c>
      <c r="G23" s="43">
        <v>0</v>
      </c>
      <c r="H23" s="128">
        <f>IF(B$19=0,0,G23/B$19)</f>
        <v>0</v>
      </c>
      <c r="I23" s="90">
        <v>1</v>
      </c>
    </row>
    <row r="24" spans="1:17" x14ac:dyDescent="0.4">
      <c r="A24" s="51" t="s">
        <v>156</v>
      </c>
      <c r="B24" s="43">
        <v>0</v>
      </c>
      <c r="C24" s="130">
        <v>0</v>
      </c>
      <c r="E24" s="59" t="s">
        <v>81</v>
      </c>
      <c r="F24" s="56" t="s">
        <v>40</v>
      </c>
      <c r="G24" s="43">
        <v>0</v>
      </c>
      <c r="H24" s="128">
        <f>IF(B$19=0,0,G24/B$19)</f>
        <v>0</v>
      </c>
      <c r="I24" s="90">
        <v>1</v>
      </c>
    </row>
    <row r="25" spans="1:17" x14ac:dyDescent="0.4">
      <c r="A25" s="51" t="s">
        <v>5</v>
      </c>
      <c r="B25" s="47">
        <f>IF(B$19=0,0,C25/B$19)</f>
        <v>18000</v>
      </c>
      <c r="C25" s="37">
        <v>36000</v>
      </c>
      <c r="E25" s="59" t="s">
        <v>82</v>
      </c>
      <c r="F25" s="56" t="s">
        <v>41</v>
      </c>
      <c r="G25" s="43">
        <v>0</v>
      </c>
      <c r="H25" s="128">
        <f>IF(B$19=0,0,G25/B$19)</f>
        <v>0</v>
      </c>
      <c r="I25" s="90">
        <v>3</v>
      </c>
    </row>
    <row r="26" spans="1:17" x14ac:dyDescent="0.4">
      <c r="A26" s="53" t="s">
        <v>14</v>
      </c>
      <c r="B26" s="48">
        <f>IF(B$22=0,0,C26/B$22)</f>
        <v>-64000</v>
      </c>
      <c r="C26" s="41">
        <v>-128000</v>
      </c>
      <c r="E26" s="59" t="s">
        <v>84</v>
      </c>
      <c r="F26" s="56" t="s">
        <v>43</v>
      </c>
      <c r="G26" s="43">
        <v>0</v>
      </c>
      <c r="H26" s="128">
        <f>IF(B$19=0,0,G26/B$19)</f>
        <v>0</v>
      </c>
      <c r="I26" s="90">
        <v>1</v>
      </c>
    </row>
    <row r="27" spans="1:17" x14ac:dyDescent="0.4">
      <c r="A27" s="86" t="s">
        <v>130</v>
      </c>
      <c r="B27" s="137">
        <v>1</v>
      </c>
      <c r="C27" s="138"/>
      <c r="E27" s="59" t="s">
        <v>85</v>
      </c>
      <c r="F27" s="56" t="s">
        <v>44</v>
      </c>
      <c r="G27" s="43">
        <v>0</v>
      </c>
      <c r="H27" s="128">
        <f>IF(B$19=0,0,G27/B$19)</f>
        <v>0</v>
      </c>
      <c r="I27" s="90">
        <v>1</v>
      </c>
    </row>
    <row r="28" spans="1:17" x14ac:dyDescent="0.4">
      <c r="A28" s="54" t="s">
        <v>140</v>
      </c>
      <c r="B28" s="135">
        <v>-57400</v>
      </c>
      <c r="C28" s="136"/>
      <c r="E28" s="59" t="s">
        <v>86</v>
      </c>
      <c r="F28" s="56" t="s">
        <v>45</v>
      </c>
      <c r="G28" s="43">
        <v>0</v>
      </c>
      <c r="H28" s="128">
        <f>IF(B$19=0,0,G28/B$19)</f>
        <v>0</v>
      </c>
      <c r="I28" s="90">
        <v>1</v>
      </c>
    </row>
    <row r="29" spans="1:17" x14ac:dyDescent="0.4">
      <c r="A29" s="53" t="s">
        <v>131</v>
      </c>
      <c r="B29" s="61">
        <v>0</v>
      </c>
      <c r="C29" s="38">
        <f>IF(B$3=0,0,B29/B$3)</f>
        <v>0</v>
      </c>
      <c r="E29" s="59" t="s">
        <v>87</v>
      </c>
      <c r="F29" s="56" t="s">
        <v>46</v>
      </c>
      <c r="G29" s="43">
        <v>0</v>
      </c>
      <c r="H29" s="128">
        <f>IF(B$19=0,0,G29/B$19)</f>
        <v>0</v>
      </c>
      <c r="I29" s="90">
        <v>1</v>
      </c>
    </row>
    <row r="30" spans="1:17" x14ac:dyDescent="0.4">
      <c r="E30" s="59" t="s">
        <v>88</v>
      </c>
      <c r="F30" s="56" t="s">
        <v>47</v>
      </c>
      <c r="G30" s="43">
        <v>0</v>
      </c>
      <c r="H30" s="128">
        <f>IF(B$19=0,0,G30/B$19)</f>
        <v>0</v>
      </c>
      <c r="I30" s="90">
        <v>1</v>
      </c>
    </row>
    <row r="31" spans="1:17" x14ac:dyDescent="0.4">
      <c r="E31" s="59" t="s">
        <v>89</v>
      </c>
      <c r="F31" s="56" t="s">
        <v>48</v>
      </c>
      <c r="G31" s="43">
        <v>0</v>
      </c>
      <c r="H31" s="128">
        <f>IF(B$19=0,0,G31/B$19)</f>
        <v>0</v>
      </c>
      <c r="I31" s="90">
        <v>1</v>
      </c>
    </row>
    <row r="32" spans="1:17" x14ac:dyDescent="0.4">
      <c r="E32" s="59" t="s">
        <v>90</v>
      </c>
      <c r="F32" s="56" t="s">
        <v>49</v>
      </c>
      <c r="G32" s="43">
        <v>0</v>
      </c>
      <c r="H32" s="128">
        <f>IF(B$19=0,0,G32/B$19)</f>
        <v>0</v>
      </c>
      <c r="I32" s="90">
        <v>1</v>
      </c>
    </row>
    <row r="33" spans="5:9" x14ac:dyDescent="0.4">
      <c r="E33" s="59" t="s">
        <v>91</v>
      </c>
      <c r="F33" s="56" t="s">
        <v>50</v>
      </c>
      <c r="G33" s="43">
        <v>0</v>
      </c>
      <c r="H33" s="128">
        <f>IF(B$19=0,0,G33/B$19)</f>
        <v>0</v>
      </c>
      <c r="I33" s="90">
        <v>1</v>
      </c>
    </row>
    <row r="34" spans="5:9" x14ac:dyDescent="0.4">
      <c r="E34" s="59" t="s">
        <v>92</v>
      </c>
      <c r="F34" s="56" t="s">
        <v>51</v>
      </c>
      <c r="G34" s="43">
        <v>0</v>
      </c>
      <c r="H34" s="128">
        <f>IF(B$19=0,0,G34/B$19)</f>
        <v>0</v>
      </c>
      <c r="I34" s="90">
        <v>1</v>
      </c>
    </row>
    <row r="35" spans="5:9" x14ac:dyDescent="0.4">
      <c r="E35" s="59" t="s">
        <v>93</v>
      </c>
      <c r="F35" s="56" t="s">
        <v>52</v>
      </c>
      <c r="G35" s="43">
        <v>0</v>
      </c>
      <c r="H35" s="128">
        <f>IF(B$19=0,0,G35/B$19)</f>
        <v>0</v>
      </c>
      <c r="I35" s="90">
        <v>1</v>
      </c>
    </row>
    <row r="36" spans="5:9" x14ac:dyDescent="0.4">
      <c r="E36" s="59" t="s">
        <v>94</v>
      </c>
      <c r="F36" s="56" t="s">
        <v>53</v>
      </c>
      <c r="G36" s="43">
        <v>0</v>
      </c>
      <c r="H36" s="128">
        <f>IF(B$19=0,0,G36/B$19)</f>
        <v>0</v>
      </c>
      <c r="I36" s="90">
        <v>1</v>
      </c>
    </row>
    <row r="37" spans="5:9" x14ac:dyDescent="0.4">
      <c r="E37" s="59" t="s">
        <v>95</v>
      </c>
      <c r="F37" s="56" t="s">
        <v>54</v>
      </c>
      <c r="G37" s="43">
        <v>0</v>
      </c>
      <c r="H37" s="128">
        <f>IF(B$19=0,0,G37/B$19)</f>
        <v>0</v>
      </c>
      <c r="I37" s="90">
        <v>3</v>
      </c>
    </row>
    <row r="38" spans="5:9" x14ac:dyDescent="0.4">
      <c r="E38" s="59" t="s">
        <v>96</v>
      </c>
      <c r="F38" s="56" t="s">
        <v>55</v>
      </c>
      <c r="G38" s="43">
        <v>0</v>
      </c>
      <c r="H38" s="128">
        <f>IF(B$19=0,0,G38/B$19)</f>
        <v>0</v>
      </c>
      <c r="I38" s="90">
        <v>1</v>
      </c>
    </row>
    <row r="39" spans="5:9" x14ac:dyDescent="0.4">
      <c r="E39" s="59" t="s">
        <v>97</v>
      </c>
      <c r="F39" s="56" t="s">
        <v>56</v>
      </c>
      <c r="G39" s="43">
        <v>0</v>
      </c>
      <c r="H39" s="128">
        <f>IF(B$19=0,0,G39/B$19)</f>
        <v>0</v>
      </c>
      <c r="I39" s="90">
        <v>1</v>
      </c>
    </row>
    <row r="40" spans="5:9" x14ac:dyDescent="0.4">
      <c r="E40" s="59" t="s">
        <v>98</v>
      </c>
      <c r="F40" s="56" t="s">
        <v>57</v>
      </c>
      <c r="G40" s="43">
        <v>0</v>
      </c>
      <c r="H40" s="128">
        <f>IF(B$19=0,0,G40/B$19)</f>
        <v>0</v>
      </c>
      <c r="I40" s="90">
        <v>1</v>
      </c>
    </row>
    <row r="41" spans="5:9" x14ac:dyDescent="0.4">
      <c r="E41" s="59" t="s">
        <v>99</v>
      </c>
      <c r="F41" s="56" t="s">
        <v>58</v>
      </c>
      <c r="G41" s="43">
        <v>0</v>
      </c>
      <c r="H41" s="128">
        <f>IF(B$19=0,0,G41/B$19)</f>
        <v>0</v>
      </c>
      <c r="I41" s="90">
        <v>3</v>
      </c>
    </row>
    <row r="42" spans="5:9" x14ac:dyDescent="0.4">
      <c r="E42" s="59" t="s">
        <v>100</v>
      </c>
      <c r="F42" s="56" t="s">
        <v>59</v>
      </c>
      <c r="G42" s="43">
        <v>0</v>
      </c>
      <c r="H42" s="128">
        <f>IF(B$19=0,0,G42/B$19)</f>
        <v>0</v>
      </c>
      <c r="I42" s="90">
        <v>1</v>
      </c>
    </row>
    <row r="43" spans="5:9" x14ac:dyDescent="0.4">
      <c r="E43" s="59" t="s">
        <v>101</v>
      </c>
      <c r="F43" s="56" t="s">
        <v>60</v>
      </c>
      <c r="G43" s="43">
        <v>0</v>
      </c>
      <c r="H43" s="128">
        <f>IF(B$19=0,0,G43/B$19)</f>
        <v>0</v>
      </c>
      <c r="I43" s="90">
        <v>1</v>
      </c>
    </row>
    <row r="44" spans="5:9" x14ac:dyDescent="0.4">
      <c r="E44" s="59" t="s">
        <v>102</v>
      </c>
      <c r="F44" s="56" t="s">
        <v>105</v>
      </c>
      <c r="G44" s="43">
        <v>0</v>
      </c>
      <c r="H44" s="128">
        <f>IF(B$19=0,0,G44/B$19)</f>
        <v>0</v>
      </c>
      <c r="I44" s="90">
        <v>1</v>
      </c>
    </row>
    <row r="45" spans="5:9" x14ac:dyDescent="0.4">
      <c r="E45" s="59" t="s">
        <v>103</v>
      </c>
      <c r="F45" s="56" t="s">
        <v>106</v>
      </c>
      <c r="G45" s="43">
        <v>0</v>
      </c>
      <c r="H45" s="128">
        <f>IF(B$19=0,0,G45/B$19)</f>
        <v>0</v>
      </c>
      <c r="I45" s="90">
        <v>1</v>
      </c>
    </row>
    <row r="46" spans="5:9" x14ac:dyDescent="0.4">
      <c r="E46" s="59" t="s">
        <v>104</v>
      </c>
      <c r="F46" s="56" t="s">
        <v>107</v>
      </c>
      <c r="G46" s="43">
        <v>0</v>
      </c>
      <c r="H46" s="128">
        <f>IF(B$19=0,0,G46/B$19)</f>
        <v>0</v>
      </c>
      <c r="I46" s="90">
        <v>3</v>
      </c>
    </row>
    <row r="47" spans="5:9" x14ac:dyDescent="0.4">
      <c r="E47" s="60" t="s">
        <v>157</v>
      </c>
      <c r="F47" s="57" t="s">
        <v>158</v>
      </c>
      <c r="G47" s="45">
        <v>0</v>
      </c>
      <c r="H47" s="129">
        <f>IF(B$19=0,0,G47/B$19)</f>
        <v>0</v>
      </c>
      <c r="I47" s="91">
        <v>3</v>
      </c>
    </row>
  </sheetData>
  <sortState xmlns:xlrd2="http://schemas.microsoft.com/office/spreadsheetml/2017/richdata2" ref="N15:Q15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15</vt:i4>
      </vt:variant>
      <vt:variant>
        <vt:lpstr>グラフ</vt:lpstr>
      </vt:variant>
      <vt:variant>
        <vt:i4>17</vt:i4>
      </vt:variant>
      <vt:variant>
        <vt:lpstr>名前付き一覧</vt:lpstr>
      </vt:variant>
      <vt:variant>
        <vt:i4>240</vt:i4>
      </vt:variant>
    </vt:vector>
  </HeadingPairs>
  <TitlesOfParts>
    <vt:vector size="272" baseType="lpstr">
      <vt:lpstr>Template1</vt:lpstr>
      <vt:lpstr>Cache</vt:lpstr>
      <vt:lpstr>Template2</vt:lpstr>
      <vt:lpstr>Players</vt:lpstr>
      <vt:lpstr>ランキング</vt:lpstr>
      <vt:lpstr>全体2</vt:lpstr>
      <vt:lpstr>全体</vt:lpstr>
      <vt:lpstr>Player12</vt:lpstr>
      <vt:lpstr>Player1</vt:lpstr>
      <vt:lpstr>Player22</vt:lpstr>
      <vt:lpstr>Player2</vt:lpstr>
      <vt:lpstr>Player32</vt:lpstr>
      <vt:lpstr>Player3</vt:lpstr>
      <vt:lpstr>Player42</vt:lpstr>
      <vt:lpstr>Player4</vt:lpstr>
      <vt:lpstr>通算スコア</vt:lpstr>
      <vt:lpstr>平均スコア</vt:lpstr>
      <vt:lpstr>平均順位</vt:lpstr>
      <vt:lpstr>トップ率</vt:lpstr>
      <vt:lpstr>ラス率</vt:lpstr>
      <vt:lpstr>連対率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Player1!アガリ数</vt:lpstr>
      <vt:lpstr>Player2!アガリ数</vt:lpstr>
      <vt:lpstr>Player3!アガリ数</vt:lpstr>
      <vt:lpstr>Player4!アガリ数</vt:lpstr>
      <vt:lpstr>全体!アガリ数</vt:lpstr>
      <vt:lpstr>アガリ数</vt:lpstr>
      <vt:lpstr>Player1!アガリ率</vt:lpstr>
      <vt:lpstr>Player2!アガリ率</vt:lpstr>
      <vt:lpstr>Player3!アガリ率</vt:lpstr>
      <vt:lpstr>Player4!アガリ率</vt:lpstr>
      <vt:lpstr>全体!アガリ率</vt:lpstr>
      <vt:lpstr>アガリ率</vt:lpstr>
      <vt:lpstr>Player1!チョンボ数</vt:lpstr>
      <vt:lpstr>Player2!チョンボ数</vt:lpstr>
      <vt:lpstr>Player3!チョンボ数</vt:lpstr>
      <vt:lpstr>Player4!チョンボ数</vt:lpstr>
      <vt:lpstr>全体!チョンボ数</vt:lpstr>
      <vt:lpstr>チョンボ数</vt:lpstr>
      <vt:lpstr>Player1!チョンボ率</vt:lpstr>
      <vt:lpstr>Player2!チョンボ率</vt:lpstr>
      <vt:lpstr>Player3!チョンボ率</vt:lpstr>
      <vt:lpstr>Player4!チョンボ率</vt:lpstr>
      <vt:lpstr>全体!チョンボ率</vt:lpstr>
      <vt:lpstr>チョンボ率</vt:lpstr>
      <vt:lpstr>Player1!ツモ数</vt:lpstr>
      <vt:lpstr>Player2!ツモ数</vt:lpstr>
      <vt:lpstr>Player3!ツモ数</vt:lpstr>
      <vt:lpstr>Player4!ツモ数</vt:lpstr>
      <vt:lpstr>全体!ツモ数</vt:lpstr>
      <vt:lpstr>ツモ数</vt:lpstr>
      <vt:lpstr>Player1!ツモ率</vt:lpstr>
      <vt:lpstr>Player2!ツモ率</vt:lpstr>
      <vt:lpstr>Player3!ツモ率</vt:lpstr>
      <vt:lpstr>Player4!ツモ率</vt:lpstr>
      <vt:lpstr>全体!ツモ率</vt:lpstr>
      <vt:lpstr>ツモ率</vt:lpstr>
      <vt:lpstr>Player1!トップ数</vt:lpstr>
      <vt:lpstr>Player2!トップ数</vt:lpstr>
      <vt:lpstr>Player3!トップ数</vt:lpstr>
      <vt:lpstr>Player4!トップ数</vt:lpstr>
      <vt:lpstr>全体!トップ数</vt:lpstr>
      <vt:lpstr>トップ数</vt:lpstr>
      <vt:lpstr>Player1!トップ率</vt:lpstr>
      <vt:lpstr>Player2!トップ率</vt:lpstr>
      <vt:lpstr>Player3!トップ率</vt:lpstr>
      <vt:lpstr>Player4!トップ率</vt:lpstr>
      <vt:lpstr>全体!トップ率</vt:lpstr>
      <vt:lpstr>トップ率</vt:lpstr>
      <vt:lpstr>Player1!ふっとばし数</vt:lpstr>
      <vt:lpstr>Player2!ふっとばし数</vt:lpstr>
      <vt:lpstr>Player3!ふっとばし数</vt:lpstr>
      <vt:lpstr>Player4!ふっとばし数</vt:lpstr>
      <vt:lpstr>全体!ふっとばし数</vt:lpstr>
      <vt:lpstr>ふっとばし数</vt:lpstr>
      <vt:lpstr>Player1!ふっとばし率</vt:lpstr>
      <vt:lpstr>Player2!ふっとばし率</vt:lpstr>
      <vt:lpstr>Player3!ふっとばし率</vt:lpstr>
      <vt:lpstr>Player4!ふっとばし率</vt:lpstr>
      <vt:lpstr>全体!ふっとばし率</vt:lpstr>
      <vt:lpstr>ふっとばし率</vt:lpstr>
      <vt:lpstr>Player1!ふっとび数</vt:lpstr>
      <vt:lpstr>Player2!ふっとび数</vt:lpstr>
      <vt:lpstr>Player3!ふっとび数</vt:lpstr>
      <vt:lpstr>Player4!ふっとび数</vt:lpstr>
      <vt:lpstr>全体!ふっとび数</vt:lpstr>
      <vt:lpstr>ふっとび数</vt:lpstr>
      <vt:lpstr>Player1!ふっとび率</vt:lpstr>
      <vt:lpstr>Player2!ふっとび率</vt:lpstr>
      <vt:lpstr>Player3!ふっとび率</vt:lpstr>
      <vt:lpstr>Player4!ふっとび率</vt:lpstr>
      <vt:lpstr>全体!ふっとび率</vt:lpstr>
      <vt:lpstr>ふっとび率</vt:lpstr>
      <vt:lpstr>Player1!ラス率</vt:lpstr>
      <vt:lpstr>Player2!ラス率</vt:lpstr>
      <vt:lpstr>Player3!ラス率</vt:lpstr>
      <vt:lpstr>Player4!ラス率</vt:lpstr>
      <vt:lpstr>全体!ラス率</vt:lpstr>
      <vt:lpstr>ラス率</vt:lpstr>
      <vt:lpstr>Player1!リーチ数</vt:lpstr>
      <vt:lpstr>Player2!リーチ数</vt:lpstr>
      <vt:lpstr>Player3!リーチ数</vt:lpstr>
      <vt:lpstr>Player4!リーチ数</vt:lpstr>
      <vt:lpstr>全体!リーチ数</vt:lpstr>
      <vt:lpstr>リーチ数</vt:lpstr>
      <vt:lpstr>Player1!リーチ成功数</vt:lpstr>
      <vt:lpstr>Player2!リーチ成功数</vt:lpstr>
      <vt:lpstr>Player3!リーチ成功数</vt:lpstr>
      <vt:lpstr>Player4!リーチ成功数</vt:lpstr>
      <vt:lpstr>全体!リーチ成功数</vt:lpstr>
      <vt:lpstr>リーチ成功数</vt:lpstr>
      <vt:lpstr>Player1!リーチ成功率</vt:lpstr>
      <vt:lpstr>Player2!リーチ成功率</vt:lpstr>
      <vt:lpstr>Player3!リーチ成功率</vt:lpstr>
      <vt:lpstr>Player4!リーチ成功率</vt:lpstr>
      <vt:lpstr>全体!リーチ成功率</vt:lpstr>
      <vt:lpstr>リーチ成功率</vt:lpstr>
      <vt:lpstr>Player1!リーチ率</vt:lpstr>
      <vt:lpstr>Player2!リーチ率</vt:lpstr>
      <vt:lpstr>Player3!リーチ率</vt:lpstr>
      <vt:lpstr>Player4!リーチ率</vt:lpstr>
      <vt:lpstr>全体!リーチ率</vt:lpstr>
      <vt:lpstr>リーチ率</vt:lpstr>
      <vt:lpstr>Player1!ロン数</vt:lpstr>
      <vt:lpstr>Player2!ロン数</vt:lpstr>
      <vt:lpstr>Player3!ロン数</vt:lpstr>
      <vt:lpstr>Player4!ロン数</vt:lpstr>
      <vt:lpstr>全体!ロン数</vt:lpstr>
      <vt:lpstr>ロン数</vt:lpstr>
      <vt:lpstr>Player1!ロン率</vt:lpstr>
      <vt:lpstr>Player2!ロン率</vt:lpstr>
      <vt:lpstr>Player3!ロン率</vt:lpstr>
      <vt:lpstr>Player4!ロン率</vt:lpstr>
      <vt:lpstr>全体!ロン率</vt:lpstr>
      <vt:lpstr>ロン率</vt:lpstr>
      <vt:lpstr>Player1!逆転数</vt:lpstr>
      <vt:lpstr>Player2!逆転数</vt:lpstr>
      <vt:lpstr>Player3!逆転数</vt:lpstr>
      <vt:lpstr>Player4!逆転数</vt:lpstr>
      <vt:lpstr>全体!逆転数</vt:lpstr>
      <vt:lpstr>逆転数</vt:lpstr>
      <vt:lpstr>Player1!逆転率</vt:lpstr>
      <vt:lpstr>Player2!逆転率</vt:lpstr>
      <vt:lpstr>Player3!逆転率</vt:lpstr>
      <vt:lpstr>Player4!逆転率</vt:lpstr>
      <vt:lpstr>全体!逆転率</vt:lpstr>
      <vt:lpstr>逆転率</vt:lpstr>
      <vt:lpstr>Player1!最大ドラ数</vt:lpstr>
      <vt:lpstr>Player2!最大ドラ数</vt:lpstr>
      <vt:lpstr>Player3!最大ドラ数</vt:lpstr>
      <vt:lpstr>Player4!最大ドラ数</vt:lpstr>
      <vt:lpstr>全体!最大ドラ数</vt:lpstr>
      <vt:lpstr>最大ドラ数</vt:lpstr>
      <vt:lpstr>Player1!最大点数</vt:lpstr>
      <vt:lpstr>Player2!最大点数</vt:lpstr>
      <vt:lpstr>Player3!最大点数</vt:lpstr>
      <vt:lpstr>Player4!最大点数</vt:lpstr>
      <vt:lpstr>全体!最大点数</vt:lpstr>
      <vt:lpstr>最大点数</vt:lpstr>
      <vt:lpstr>Player1!総局数</vt:lpstr>
      <vt:lpstr>Player2!総局数</vt:lpstr>
      <vt:lpstr>Player3!総局数</vt:lpstr>
      <vt:lpstr>Player4!総局数</vt:lpstr>
      <vt:lpstr>全体!総局数</vt:lpstr>
      <vt:lpstr>総局数</vt:lpstr>
      <vt:lpstr>Player1!対戦数</vt:lpstr>
      <vt:lpstr>Player2!対戦数</vt:lpstr>
      <vt:lpstr>Player3!対戦数</vt:lpstr>
      <vt:lpstr>Player4!対戦数</vt:lpstr>
      <vt:lpstr>全体!対戦数</vt:lpstr>
      <vt:lpstr>対戦数</vt:lpstr>
      <vt:lpstr>Player1!通算スコア</vt:lpstr>
      <vt:lpstr>Player2!通算スコア</vt:lpstr>
      <vt:lpstr>Player3!通算スコア</vt:lpstr>
      <vt:lpstr>Player4!通算スコア</vt:lpstr>
      <vt:lpstr>全体!通算スコア</vt:lpstr>
      <vt:lpstr>通算スコア</vt:lpstr>
      <vt:lpstr>Player1!副露数</vt:lpstr>
      <vt:lpstr>Player2!副露数</vt:lpstr>
      <vt:lpstr>Player3!副露数</vt:lpstr>
      <vt:lpstr>Player4!副露数</vt:lpstr>
      <vt:lpstr>全体!副露数</vt:lpstr>
      <vt:lpstr>副露数</vt:lpstr>
      <vt:lpstr>Player1!副露成功数</vt:lpstr>
      <vt:lpstr>Player2!副露成功数</vt:lpstr>
      <vt:lpstr>Player3!副露成功数</vt:lpstr>
      <vt:lpstr>Player4!副露成功数</vt:lpstr>
      <vt:lpstr>全体!副露成功数</vt:lpstr>
      <vt:lpstr>副露成功数</vt:lpstr>
      <vt:lpstr>Player1!副露成功率</vt:lpstr>
      <vt:lpstr>Player2!副露成功率</vt:lpstr>
      <vt:lpstr>Player3!副露成功率</vt:lpstr>
      <vt:lpstr>Player4!副露成功率</vt:lpstr>
      <vt:lpstr>全体!副露成功率</vt:lpstr>
      <vt:lpstr>副露成功率</vt:lpstr>
      <vt:lpstr>Player1!副露率</vt:lpstr>
      <vt:lpstr>Player2!副露率</vt:lpstr>
      <vt:lpstr>Player3!副露率</vt:lpstr>
      <vt:lpstr>Player4!副露率</vt:lpstr>
      <vt:lpstr>全体!副露率</vt:lpstr>
      <vt:lpstr>副露率</vt:lpstr>
      <vt:lpstr>Player1!平均アガリ点</vt:lpstr>
      <vt:lpstr>Player2!平均アガリ点</vt:lpstr>
      <vt:lpstr>Player3!平均アガリ点</vt:lpstr>
      <vt:lpstr>Player4!平均アガリ点</vt:lpstr>
      <vt:lpstr>全体!平均アガリ点</vt:lpstr>
      <vt:lpstr>平均アガリ点</vt:lpstr>
      <vt:lpstr>Player1!平均スコア</vt:lpstr>
      <vt:lpstr>Player2!平均スコア</vt:lpstr>
      <vt:lpstr>Player3!平均スコア</vt:lpstr>
      <vt:lpstr>Player4!平均スコア</vt:lpstr>
      <vt:lpstr>全体!平均スコア</vt:lpstr>
      <vt:lpstr>平均スコア</vt:lpstr>
      <vt:lpstr>Player1!平均順位</vt:lpstr>
      <vt:lpstr>Player2!平均順位</vt:lpstr>
      <vt:lpstr>Player3!平均順位</vt:lpstr>
      <vt:lpstr>Player4!平均順位</vt:lpstr>
      <vt:lpstr>全体!平均順位</vt:lpstr>
      <vt:lpstr>平均順位</vt:lpstr>
      <vt:lpstr>Player1!平均放銃点</vt:lpstr>
      <vt:lpstr>Player2!平均放銃点</vt:lpstr>
      <vt:lpstr>Player3!平均放銃点</vt:lpstr>
      <vt:lpstr>Player4!平均放銃点</vt:lpstr>
      <vt:lpstr>全体!平均放銃点</vt:lpstr>
      <vt:lpstr>平均放銃点</vt:lpstr>
      <vt:lpstr>Player1!放銃数</vt:lpstr>
      <vt:lpstr>Player2!放銃数</vt:lpstr>
      <vt:lpstr>Player3!放銃数</vt:lpstr>
      <vt:lpstr>Player4!放銃数</vt:lpstr>
      <vt:lpstr>全体!放銃数</vt:lpstr>
      <vt:lpstr>放銃数</vt:lpstr>
      <vt:lpstr>Player1!放銃率</vt:lpstr>
      <vt:lpstr>Player2!放銃率</vt:lpstr>
      <vt:lpstr>Player3!放銃率</vt:lpstr>
      <vt:lpstr>Player4!放銃率</vt:lpstr>
      <vt:lpstr>全体!放銃率</vt:lpstr>
      <vt:lpstr>放銃率</vt:lpstr>
      <vt:lpstr>Player1!連続アガリ</vt:lpstr>
      <vt:lpstr>Player2!連続アガリ</vt:lpstr>
      <vt:lpstr>Player3!連続アガリ</vt:lpstr>
      <vt:lpstr>Player4!連続アガリ</vt:lpstr>
      <vt:lpstr>全体!連続アガリ</vt:lpstr>
      <vt:lpstr>連続アガリ</vt:lpstr>
      <vt:lpstr>Player1!連続無放銃</vt:lpstr>
      <vt:lpstr>Player2!連続無放銃</vt:lpstr>
      <vt:lpstr>Player3!連続無放銃</vt:lpstr>
      <vt:lpstr>Player4!連続無放銃</vt:lpstr>
      <vt:lpstr>全体!連続無放銃</vt:lpstr>
      <vt:lpstr>連続無放銃</vt:lpstr>
      <vt:lpstr>Player1!連対数</vt:lpstr>
      <vt:lpstr>Player2!連対数</vt:lpstr>
      <vt:lpstr>Player3!連対数</vt:lpstr>
      <vt:lpstr>Player4!連対数</vt:lpstr>
      <vt:lpstr>全体!連対数</vt:lpstr>
      <vt:lpstr>連対数</vt:lpstr>
      <vt:lpstr>Player1!連対率</vt:lpstr>
      <vt:lpstr>Player2!連対率</vt:lpstr>
      <vt:lpstr>Player3!連対率</vt:lpstr>
      <vt:lpstr>Player4!連対率</vt:lpstr>
      <vt:lpstr>全体!連対率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2019-07-25T15:34:23Z</dcterms:modified>
</cp:coreProperties>
</file>