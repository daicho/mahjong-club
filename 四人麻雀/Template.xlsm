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B6C35F6A-E0FF-4E7F-AD33-DEA202E15824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27" r:id="rId1"/>
    <sheet name="役一覧" sheetId="15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27" l="1"/>
  <c r="AB3" i="27"/>
  <c r="AA3" i="27"/>
  <c r="Z3" i="27"/>
  <c r="CP1" i="27" l="1"/>
  <c r="BU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Y5" i="27" s="1"/>
  <c r="Y6" i="27" s="1"/>
  <c r="Y7" i="27" s="1"/>
  <c r="Y8" i="27" s="1"/>
  <c r="T4" i="27"/>
  <c r="T5" i="27" s="1"/>
  <c r="T6" i="27" s="1"/>
  <c r="T7" i="27" s="1"/>
  <c r="T8" i="27" s="1"/>
  <c r="O4" i="27"/>
  <c r="O5" i="27" s="1"/>
  <c r="O6" i="27" s="1"/>
  <c r="O7" i="27" s="1"/>
  <c r="O8" i="27" s="1"/>
  <c r="J4" i="27"/>
  <c r="AC2" i="27"/>
  <c r="AB2" i="27"/>
  <c r="AA2" i="27"/>
  <c r="Z2" i="27"/>
  <c r="Z8" i="27" l="1"/>
  <c r="AA8" i="27"/>
  <c r="AB8" i="27"/>
  <c r="AC8" i="27"/>
  <c r="AA7" i="27"/>
  <c r="AB7" i="27"/>
  <c r="Z7" i="27"/>
  <c r="AC7" i="27"/>
  <c r="Z6" i="27"/>
  <c r="AC6" i="27"/>
  <c r="AA6" i="27"/>
  <c r="AB6" i="27"/>
  <c r="Z5" i="27"/>
  <c r="AA5" i="27"/>
  <c r="AC5" i="27"/>
  <c r="AB5" i="27"/>
  <c r="AA4" i="27"/>
  <c r="Z4" i="27"/>
  <c r="AB4" i="27"/>
  <c r="AC4" i="27"/>
</calcChain>
</file>

<file path=xl/sharedStrings.xml><?xml version="1.0" encoding="utf-8"?>
<sst xmlns="http://schemas.openxmlformats.org/spreadsheetml/2006/main" count="546" uniqueCount="195">
  <si>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</si>
  <si>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</si>
  <si>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</si>
  <si>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</si>
  <si>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</si>
  <si>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</si>
  <si>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</si>
  <si>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</si>
  <si>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</si>
  <si>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</si>
  <si>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</si>
  <si>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</si>
  <si>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</si>
  <si>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</si>
  <si>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</si>
  <si>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</si>
  <si>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</si>
  <si>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</si>
  <si>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</si>
  <si>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</si>
  <si>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</si>
  <si>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</si>
  <si>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</si>
  <si>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</si>
  <si>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</si>
  <si>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</si>
  <si>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</si>
  <si>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</si>
  <si>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</si>
  <si>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</si>
  <si>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</si>
  <si>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</si>
  <si>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</si>
  <si>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</si>
  <si>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</si>
  <si>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</si>
  <si>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</si>
  <si>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</si>
  <si>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</si>
  <si>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</si>
  <si>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</si>
  <si>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</si>
  <si>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</si>
  <si>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</si>
  <si>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</si>
  <si>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</si>
  <si>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</si>
  <si>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</si>
  <si>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</si>
  <si>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</si>
  <si>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</si>
  <si>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</si>
  <si>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</si>
  <si>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</si>
  <si>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</si>
  <si>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</si>
  <si>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</si>
  <si>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</si>
  <si>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</si>
  <si>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</si>
  <si>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</si>
  <si>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</si>
  <si>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</si>
  <si>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</si>
  <si>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</si>
  <si>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</si>
  <si>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</si>
  <si>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</si>
  <si>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</si>
  <si>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</si>
  <si>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</si>
  <si>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</si>
  <si>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</si>
  <si>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</si>
  <si>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</si>
  <si>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</si>
  <si>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</si>
  <si>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</si>
  <si>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</si>
  <si>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</si>
  <si>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</si>
  <si>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</si>
  <si>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</si>
  <si>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</si>
  <si>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</si>
  <si>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</si>
  <si>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</si>
  <si>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</si>
  <si>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</si>
  <si>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</si>
  <si>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</si>
  <si>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</si>
  <si>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</si>
  <si>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</si>
  <si>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</si>
  <si>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</si>
  <si>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</si>
  <si>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</si>
  <si>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</si>
  <si>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</si>
  <si>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</si>
  <si>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</si>
  <si>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</si>
  <si>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</si>
  <si>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</si>
  <si>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</si>
  <si>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</si>
  <si>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</si>
  <si>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</si>
  <si>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</si>
  <si>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</si>
  <si>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</si>
  <si>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</si>
  <si>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</si>
  <si>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</si>
  <si>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</si>
  <si>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</si>
  <si>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</si>
  <si>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</si>
  <si>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</si>
  <si>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</si>
  <si>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</si>
  <si>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</si>
  <si>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</si>
  <si>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</si>
  <si>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</si>
  <si>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</si>
  <si>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</si>
  <si>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</si>
  <si>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</si>
  <si>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</si>
  <si>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</si>
  <si>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</si>
  <si>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</si>
  <si>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</si>
  <si>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</si>
  <si>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</si>
  <si>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</si>
  <si>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</si>
  <si>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</si>
  <si>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</si>
  <si>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</si>
  <si>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</si>
  <si>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</si>
  <si>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</si>
  <si>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</si>
  <si>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</si>
  <si>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</si>
  <si>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</si>
  <si>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</si>
  <si>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</si>
  <si>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</si>
  <si>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</si>
  <si>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</si>
  <si>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</si>
  <si>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</si>
  <si>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</si>
  <si>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</si>
  <si>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</si>
  <si>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</si>
  <si>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</si>
  <si>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</si>
  <si>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</si>
  <si>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</si>
  <si>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</si>
  <si>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</si>
  <si>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</si>
  <si>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</si>
  <si>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</si>
  <si>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</si>
  <si>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</si>
  <si>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</si>
  <si>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</si>
  <si>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</si>
  <si>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</si>
  <si>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</si>
  <si>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</si>
  <si>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</si>
  <si>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</si>
  <si>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</si>
  <si>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</si>
  <si>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</si>
  <si>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</si>
  <si>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</si>
  <si>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</si>
  <si>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</si>
  <si>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</si>
  <si>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</si>
  <si>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</si>
  <si>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</si>
  <si>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</si>
  <si>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</si>
  <si>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</si>
  <si>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Player3</t>
    <phoneticPr fontId="1"/>
  </si>
  <si>
    <t>Player4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</si>
</sst>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4" customWidth="1"/>
    <col min="5" max="29" width="9" style="24" customWidth="1"/>
    <col min="30" max="30" width="3.5" style="24"/>
    <col min="31" max="114" width="3.5" style="25"/>
    <col min="115" max="16384" width="3.5" style="24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189</v>
      </c>
      <c r="G1" s="67"/>
      <c r="H1" s="67"/>
      <c r="I1" s="70"/>
      <c r="J1" s="68"/>
      <c r="K1" s="65" t="s">
        <v>188</v>
      </c>
      <c r="L1" s="67"/>
      <c r="M1" s="67"/>
      <c r="N1" s="70"/>
      <c r="O1" s="68"/>
      <c r="P1" s="65" t="s">
        <v>193</v>
      </c>
      <c r="Q1" s="67"/>
      <c r="R1" s="67"/>
      <c r="S1" s="70"/>
      <c r="T1" s="68"/>
      <c r="U1" s="65" t="s">
        <v>194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 t="shared" ref="AE1:AY1" si="0">$F$1</f>
        <v>Player1</v>
      </c>
      <c r="AF1" s="66" t="str">
        <f t="shared" si="0"/>
        <v>Player1</v>
      </c>
      <c r="AG1" s="67" t="str">
        <f t="shared" si="0"/>
        <v>Player1</v>
      </c>
      <c r="AH1" s="67" t="str">
        <f t="shared" si="0"/>
        <v>Player1</v>
      </c>
      <c r="AI1" s="67" t="str">
        <f t="shared" si="0"/>
        <v>Player1</v>
      </c>
      <c r="AJ1" s="67" t="str">
        <f t="shared" si="0"/>
        <v>Player1</v>
      </c>
      <c r="AK1" s="67" t="str">
        <f t="shared" si="0"/>
        <v>Player1</v>
      </c>
      <c r="AL1" s="67" t="str">
        <f t="shared" si="0"/>
        <v>Player1</v>
      </c>
      <c r="AM1" s="67" t="str">
        <f t="shared" si="0"/>
        <v>Player1</v>
      </c>
      <c r="AN1" s="67" t="str">
        <f t="shared" si="0"/>
        <v>Player1</v>
      </c>
      <c r="AO1" s="67" t="str">
        <f t="shared" si="0"/>
        <v>Player1</v>
      </c>
      <c r="AP1" s="67" t="str">
        <f t="shared" si="0"/>
        <v>Player1</v>
      </c>
      <c r="AQ1" s="67" t="str">
        <f t="shared" si="0"/>
        <v>Player1</v>
      </c>
      <c r="AR1" s="67" t="str">
        <f t="shared" si="0"/>
        <v>Player1</v>
      </c>
      <c r="AS1" s="67" t="str">
        <f t="shared" si="0"/>
        <v>Player1</v>
      </c>
      <c r="AT1" s="67" t="str">
        <f t="shared" si="0"/>
        <v>Player1</v>
      </c>
      <c r="AU1" s="67" t="str">
        <f t="shared" si="0"/>
        <v>Player1</v>
      </c>
      <c r="AV1" s="67" t="str">
        <f t="shared" si="0"/>
        <v>Player1</v>
      </c>
      <c r="AW1" s="67" t="str">
        <f t="shared" si="0"/>
        <v>Player1</v>
      </c>
      <c r="AX1" s="67" t="str">
        <f t="shared" si="0"/>
        <v>Player1</v>
      </c>
      <c r="AY1" s="68" t="str">
        <f t="shared" si="0"/>
        <v>Player1</v>
      </c>
      <c r="AZ1" s="65" t="str">
        <f>$K$1</f>
        <v>Player2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$P$1</f>
        <v>Player3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$U$1</f>
        <v>Player4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1" t="s">
        <v>5</v>
      </c>
      <c r="V2" s="2" t="s">
        <v>9</v>
      </c>
      <c r="W2" s="2" t="s">
        <v>22</v>
      </c>
      <c r="X2" s="46" t="s">
        <v>7</v>
      </c>
      <c r="Y2" s="6" t="s">
        <v>4</v>
      </c>
      <c r="Z2" s="63" t="str">
        <f>$F$1</f>
        <v>Player1</v>
      </c>
      <c r="AA2" s="64" t="str">
        <f>$K$1</f>
        <v>Player2</v>
      </c>
      <c r="AB2" s="64" t="str">
        <f>$P$1</f>
        <v>Player3</v>
      </c>
      <c r="AC2" s="16" t="str">
        <f>$U$1</f>
        <v>Player4</v>
      </c>
      <c r="AE2" s="59" t="s">
        <v>23</v>
      </c>
      <c r="AF2" s="62" t="s">
        <v>26</v>
      </c>
      <c r="AG2" s="60" t="s">
        <v>24</v>
      </c>
      <c r="AH2" s="60" t="s">
        <v>127</v>
      </c>
      <c r="AI2" s="60" t="s">
        <v>18</v>
      </c>
      <c r="AJ2" s="61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9" t="s">
        <v>23</v>
      </c>
      <c r="BA2" s="62" t="s">
        <v>26</v>
      </c>
      <c r="BB2" s="60" t="s">
        <v>24</v>
      </c>
      <c r="BC2" s="60" t="s">
        <v>128</v>
      </c>
      <c r="BD2" s="60" t="s">
        <v>18</v>
      </c>
      <c r="BE2" s="61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9" t="s">
        <v>23</v>
      </c>
      <c r="BV2" s="62" t="s">
        <v>26</v>
      </c>
      <c r="BW2" s="60" t="s">
        <v>24</v>
      </c>
      <c r="BX2" s="60" t="s">
        <v>128</v>
      </c>
      <c r="BY2" s="60" t="s">
        <v>18</v>
      </c>
      <c r="BZ2" s="61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9" t="s">
        <v>23</v>
      </c>
      <c r="CQ2" s="62" t="s">
        <v>26</v>
      </c>
      <c r="CR2" s="60" t="s">
        <v>24</v>
      </c>
      <c r="CS2" s="60" t="s">
        <v>128</v>
      </c>
      <c r="CT2" s="60" t="s">
        <v>18</v>
      </c>
      <c r="CU2" s="61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25000</v>
      </c>
      <c r="K3" s="7"/>
      <c r="L3" s="23"/>
      <c r="M3" s="23"/>
      <c r="N3" s="47"/>
      <c r="O3" s="20">
        <v>25000</v>
      </c>
      <c r="P3" s="7"/>
      <c r="Q3" s="23"/>
      <c r="R3" s="23"/>
      <c r="S3" s="47"/>
      <c r="T3" s="20">
        <v>25000</v>
      </c>
      <c r="U3" s="7"/>
      <c r="V3" s="23"/>
      <c r="W3" s="23"/>
      <c r="X3" s="47"/>
      <c r="Y3" s="20">
        <v>25000</v>
      </c>
      <c r="Z3" s="50">
        <f>IF($J3="","",ROUND(($J3-$J$3)/1000,1)+(_xlfn.RANK.AVG($J3,($J3,$O3,$T3,$Y3),1)-2.5)*10)</f>
        <v>0</v>
      </c>
      <c r="AA3" s="51">
        <f>IF($O3="","",ROUND(($O3-$O$3)/1000,1)+(_xlfn.RANK.AVG($O3,($J3,$O3,$T3,$Y3),1)-2.5)*10)</f>
        <v>0</v>
      </c>
      <c r="AB3" s="51">
        <f>IF($T3="","",ROUND(($T3-$T$3)/1000,1)+(_xlfn.RANK.AVG($T3,($J3,$O3,$T3,$Y3),1)-2.5)*10)</f>
        <v>0</v>
      </c>
      <c r="AC3" s="52">
        <f>IF($Y3="","",ROUND(($Y3-$Y$3)/1000,1)+(_xlfn.RANK.AVG($Y3,($J3,$O3,$T3,$Y3),1)-2.5)*10)</f>
        <v>0</v>
      </c>
      <c r="AE3" s="7"/>
      <c r="AF3" s="33"/>
      <c r="AG3" s="28"/>
      <c r="AH3" s="28"/>
      <c r="AI3" s="28"/>
      <c r="AJ3" s="29"/>
      <c r="AK3" s="37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9"/>
      <c r="AZ3" s="7"/>
      <c r="BA3" s="33"/>
      <c r="BB3" s="28"/>
      <c r="BC3" s="28"/>
      <c r="BD3" s="28"/>
      <c r="BE3" s="29"/>
      <c r="BF3" s="3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9"/>
      <c r="BU3" s="7"/>
      <c r="BV3" s="33"/>
      <c r="BW3" s="28"/>
      <c r="BX3" s="28"/>
      <c r="BY3" s="28"/>
      <c r="BZ3" s="29"/>
      <c r="CA3" s="37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9"/>
      <c r="CP3" s="7"/>
      <c r="CQ3" s="33"/>
      <c r="CR3" s="28"/>
      <c r="CS3" s="28"/>
      <c r="CT3" s="28"/>
      <c r="CU3" s="29"/>
      <c r="CV3" s="37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9"/>
    </row>
    <row r="4" spans="1:114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IF(COUNTA($F4,$K4,$P4,$U4)&gt;0,J3+SUM(G4:I4),"")</f>
        <v/>
      </c>
      <c r="K4" s="8"/>
      <c r="L4" s="9"/>
      <c r="M4" s="9"/>
      <c r="N4" s="48"/>
      <c r="O4" s="21" t="str">
        <f>IF(COUNTA($F4,$K4,$P4,$U4)&gt;0,O3+SUM(L4:N4),"")</f>
        <v/>
      </c>
      <c r="P4" s="8"/>
      <c r="Q4" s="9"/>
      <c r="R4" s="9"/>
      <c r="S4" s="48"/>
      <c r="T4" s="21" t="str">
        <f>IF(COUNTA($F4,$K4,$P4,$U4)&gt;0,T3+SUM(Q4:S4),"")</f>
        <v/>
      </c>
      <c r="U4" s="8"/>
      <c r="V4" s="9"/>
      <c r="W4" s="9"/>
      <c r="X4" s="48"/>
      <c r="Y4" s="21" t="str">
        <f>IF(COUNTA($F4,$K4,$P4,$U4)&gt;0,Y3+SUM(V4:X4),"")</f>
        <v/>
      </c>
      <c r="Z4" s="53" t="str">
        <f>IF($J4="","",ROUND(($J4-$J$3)/1000,1)+(_xlfn.RANK.AVG($J4,($J4,$O4,$T4,$Y4),1)-2.5)*10)</f>
        <v/>
      </c>
      <c r="AA4" s="54" t="str">
        <f>IF($O4="","",ROUND(($O4-$O$3)/1000,1)+(_xlfn.RANK.AVG($O4,($J4,$O4,$T4,$Y4),1)-2.5)*10)</f>
        <v/>
      </c>
      <c r="AB4" s="54" t="str">
        <f>IF($T4="","",ROUND(($T4-$T$3)/1000,1)+(_xlfn.RANK.AVG($T4,($J4,$O4,$T4,$Y4),1)-2.5)*10)</f>
        <v/>
      </c>
      <c r="AC4" s="55" t="str">
        <f>IF($Y4="","",ROUND(($Y4-$Y$3)/1000,1)+(_xlfn.RANK.AVG($Y4,($J4,$O4,$T4,$Y4),1)-2.5)*10)</f>
        <v/>
      </c>
      <c r="AE4" s="8"/>
      <c r="AF4" s="34"/>
      <c r="AG4" s="26"/>
      <c r="AH4" s="26"/>
      <c r="AI4" s="26"/>
      <c r="AJ4" s="30"/>
      <c r="AK4" s="40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2"/>
      <c r="AZ4" s="8"/>
      <c r="BA4" s="34"/>
      <c r="BB4" s="26"/>
      <c r="BC4" s="26"/>
      <c r="BD4" s="26"/>
      <c r="BE4" s="30"/>
      <c r="BF4" s="40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2"/>
      <c r="BU4" s="8"/>
      <c r="BV4" s="34"/>
      <c r="BW4" s="26"/>
      <c r="BX4" s="26"/>
      <c r="BY4" s="26"/>
      <c r="BZ4" s="30"/>
      <c r="CA4" s="40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2"/>
      <c r="CP4" s="8"/>
      <c r="CQ4" s="34"/>
      <c r="CR4" s="26"/>
      <c r="CS4" s="26"/>
      <c r="CT4" s="26"/>
      <c r="CU4" s="30"/>
      <c r="CV4" s="40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2"/>
    </row>
    <row r="5" spans="1:114" x14ac:dyDescent="0.4">
      <c r="A5" s="13" t="str">
        <f t="shared" ref="A5:A9" si="1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48"/>
      <c r="J5" s="21" t="str">
        <f t="shared" ref="J5:J30" si="2">IF(COUNTA($F5,$K5,$P5,$U5)&gt;0,J4+SUM(G5:I5),"")</f>
        <v/>
      </c>
      <c r="K5" s="8"/>
      <c r="L5" s="9"/>
      <c r="M5" s="9"/>
      <c r="N5" s="48"/>
      <c r="O5" s="21" t="str">
        <f t="shared" ref="O5:O30" si="3">IF(COUNTA($F5,$K5,$P5,$U5)&gt;0,O4+SUM(L5:N5),"")</f>
        <v/>
      </c>
      <c r="P5" s="8"/>
      <c r="Q5" s="9"/>
      <c r="R5" s="9"/>
      <c r="S5" s="48"/>
      <c r="T5" s="21" t="str">
        <f t="shared" ref="T5:T30" si="4">IF(COUNTA($F5,$K5,$P5,$U5)&gt;0,T4+SUM(Q5:S5),"")</f>
        <v/>
      </c>
      <c r="U5" s="8"/>
      <c r="V5" s="9"/>
      <c r="W5" s="9"/>
      <c r="X5" s="48"/>
      <c r="Y5" s="21" t="str">
        <f t="shared" ref="Y5:Y30" si="5">IF(COUNTA($F5,$K5,$P5,$U5)&gt;0,Y4+SUM(V5:X5),"")</f>
        <v/>
      </c>
      <c r="Z5" s="53" t="str">
        <f>IF($J5="","",ROUND(($J5-$J$3)/1000,1)+(_xlfn.RANK.AVG($J5,($J5,$O5,$T5,$Y5),1)-2.5)*10)</f>
        <v/>
      </c>
      <c r="AA5" s="54" t="str">
        <f>IF($O5="","",ROUND(($O5-$O$3)/1000,1)+(_xlfn.RANK.AVG($O5,($J5,$O5,$T5,$Y5),1)-2.5)*10)</f>
        <v/>
      </c>
      <c r="AB5" s="54" t="str">
        <f>IF($T5="","",ROUND(($T5-$T$3)/1000,1)+(_xlfn.RANK.AVG($T5,($J5,$O5,$T5,$Y5),1)-2.5)*10)</f>
        <v/>
      </c>
      <c r="AC5" s="55" t="str">
        <f>IF($Y5="","",ROUND(($Y5-$Y$3)/1000,1)+(_xlfn.RANK.AVG($Y5,($J5,$O5,$T5,$Y5),1)-2.5)*10)</f>
        <v/>
      </c>
      <c r="AE5" s="8"/>
      <c r="AF5" s="34"/>
      <c r="AG5" s="26"/>
      <c r="AH5" s="26"/>
      <c r="AI5" s="26"/>
      <c r="AJ5" s="30"/>
      <c r="AK5" s="40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2"/>
      <c r="AZ5" s="8"/>
      <c r="BA5" s="34"/>
      <c r="BB5" s="26"/>
      <c r="BC5" s="26"/>
      <c r="BD5" s="26"/>
      <c r="BE5" s="30"/>
      <c r="BF5" s="40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2"/>
      <c r="BU5" s="8"/>
      <c r="BV5" s="34"/>
      <c r="BW5" s="26"/>
      <c r="BX5" s="26"/>
      <c r="BY5" s="26"/>
      <c r="BZ5" s="30"/>
      <c r="CA5" s="40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2"/>
      <c r="CP5" s="8"/>
      <c r="CQ5" s="34"/>
      <c r="CR5" s="26"/>
      <c r="CS5" s="26"/>
      <c r="CT5" s="26"/>
      <c r="CU5" s="30"/>
      <c r="CV5" s="40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2"/>
    </row>
    <row r="6" spans="1:114" x14ac:dyDescent="0.4">
      <c r="A6" s="13" t="str">
        <f t="shared" si="1"/>
        <v/>
      </c>
      <c r="B6" s="18" t="str">
        <f t="shared" ref="B6:B30" si="6">IF($E6="","",IF($E5=$E6,B5,IF(B5=4,1,B5+1)))</f>
        <v/>
      </c>
      <c r="C6" s="18" t="str">
        <f t="shared" ref="C6:C30" si="7">IF($E6="","",IF($F5="チョンボ",C5,IF(OR($E5=$E6,$F5="流局"),C5+1,0)))</f>
        <v/>
      </c>
      <c r="D6" s="18" t="str">
        <f t="shared" ref="D6:D30" si="8">IF($E6="","",IF(OR($F5="流局",$F5="チョンボ"),D5+($H5+$M5+$R5+$W5)/-1000,0))</f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8"/>
      <c r="V6" s="9"/>
      <c r="W6" s="9"/>
      <c r="X6" s="48"/>
      <c r="Y6" s="21" t="str">
        <f t="shared" si="5"/>
        <v/>
      </c>
      <c r="Z6" s="53" t="str">
        <f>IF($J6="","",ROUND(($J6-$J$3)/1000,1)+(_xlfn.RANK.AVG($J6,($J6,$O6,$T6,$Y6),1)-2.5)*10)</f>
        <v/>
      </c>
      <c r="AA6" s="54" t="str">
        <f>IF($O6="","",ROUND(($O6-$O$3)/1000,1)+(_xlfn.RANK.AVG($O6,($J6,$O6,$T6,$Y6),1)-2.5)*10)</f>
        <v/>
      </c>
      <c r="AB6" s="54" t="str">
        <f>IF($T6="","",ROUND(($T6-$T$3)/1000,1)+(_xlfn.RANK.AVG($T6,($J6,$O6,$T6,$Y6),1)-2.5)*10)</f>
        <v/>
      </c>
      <c r="AC6" s="55" t="str">
        <f>IF($Y6="","",ROUND(($Y6-$Y$3)/1000,1)+(_xlfn.RANK.AVG($Y6,($J6,$O6,$T6,$Y6),1)-2.5)*10)</f>
        <v/>
      </c>
      <c r="AE6" s="8"/>
      <c r="AF6" s="34"/>
      <c r="AG6" s="26"/>
      <c r="AH6" s="26"/>
      <c r="AI6" s="26"/>
      <c r="AJ6" s="30"/>
      <c r="AK6" s="40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2"/>
      <c r="AZ6" s="8"/>
      <c r="BA6" s="34"/>
      <c r="BB6" s="26"/>
      <c r="BC6" s="26"/>
      <c r="BD6" s="26"/>
      <c r="BE6" s="30"/>
      <c r="BF6" s="40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2"/>
      <c r="BU6" s="8"/>
      <c r="BV6" s="34"/>
      <c r="BW6" s="26"/>
      <c r="BX6" s="26"/>
      <c r="BY6" s="26"/>
      <c r="BZ6" s="30"/>
      <c r="CA6" s="40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2"/>
      <c r="CP6" s="8"/>
      <c r="CQ6" s="34"/>
      <c r="CR6" s="26"/>
      <c r="CS6" s="26"/>
      <c r="CT6" s="26"/>
      <c r="CU6" s="30"/>
      <c r="CV6" s="40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2"/>
    </row>
    <row r="7" spans="1:114" x14ac:dyDescent="0.4">
      <c r="A7" s="13" t="str">
        <f t="shared" si="1"/>
        <v/>
      </c>
      <c r="B7" s="18" t="str">
        <f t="shared" si="6"/>
        <v/>
      </c>
      <c r="C7" s="18" t="str">
        <f t="shared" si="7"/>
        <v/>
      </c>
      <c r="D7" s="18" t="str">
        <f t="shared" si="8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8"/>
      <c r="V7" s="9"/>
      <c r="W7" s="9"/>
      <c r="X7" s="48"/>
      <c r="Y7" s="21" t="str">
        <f t="shared" si="5"/>
        <v/>
      </c>
      <c r="Z7" s="53" t="str">
        <f>IF($J7="","",ROUND(($J7-$J$3)/1000,1)+(_xlfn.RANK.AVG($J7,($J7,$O7,$T7,$Y7),1)-2.5)*10)</f>
        <v/>
      </c>
      <c r="AA7" s="54" t="str">
        <f>IF($O7="","",ROUND(($O7-$O$3)/1000,1)+(_xlfn.RANK.AVG($O7,($J7,$O7,$T7,$Y7),1)-2.5)*10)</f>
        <v/>
      </c>
      <c r="AB7" s="54" t="str">
        <f>IF($T7="","",ROUND(($T7-$T$3)/1000,1)+(_xlfn.RANK.AVG($T7,($J7,$O7,$T7,$Y7),1)-2.5)*10)</f>
        <v/>
      </c>
      <c r="AC7" s="55" t="str">
        <f>IF($Y7="","",ROUND(($Y7-$Y$3)/1000,1)+(_xlfn.RANK.AVG($Y7,($J7,$O7,$T7,$Y7),1)-2.5)*10)</f>
        <v/>
      </c>
      <c r="AE7" s="8"/>
      <c r="AF7" s="34"/>
      <c r="AG7" s="26"/>
      <c r="AH7" s="26"/>
      <c r="AI7" s="26"/>
      <c r="AJ7" s="30"/>
      <c r="AK7" s="40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  <c r="AZ7" s="8"/>
      <c r="BA7" s="34"/>
      <c r="BB7" s="26"/>
      <c r="BC7" s="26"/>
      <c r="BD7" s="26"/>
      <c r="BE7" s="30"/>
      <c r="BF7" s="40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2"/>
      <c r="BU7" s="8"/>
      <c r="BV7" s="34"/>
      <c r="BW7" s="26"/>
      <c r="BX7" s="26"/>
      <c r="BY7" s="26"/>
      <c r="BZ7" s="30"/>
      <c r="CA7" s="40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2"/>
      <c r="CP7" s="8"/>
      <c r="CQ7" s="34"/>
      <c r="CR7" s="26"/>
      <c r="CS7" s="26"/>
      <c r="CT7" s="26"/>
      <c r="CU7" s="30"/>
      <c r="CV7" s="40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2"/>
    </row>
    <row r="8" spans="1:114" x14ac:dyDescent="0.4">
      <c r="A8" s="13" t="str">
        <f t="shared" si="1"/>
        <v/>
      </c>
      <c r="B8" s="18" t="str">
        <f t="shared" si="6"/>
        <v/>
      </c>
      <c r="C8" s="18" t="str">
        <f t="shared" si="7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8"/>
      <c r="V8" s="9"/>
      <c r="W8" s="9"/>
      <c r="X8" s="48"/>
      <c r="Y8" s="21" t="str">
        <f t="shared" si="5"/>
        <v/>
      </c>
      <c r="Z8" s="53" t="str">
        <f>IF($J8="","",ROUND(($J8-$J$3)/1000,1)+(_xlfn.RANK.AVG($J8,($J8,$O8,$T8,$Y8),1)-2.5)*10)</f>
        <v/>
      </c>
      <c r="AA8" s="54" t="str">
        <f>IF($O8="","",ROUND(($O8-$O$3)/1000,1)+(_xlfn.RANK.AVG($O8,($J8,$O8,$T8,$Y8),1)-2.5)*10)</f>
        <v/>
      </c>
      <c r="AB8" s="54" t="str">
        <f>IF($T8="","",ROUND(($T8-$T$3)/1000,1)+(_xlfn.RANK.AVG($T8,($J8,$O8,$T8,$Y8),1)-2.5)*10)</f>
        <v/>
      </c>
      <c r="AC8" s="55" t="str">
        <f>IF($Y8="","",ROUND(($Y8-$Y$3)/1000,1)+(_xlfn.RANK.AVG($Y8,($J8,$O8,$T8,$Y8),1)-2.5)*10)</f>
        <v/>
      </c>
      <c r="AE8" s="8"/>
      <c r="AF8" s="34"/>
      <c r="AG8" s="26"/>
      <c r="AH8" s="26"/>
      <c r="AI8" s="26"/>
      <c r="AJ8" s="30"/>
      <c r="AK8" s="40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2"/>
      <c r="AZ8" s="8"/>
      <c r="BA8" s="34"/>
      <c r="BB8" s="26"/>
      <c r="BC8" s="26"/>
      <c r="BD8" s="26"/>
      <c r="BE8" s="30"/>
      <c r="BF8" s="40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2"/>
      <c r="BU8" s="8"/>
      <c r="BV8" s="34"/>
      <c r="BW8" s="26"/>
      <c r="BX8" s="26"/>
      <c r="BY8" s="26"/>
      <c r="BZ8" s="30"/>
      <c r="CA8" s="40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2"/>
      <c r="CP8" s="8"/>
      <c r="CQ8" s="34"/>
      <c r="CR8" s="26"/>
      <c r="CS8" s="26"/>
      <c r="CT8" s="26"/>
      <c r="CU8" s="30"/>
      <c r="CV8" s="40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2"/>
    </row>
    <row r="9" spans="1:114" x14ac:dyDescent="0.4">
      <c r="A9" s="13" t="str">
        <f t="shared" si="1"/>
        <v/>
      </c>
      <c r="B9" s="18" t="str">
        <f t="shared" si="6"/>
        <v/>
      </c>
      <c r="C9" s="18" t="str">
        <f t="shared" si="7"/>
        <v/>
      </c>
      <c r="D9" s="18" t="str">
        <f t="shared" si="8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8"/>
      <c r="V9" s="9"/>
      <c r="W9" s="9"/>
      <c r="X9" s="48"/>
      <c r="Y9" s="21" t="str">
        <f t="shared" si="5"/>
        <v/>
      </c>
      <c r="Z9" s="53" t="str">
        <f>IF($J9="","",ROUND(($J9-$J$3)/1000,1)+(_xlfn.RANK.AVG($J9,($J9,$O9,$T9,$Y9),1)-2.5)*10)</f>
        <v/>
      </c>
      <c r="AA9" s="54" t="str">
        <f>IF($O9="","",ROUND(($O9-$O$3)/1000,1)+(_xlfn.RANK.AVG($O9,($J9,$O9,$T9,$Y9),1)-2.5)*10)</f>
        <v/>
      </c>
      <c r="AB9" s="54" t="str">
        <f>IF($T9="","",ROUND(($T9-$T$3)/1000,1)+(_xlfn.RANK.AVG($T9,($J9,$O9,$T9,$Y9),1)-2.5)*10)</f>
        <v/>
      </c>
      <c r="AC9" s="55" t="str">
        <f>IF($Y9="","",ROUND(($Y9-$Y$3)/1000,1)+(_xlfn.RANK.AVG($Y9,($J9,$O9,$T9,$Y9),1)-2.5)*10)</f>
        <v/>
      </c>
      <c r="AE9" s="8"/>
      <c r="AF9" s="34"/>
      <c r="AG9" s="26"/>
      <c r="AH9" s="26"/>
      <c r="AI9" s="26"/>
      <c r="AJ9" s="30"/>
      <c r="AK9" s="40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2"/>
      <c r="AZ9" s="8"/>
      <c r="BA9" s="34"/>
      <c r="BB9" s="26"/>
      <c r="BC9" s="26"/>
      <c r="BD9" s="26"/>
      <c r="BE9" s="30"/>
      <c r="BF9" s="40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2"/>
      <c r="BU9" s="8"/>
      <c r="BV9" s="34"/>
      <c r="BW9" s="26"/>
      <c r="BX9" s="26"/>
      <c r="BY9" s="26"/>
      <c r="BZ9" s="30"/>
      <c r="CA9" s="40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2"/>
      <c r="CP9" s="8"/>
      <c r="CQ9" s="34"/>
      <c r="CR9" s="26"/>
      <c r="CS9" s="26"/>
      <c r="CT9" s="26"/>
      <c r="CU9" s="30"/>
      <c r="CV9" s="40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2"/>
    </row>
    <row r="10" spans="1:114" x14ac:dyDescent="0.4">
      <c r="A10" s="13" t="str">
        <f>IF($E10="","",IF(AND(B9=4,B10=1),_xlfn.SWITCH(A9,"東","南","南","西","西","北","北","東"),A9))</f>
        <v/>
      </c>
      <c r="B10" s="18" t="str">
        <f t="shared" si="6"/>
        <v/>
      </c>
      <c r="C10" s="18" t="str">
        <f t="shared" si="7"/>
        <v/>
      </c>
      <c r="D10" s="18" t="str">
        <f t="shared" si="8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8"/>
      <c r="V10" s="9"/>
      <c r="W10" s="9"/>
      <c r="X10" s="48"/>
      <c r="Y10" s="21" t="str">
        <f t="shared" si="5"/>
        <v/>
      </c>
      <c r="Z10" s="53" t="str">
        <f>IF($J10="","",ROUND(($J10-$J$3)/1000,1)+(_xlfn.RANK.AVG($J10,($J10,$O10,$T10,$Y10),1)-2.5)*10)</f>
        <v/>
      </c>
      <c r="AA10" s="54" t="str">
        <f>IF($O10="","",ROUND(($O10-$O$3)/1000,1)+(_xlfn.RANK.AVG($O10,($J10,$O10,$T10,$Y10),1)-2.5)*10)</f>
        <v/>
      </c>
      <c r="AB10" s="54" t="str">
        <f>IF($T10="","",ROUND(($T10-$T$3)/1000,1)+(_xlfn.RANK.AVG($T10,($J10,$O10,$T10,$Y10),1)-2.5)*10)</f>
        <v/>
      </c>
      <c r="AC10" s="55" t="str">
        <f>IF($Y10="","",ROUND(($Y10-$Y$3)/1000,1)+(_xlfn.RANK.AVG($Y10,($J10,$O10,$T10,$Y10),1)-2.5)*10)</f>
        <v/>
      </c>
      <c r="AE10" s="8"/>
      <c r="AF10" s="34"/>
      <c r="AG10" s="26"/>
      <c r="AH10" s="26"/>
      <c r="AI10" s="26"/>
      <c r="AJ10" s="30"/>
      <c r="AK10" s="40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2"/>
      <c r="AZ10" s="8"/>
      <c r="BA10" s="34"/>
      <c r="BB10" s="26"/>
      <c r="BC10" s="26"/>
      <c r="BD10" s="26"/>
      <c r="BE10" s="30"/>
      <c r="BF10" s="40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8"/>
      <c r="BV10" s="34"/>
      <c r="BW10" s="26"/>
      <c r="BX10" s="26"/>
      <c r="BY10" s="26"/>
      <c r="BZ10" s="30"/>
      <c r="CA10" s="40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2"/>
      <c r="CP10" s="8"/>
      <c r="CQ10" s="34"/>
      <c r="CR10" s="26"/>
      <c r="CS10" s="26"/>
      <c r="CT10" s="26"/>
      <c r="CU10" s="30"/>
      <c r="CV10" s="40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2"/>
    </row>
    <row r="11" spans="1:114" x14ac:dyDescent="0.4">
      <c r="A11" s="13" t="str">
        <f t="shared" ref="A11:A30" si="9">IF($E11="","",IF(AND(B10=4,B11=1),_xlfn.SWITCH(A10,"東","南","南","西","西","北","北","東"),A10))</f>
        <v/>
      </c>
      <c r="B11" s="18" t="str">
        <f t="shared" si="6"/>
        <v/>
      </c>
      <c r="C11" s="18" t="str">
        <f t="shared" si="7"/>
        <v/>
      </c>
      <c r="D11" s="18" t="str">
        <f t="shared" si="8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8"/>
      <c r="V11" s="9"/>
      <c r="W11" s="9"/>
      <c r="X11" s="48"/>
      <c r="Y11" s="21" t="str">
        <f t="shared" si="5"/>
        <v/>
      </c>
      <c r="Z11" s="53" t="str">
        <f>IF($J11="","",ROUND(($J11-$J$3)/1000,1)+(_xlfn.RANK.AVG($J11,($J11,$O11,$T11,$Y11),1)-2.5)*10)</f>
        <v/>
      </c>
      <c r="AA11" s="54" t="str">
        <f>IF($O11="","",ROUND(($O11-$O$3)/1000,1)+(_xlfn.RANK.AVG($O11,($J11,$O11,$T11,$Y11),1)-2.5)*10)</f>
        <v/>
      </c>
      <c r="AB11" s="54" t="str">
        <f>IF($T11="","",ROUND(($T11-$T$3)/1000,1)+(_xlfn.RANK.AVG($T11,($J11,$O11,$T11,$Y11),1)-2.5)*10)</f>
        <v/>
      </c>
      <c r="AC11" s="55" t="str">
        <f>IF($Y11="","",ROUND(($Y11-$Y$3)/1000,1)+(_xlfn.RANK.AVG($Y11,($J11,$O11,$T11,$Y11),1)-2.5)*10)</f>
        <v/>
      </c>
      <c r="AE11" s="8"/>
      <c r="AF11" s="34"/>
      <c r="AG11" s="26"/>
      <c r="AH11" s="26"/>
      <c r="AI11" s="26"/>
      <c r="AJ11" s="30"/>
      <c r="AK11" s="40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2"/>
      <c r="AZ11" s="8"/>
      <c r="BA11" s="34"/>
      <c r="BB11" s="26"/>
      <c r="BC11" s="26"/>
      <c r="BD11" s="26"/>
      <c r="BE11" s="30"/>
      <c r="BF11" s="40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2"/>
      <c r="BU11" s="8"/>
      <c r="BV11" s="34"/>
      <c r="BW11" s="26"/>
      <c r="BX11" s="26"/>
      <c r="BY11" s="26"/>
      <c r="BZ11" s="30"/>
      <c r="CA11" s="40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2"/>
      <c r="CP11" s="8"/>
      <c r="CQ11" s="34"/>
      <c r="CR11" s="26"/>
      <c r="CS11" s="26"/>
      <c r="CT11" s="26"/>
      <c r="CU11" s="30"/>
      <c r="CV11" s="40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2"/>
    </row>
    <row r="12" spans="1:114" x14ac:dyDescent="0.4">
      <c r="A12" s="13" t="str">
        <f t="shared" si="9"/>
        <v/>
      </c>
      <c r="B12" s="18" t="str">
        <f t="shared" si="6"/>
        <v/>
      </c>
      <c r="C12" s="18" t="str">
        <f t="shared" si="7"/>
        <v/>
      </c>
      <c r="D12" s="18" t="str">
        <f t="shared" si="8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8"/>
      <c r="V12" s="9"/>
      <c r="W12" s="9"/>
      <c r="X12" s="48"/>
      <c r="Y12" s="21" t="str">
        <f t="shared" si="5"/>
        <v/>
      </c>
      <c r="Z12" s="53" t="str">
        <f>IF($J12="","",ROUND(($J12-$J$3)/1000,1)+(_xlfn.RANK.AVG($J12,($J12,$O12,$T12,$Y12),1)-2.5)*10)</f>
        <v/>
      </c>
      <c r="AA12" s="54" t="str">
        <f>IF($O12="","",ROUND(($O12-$O$3)/1000,1)+(_xlfn.RANK.AVG($O12,($J12,$O12,$T12,$Y12),1)-2.5)*10)</f>
        <v/>
      </c>
      <c r="AB12" s="54" t="str">
        <f>IF($T12="","",ROUND(($T12-$T$3)/1000,1)+(_xlfn.RANK.AVG($T12,($J12,$O12,$T12,$Y12),1)-2.5)*10)</f>
        <v/>
      </c>
      <c r="AC12" s="55" t="str">
        <f>IF($Y12="","",ROUND(($Y12-$Y$3)/1000,1)+(_xlfn.RANK.AVG($Y12,($J12,$O12,$T12,$Y12),1)-2.5)*10)</f>
        <v/>
      </c>
      <c r="AE12" s="8"/>
      <c r="AF12" s="34"/>
      <c r="AG12" s="26"/>
      <c r="AH12" s="26"/>
      <c r="AI12" s="26"/>
      <c r="AJ12" s="30"/>
      <c r="AK12" s="40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2"/>
      <c r="AZ12" s="8"/>
      <c r="BA12" s="34"/>
      <c r="BB12" s="26"/>
      <c r="BC12" s="26"/>
      <c r="BD12" s="26"/>
      <c r="BE12" s="30"/>
      <c r="BF12" s="40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2"/>
      <c r="BU12" s="8"/>
      <c r="BV12" s="34"/>
      <c r="BW12" s="26"/>
      <c r="BX12" s="26"/>
      <c r="BY12" s="26"/>
      <c r="BZ12" s="30"/>
      <c r="CA12" s="40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2"/>
      <c r="CP12" s="8"/>
      <c r="CQ12" s="34"/>
      <c r="CR12" s="26"/>
      <c r="CS12" s="26"/>
      <c r="CT12" s="26"/>
      <c r="CU12" s="30"/>
      <c r="CV12" s="40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2"/>
    </row>
    <row r="13" spans="1:114" x14ac:dyDescent="0.4">
      <c r="A13" s="13" t="str">
        <f t="shared" si="9"/>
        <v/>
      </c>
      <c r="B13" s="18" t="str">
        <f t="shared" si="6"/>
        <v/>
      </c>
      <c r="C13" s="18" t="str">
        <f t="shared" si="7"/>
        <v/>
      </c>
      <c r="D13" s="18" t="str">
        <f t="shared" si="8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8"/>
      <c r="V13" s="9"/>
      <c r="W13" s="9"/>
      <c r="X13" s="48"/>
      <c r="Y13" s="21" t="str">
        <f t="shared" si="5"/>
        <v/>
      </c>
      <c r="Z13" s="53" t="str">
        <f>IF($J13="","",ROUND(($J13-$J$3)/1000,1)+(_xlfn.RANK.AVG($J13,($J13,$O13,$T13,$Y13),1)-2.5)*10)</f>
        <v/>
      </c>
      <c r="AA13" s="54" t="str">
        <f>IF($O13="","",ROUND(($O13-$O$3)/1000,1)+(_xlfn.RANK.AVG($O13,($J13,$O13,$T13,$Y13),1)-2.5)*10)</f>
        <v/>
      </c>
      <c r="AB13" s="54" t="str">
        <f>IF($T13="","",ROUND(($T13-$T$3)/1000,1)+(_xlfn.RANK.AVG($T13,($J13,$O13,$T13,$Y13),1)-2.5)*10)</f>
        <v/>
      </c>
      <c r="AC13" s="55" t="str">
        <f>IF($Y13="","",ROUND(($Y13-$Y$3)/1000,1)+(_xlfn.RANK.AVG($Y13,($J13,$O13,$T13,$Y13),1)-2.5)*10)</f>
        <v/>
      </c>
      <c r="AE13" s="8"/>
      <c r="AF13" s="34"/>
      <c r="AG13" s="26"/>
      <c r="AH13" s="26"/>
      <c r="AI13" s="26"/>
      <c r="AJ13" s="30"/>
      <c r="AK13" s="40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2"/>
      <c r="AZ13" s="8"/>
      <c r="BA13" s="34"/>
      <c r="BB13" s="26"/>
      <c r="BC13" s="26"/>
      <c r="BD13" s="26"/>
      <c r="BE13" s="30"/>
      <c r="BF13" s="40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2"/>
      <c r="BU13" s="8"/>
      <c r="BV13" s="34"/>
      <c r="BW13" s="26"/>
      <c r="BX13" s="26"/>
      <c r="BY13" s="26"/>
      <c r="BZ13" s="30"/>
      <c r="CA13" s="40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2"/>
      <c r="CP13" s="8"/>
      <c r="CQ13" s="34"/>
      <c r="CR13" s="26"/>
      <c r="CS13" s="26"/>
      <c r="CT13" s="26"/>
      <c r="CU13" s="30"/>
      <c r="CV13" s="40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2"/>
    </row>
    <row r="14" spans="1:114" x14ac:dyDescent="0.4">
      <c r="A14" s="13" t="str">
        <f t="shared" si="9"/>
        <v/>
      </c>
      <c r="B14" s="18" t="str">
        <f t="shared" si="6"/>
        <v/>
      </c>
      <c r="C14" s="18" t="str">
        <f t="shared" si="7"/>
        <v/>
      </c>
      <c r="D14" s="18" t="str">
        <f t="shared" si="8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8"/>
      <c r="V14" s="9"/>
      <c r="W14" s="9"/>
      <c r="X14" s="48"/>
      <c r="Y14" s="21" t="str">
        <f>IF(COUNTA($F14,$K14,$P14,$U14)&gt;0,Y13+SUM(V14:X14),"")</f>
        <v/>
      </c>
      <c r="Z14" s="53" t="str">
        <f>IF($J14="","",ROUND(($J14-$J$3)/1000,1)+(_xlfn.RANK.AVG($J14,($J14,$O14,$T14,$Y14),1)-2.5)*10)</f>
        <v/>
      </c>
      <c r="AA14" s="54" t="str">
        <f>IF($O14="","",ROUND(($O14-$O$3)/1000,1)+(_xlfn.RANK.AVG($O14,($J14,$O14,$T14,$Y14),1)-2.5)*10)</f>
        <v/>
      </c>
      <c r="AB14" s="54" t="str">
        <f>IF($T14="","",ROUND(($T14-$T$3)/1000,1)+(_xlfn.RANK.AVG($T14,($J14,$O14,$T14,$Y14),1)-2.5)*10)</f>
        <v/>
      </c>
      <c r="AC14" s="55" t="str">
        <f>IF($Y14="","",ROUND(($Y14-$Y$3)/1000,1)+(_xlfn.RANK.AVG($Y14,($J14,$O14,$T14,$Y14),1)-2.5)*10)</f>
        <v/>
      </c>
      <c r="AE14" s="8"/>
      <c r="AF14" s="34"/>
      <c r="AG14" s="26"/>
      <c r="AH14" s="26"/>
      <c r="AI14" s="26"/>
      <c r="AJ14" s="30"/>
      <c r="AK14" s="40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2"/>
      <c r="AZ14" s="8"/>
      <c r="BA14" s="34"/>
      <c r="BB14" s="26"/>
      <c r="BC14" s="26"/>
      <c r="BD14" s="26"/>
      <c r="BE14" s="30"/>
      <c r="BF14" s="40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2"/>
      <c r="BU14" s="8"/>
      <c r="BV14" s="34"/>
      <c r="BW14" s="26"/>
      <c r="BX14" s="26"/>
      <c r="BY14" s="26"/>
      <c r="BZ14" s="30"/>
      <c r="CA14" s="40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2"/>
      <c r="CP14" s="8"/>
      <c r="CQ14" s="34"/>
      <c r="CR14" s="26"/>
      <c r="CS14" s="26"/>
      <c r="CT14" s="26"/>
      <c r="CU14" s="30"/>
      <c r="CV14" s="40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2"/>
    </row>
    <row r="15" spans="1:114" x14ac:dyDescent="0.4">
      <c r="A15" s="13" t="str">
        <f t="shared" si="9"/>
        <v/>
      </c>
      <c r="B15" s="18" t="str">
        <f t="shared" si="6"/>
        <v/>
      </c>
      <c r="C15" s="18" t="str">
        <f t="shared" si="7"/>
        <v/>
      </c>
      <c r="D15" s="18" t="str">
        <f t="shared" si="8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8"/>
      <c r="V15" s="9"/>
      <c r="W15" s="9"/>
      <c r="X15" s="48"/>
      <c r="Y15" s="21" t="str">
        <f t="shared" si="5"/>
        <v/>
      </c>
      <c r="Z15" s="53" t="str">
        <f>IF($J15="","",ROUND(($J15-$J$3)/1000,1)+(_xlfn.RANK.AVG($J15,($J15,$O15,$T15,$Y15),1)-2.5)*10)</f>
        <v/>
      </c>
      <c r="AA15" s="54" t="str">
        <f>IF($O15="","",ROUND(($O15-$O$3)/1000,1)+(_xlfn.RANK.AVG($O15,($J15,$O15,$T15,$Y15),1)-2.5)*10)</f>
        <v/>
      </c>
      <c r="AB15" s="54" t="str">
        <f>IF($T15="","",ROUND(($T15-$T$3)/1000,1)+(_xlfn.RANK.AVG($T15,($J15,$O15,$T15,$Y15),1)-2.5)*10)</f>
        <v/>
      </c>
      <c r="AC15" s="55" t="str">
        <f>IF($Y15="","",ROUND(($Y15-$Y$3)/1000,1)+(_xlfn.RANK.AVG($Y15,($J15,$O15,$T15,$Y15),1)-2.5)*10)</f>
        <v/>
      </c>
      <c r="AE15" s="8"/>
      <c r="AF15" s="34"/>
      <c r="AG15" s="26"/>
      <c r="AH15" s="26"/>
      <c r="AI15" s="26"/>
      <c r="AJ15" s="30"/>
      <c r="AK15" s="40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2"/>
      <c r="AZ15" s="8"/>
      <c r="BA15" s="34"/>
      <c r="BB15" s="26"/>
      <c r="BC15" s="26"/>
      <c r="BD15" s="26"/>
      <c r="BE15" s="30"/>
      <c r="BF15" s="40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2"/>
      <c r="BU15" s="8"/>
      <c r="BV15" s="34"/>
      <c r="BW15" s="26"/>
      <c r="BX15" s="26"/>
      <c r="BY15" s="26"/>
      <c r="BZ15" s="30"/>
      <c r="CA15" s="40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2"/>
      <c r="CP15" s="8"/>
      <c r="CQ15" s="34"/>
      <c r="CR15" s="26"/>
      <c r="CS15" s="26"/>
      <c r="CT15" s="26"/>
      <c r="CU15" s="30"/>
      <c r="CV15" s="40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2"/>
    </row>
    <row r="16" spans="1:114" x14ac:dyDescent="0.4">
      <c r="A16" s="13" t="str">
        <f t="shared" si="9"/>
        <v/>
      </c>
      <c r="B16" s="18" t="str">
        <f t="shared" si="6"/>
        <v/>
      </c>
      <c r="C16" s="18" t="str">
        <f t="shared" si="7"/>
        <v/>
      </c>
      <c r="D16" s="18" t="str">
        <f t="shared" si="8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8"/>
      <c r="V16" s="9"/>
      <c r="W16" s="9"/>
      <c r="X16" s="48"/>
      <c r="Y16" s="21" t="str">
        <f t="shared" si="5"/>
        <v/>
      </c>
      <c r="Z16" s="53" t="str">
        <f>IF($J16="","",ROUND(($J16-$J$3)/1000,1)+(_xlfn.RANK.AVG($J16,($J16,$O16,$T16,$Y16),1)-2.5)*10)</f>
        <v/>
      </c>
      <c r="AA16" s="54" t="str">
        <f>IF($O16="","",ROUND(($O16-$O$3)/1000,1)+(_xlfn.RANK.AVG($O16,($J16,$O16,$T16,$Y16),1)-2.5)*10)</f>
        <v/>
      </c>
      <c r="AB16" s="54" t="str">
        <f>IF($T16="","",ROUND(($T16-$T$3)/1000,1)+(_xlfn.RANK.AVG($T16,($J16,$O16,$T16,$Y16),1)-2.5)*10)</f>
        <v/>
      </c>
      <c r="AC16" s="55" t="str">
        <f>IF($Y16="","",ROUND(($Y16-$Y$3)/1000,1)+(_xlfn.RANK.AVG($Y16,($J16,$O16,$T16,$Y16),1)-2.5)*10)</f>
        <v/>
      </c>
      <c r="AE16" s="8"/>
      <c r="AF16" s="34"/>
      <c r="AG16" s="26"/>
      <c r="AH16" s="26"/>
      <c r="AI16" s="26"/>
      <c r="AJ16" s="30"/>
      <c r="AK16" s="40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2"/>
      <c r="AZ16" s="8"/>
      <c r="BA16" s="34"/>
      <c r="BB16" s="26"/>
      <c r="BC16" s="26"/>
      <c r="BD16" s="26"/>
      <c r="BE16" s="30"/>
      <c r="BF16" s="40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2"/>
      <c r="BU16" s="8"/>
      <c r="BV16" s="34"/>
      <c r="BW16" s="26"/>
      <c r="BX16" s="26"/>
      <c r="BY16" s="26"/>
      <c r="BZ16" s="30"/>
      <c r="CA16" s="40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2"/>
      <c r="CP16" s="8"/>
      <c r="CQ16" s="34"/>
      <c r="CR16" s="26"/>
      <c r="CS16" s="26"/>
      <c r="CT16" s="26"/>
      <c r="CU16" s="30"/>
      <c r="CV16" s="40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2"/>
    </row>
    <row r="17" spans="1:114" x14ac:dyDescent="0.4">
      <c r="A17" s="13" t="str">
        <f t="shared" si="9"/>
        <v/>
      </c>
      <c r="B17" s="18" t="str">
        <f t="shared" si="6"/>
        <v/>
      </c>
      <c r="C17" s="18" t="str">
        <f t="shared" si="7"/>
        <v/>
      </c>
      <c r="D17" s="18" t="str">
        <f t="shared" si="8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8"/>
      <c r="V17" s="9"/>
      <c r="W17" s="9"/>
      <c r="X17" s="48"/>
      <c r="Y17" s="21" t="str">
        <f t="shared" si="5"/>
        <v/>
      </c>
      <c r="Z17" s="53" t="str">
        <f>IF($J17="","",ROUND(($J17-$J$3)/1000,1)+(_xlfn.RANK.AVG($J17,($J17,$O17,$T17,$Y17),1)-2.5)*10)</f>
        <v/>
      </c>
      <c r="AA17" s="54" t="str">
        <f>IF($O17="","",ROUND(($O17-$O$3)/1000,1)+(_xlfn.RANK.AVG($O17,($J17,$O17,$T17,$Y17),1)-2.5)*10)</f>
        <v/>
      </c>
      <c r="AB17" s="54" t="str">
        <f>IF($T17="","",ROUND(($T17-$T$3)/1000,1)+(_xlfn.RANK.AVG($T17,($J17,$O17,$T17,$Y17),1)-2.5)*10)</f>
        <v/>
      </c>
      <c r="AC17" s="55" t="str">
        <f>IF($Y17="","",ROUND(($Y17-$Y$3)/1000,1)+(_xlfn.RANK.AVG($Y17,($J17,$O17,$T17,$Y17),1)-2.5)*10)</f>
        <v/>
      </c>
      <c r="AE17" s="8"/>
      <c r="AF17" s="34"/>
      <c r="AG17" s="26"/>
      <c r="AH17" s="26"/>
      <c r="AI17" s="26"/>
      <c r="AJ17" s="30"/>
      <c r="AK17" s="40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2"/>
      <c r="AZ17" s="8"/>
      <c r="BA17" s="34"/>
      <c r="BB17" s="26"/>
      <c r="BC17" s="26"/>
      <c r="BD17" s="26"/>
      <c r="BE17" s="30"/>
      <c r="BF17" s="40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2"/>
      <c r="BU17" s="8"/>
      <c r="BV17" s="34"/>
      <c r="BW17" s="26"/>
      <c r="BX17" s="26"/>
      <c r="BY17" s="26"/>
      <c r="BZ17" s="30"/>
      <c r="CA17" s="40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2"/>
      <c r="CP17" s="8"/>
      <c r="CQ17" s="34"/>
      <c r="CR17" s="26"/>
      <c r="CS17" s="26"/>
      <c r="CT17" s="26"/>
      <c r="CU17" s="30"/>
      <c r="CV17" s="40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2"/>
    </row>
    <row r="18" spans="1:114" x14ac:dyDescent="0.4">
      <c r="A18" s="13" t="str">
        <f t="shared" si="9"/>
        <v/>
      </c>
      <c r="B18" s="18" t="str">
        <f t="shared" si="6"/>
        <v/>
      </c>
      <c r="C18" s="18" t="str">
        <f t="shared" si="7"/>
        <v/>
      </c>
      <c r="D18" s="18" t="str">
        <f t="shared" si="8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8"/>
      <c r="V18" s="9"/>
      <c r="W18" s="9"/>
      <c r="X18" s="48"/>
      <c r="Y18" s="21" t="str">
        <f t="shared" si="5"/>
        <v/>
      </c>
      <c r="Z18" s="53" t="str">
        <f>IF($J18="","",ROUND(($J18-$J$3)/1000,1)+(_xlfn.RANK.AVG($J18,($J18,$O18,$T18,$Y18),1)-2.5)*10)</f>
        <v/>
      </c>
      <c r="AA18" s="54" t="str">
        <f>IF($O18="","",ROUND(($O18-$O$3)/1000,1)+(_xlfn.RANK.AVG($O18,($J18,$O18,$T18,$Y18),1)-2.5)*10)</f>
        <v/>
      </c>
      <c r="AB18" s="54" t="str">
        <f>IF($T18="","",ROUND(($T18-$T$3)/1000,1)+(_xlfn.RANK.AVG($T18,($J18,$O18,$T18,$Y18),1)-2.5)*10)</f>
        <v/>
      </c>
      <c r="AC18" s="55" t="str">
        <f>IF($Y18="","",ROUND(($Y18-$Y$3)/1000,1)+(_xlfn.RANK.AVG($Y18,($J18,$O18,$T18,$Y18),1)-2.5)*10)</f>
        <v/>
      </c>
      <c r="AE18" s="8"/>
      <c r="AF18" s="34"/>
      <c r="AG18" s="26"/>
      <c r="AH18" s="26"/>
      <c r="AI18" s="26"/>
      <c r="AJ18" s="30"/>
      <c r="AK18" s="40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2"/>
      <c r="AZ18" s="8"/>
      <c r="BA18" s="34"/>
      <c r="BB18" s="26"/>
      <c r="BC18" s="26"/>
      <c r="BD18" s="26"/>
      <c r="BE18" s="30"/>
      <c r="BF18" s="40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2"/>
      <c r="BU18" s="8"/>
      <c r="BV18" s="34"/>
      <c r="BW18" s="26"/>
      <c r="BX18" s="26"/>
      <c r="BY18" s="26"/>
      <c r="BZ18" s="30"/>
      <c r="CA18" s="40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2"/>
      <c r="CP18" s="8"/>
      <c r="CQ18" s="34"/>
      <c r="CR18" s="26"/>
      <c r="CS18" s="26"/>
      <c r="CT18" s="26"/>
      <c r="CU18" s="30"/>
      <c r="CV18" s="40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2"/>
    </row>
    <row r="19" spans="1:114" x14ac:dyDescent="0.4">
      <c r="A19" s="13" t="str">
        <f t="shared" si="9"/>
        <v/>
      </c>
      <c r="B19" s="18" t="str">
        <f t="shared" si="6"/>
        <v/>
      </c>
      <c r="C19" s="18" t="str">
        <f t="shared" si="7"/>
        <v/>
      </c>
      <c r="D19" s="18" t="str">
        <f t="shared" si="8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8"/>
      <c r="V19" s="9"/>
      <c r="W19" s="9"/>
      <c r="X19" s="48"/>
      <c r="Y19" s="21" t="str">
        <f t="shared" si="5"/>
        <v/>
      </c>
      <c r="Z19" s="53" t="str">
        <f>IF($J19="","",ROUND(($J19-$J$3)/1000,1)+(_xlfn.RANK.AVG($J19,($J19,$O19,$T19,$Y19),1)-2.5)*10)</f>
        <v/>
      </c>
      <c r="AA19" s="54" t="str">
        <f>IF($O19="","",ROUND(($O19-$O$3)/1000,1)+(_xlfn.RANK.AVG($O19,($J19,$O19,$T19,$Y19),1)-2.5)*10)</f>
        <v/>
      </c>
      <c r="AB19" s="54" t="str">
        <f>IF($T19="","",ROUND(($T19-$T$3)/1000,1)+(_xlfn.RANK.AVG($T19,($J19,$O19,$T19,$Y19),1)-2.5)*10)</f>
        <v/>
      </c>
      <c r="AC19" s="55" t="str">
        <f>IF($Y19="","",ROUND(($Y19-$Y$3)/1000,1)+(_xlfn.RANK.AVG($Y19,($J19,$O19,$T19,$Y19),1)-2.5)*10)</f>
        <v/>
      </c>
      <c r="AE19" s="8"/>
      <c r="AF19" s="34"/>
      <c r="AG19" s="26"/>
      <c r="AH19" s="26"/>
      <c r="AI19" s="26"/>
      <c r="AJ19" s="30"/>
      <c r="AK19" s="40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2"/>
      <c r="AZ19" s="8"/>
      <c r="BA19" s="34"/>
      <c r="BB19" s="26"/>
      <c r="BC19" s="26"/>
      <c r="BD19" s="26"/>
      <c r="BE19" s="30"/>
      <c r="BF19" s="40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2"/>
      <c r="BU19" s="8"/>
      <c r="BV19" s="34"/>
      <c r="BW19" s="26"/>
      <c r="BX19" s="26"/>
      <c r="BY19" s="26"/>
      <c r="BZ19" s="30"/>
      <c r="CA19" s="40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2"/>
      <c r="CP19" s="8"/>
      <c r="CQ19" s="34"/>
      <c r="CR19" s="26"/>
      <c r="CS19" s="26"/>
      <c r="CT19" s="26"/>
      <c r="CU19" s="30"/>
      <c r="CV19" s="40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2"/>
    </row>
    <row r="20" spans="1:114" x14ac:dyDescent="0.4">
      <c r="A20" s="13" t="str">
        <f t="shared" si="9"/>
        <v/>
      </c>
      <c r="B20" s="18" t="str">
        <f t="shared" si="6"/>
        <v/>
      </c>
      <c r="C20" s="18" t="str">
        <f t="shared" si="7"/>
        <v/>
      </c>
      <c r="D20" s="18" t="str">
        <f t="shared" si="8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8"/>
      <c r="V20" s="9"/>
      <c r="W20" s="9"/>
      <c r="X20" s="48"/>
      <c r="Y20" s="21" t="str">
        <f t="shared" si="5"/>
        <v/>
      </c>
      <c r="Z20" s="53" t="str">
        <f>IF($J20="","",ROUND(($J20-$J$3)/1000,1)+(_xlfn.RANK.AVG($J20,($J20,$O20,$T20,$Y20),1)-2.5)*10)</f>
        <v/>
      </c>
      <c r="AA20" s="54" t="str">
        <f>IF($O20="","",ROUND(($O20-$O$3)/1000,1)+(_xlfn.RANK.AVG($O20,($J20,$O20,$T20,$Y20),1)-2.5)*10)</f>
        <v/>
      </c>
      <c r="AB20" s="54" t="str">
        <f>IF($T20="","",ROUND(($T20-$T$3)/1000,1)+(_xlfn.RANK.AVG($T20,($J20,$O20,$T20,$Y20),1)-2.5)*10)</f>
        <v/>
      </c>
      <c r="AC20" s="55" t="str">
        <f>IF($Y20="","",ROUND(($Y20-$Y$3)/1000,1)+(_xlfn.RANK.AVG($Y20,($J20,$O20,$T20,$Y20),1)-2.5)*10)</f>
        <v/>
      </c>
      <c r="AE20" s="8"/>
      <c r="AF20" s="34"/>
      <c r="AG20" s="26"/>
      <c r="AH20" s="26"/>
      <c r="AI20" s="26"/>
      <c r="AJ20" s="30"/>
      <c r="AK20" s="40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2"/>
      <c r="AZ20" s="8"/>
      <c r="BA20" s="34"/>
      <c r="BB20" s="26"/>
      <c r="BC20" s="26"/>
      <c r="BD20" s="26"/>
      <c r="BE20" s="30"/>
      <c r="BF20" s="40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2"/>
      <c r="BU20" s="8"/>
      <c r="BV20" s="34"/>
      <c r="BW20" s="26"/>
      <c r="BX20" s="26"/>
      <c r="BY20" s="26"/>
      <c r="BZ20" s="30"/>
      <c r="CA20" s="40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2"/>
      <c r="CP20" s="8"/>
      <c r="CQ20" s="34"/>
      <c r="CR20" s="26"/>
      <c r="CS20" s="26"/>
      <c r="CT20" s="26"/>
      <c r="CU20" s="30"/>
      <c r="CV20" s="40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2"/>
    </row>
    <row r="21" spans="1:114" x14ac:dyDescent="0.4">
      <c r="A21" s="13" t="str">
        <f t="shared" si="9"/>
        <v/>
      </c>
      <c r="B21" s="18" t="str">
        <f t="shared" si="6"/>
        <v/>
      </c>
      <c r="C21" s="18" t="str">
        <f t="shared" si="7"/>
        <v/>
      </c>
      <c r="D21" s="18" t="str">
        <f t="shared" si="8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8"/>
      <c r="V21" s="9"/>
      <c r="W21" s="9"/>
      <c r="X21" s="48"/>
      <c r="Y21" s="21" t="str">
        <f t="shared" si="5"/>
        <v/>
      </c>
      <c r="Z21" s="53" t="str">
        <f>IF($J21="","",ROUND(($J21-$J$3)/1000,1)+(_xlfn.RANK.AVG($J21,($J21,$O21,$T21,$Y21),1)-2.5)*10)</f>
        <v/>
      </c>
      <c r="AA21" s="54" t="str">
        <f>IF($O21="","",ROUND(($O21-$O$3)/1000,1)+(_xlfn.RANK.AVG($O21,($J21,$O21,$T21,$Y21),1)-2.5)*10)</f>
        <v/>
      </c>
      <c r="AB21" s="54" t="str">
        <f>IF($T21="","",ROUND(($T21-$T$3)/1000,1)+(_xlfn.RANK.AVG($T21,($J21,$O21,$T21,$Y21),1)-2.5)*10)</f>
        <v/>
      </c>
      <c r="AC21" s="55" t="str">
        <f>IF($Y21="","",ROUND(($Y21-$Y$3)/1000,1)+(_xlfn.RANK.AVG($Y21,($J21,$O21,$T21,$Y21),1)-2.5)*10)</f>
        <v/>
      </c>
      <c r="AE21" s="8"/>
      <c r="AF21" s="34"/>
      <c r="AG21" s="26"/>
      <c r="AH21" s="26"/>
      <c r="AI21" s="26"/>
      <c r="AJ21" s="30"/>
      <c r="AK21" s="40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2"/>
      <c r="AZ21" s="8"/>
      <c r="BA21" s="34"/>
      <c r="BB21" s="26"/>
      <c r="BC21" s="26"/>
      <c r="BD21" s="26"/>
      <c r="BE21" s="30"/>
      <c r="BF21" s="40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2"/>
      <c r="BU21" s="8"/>
      <c r="BV21" s="34"/>
      <c r="BW21" s="26"/>
      <c r="BX21" s="26"/>
      <c r="BY21" s="26"/>
      <c r="BZ21" s="30"/>
      <c r="CA21" s="40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2"/>
      <c r="CP21" s="8"/>
      <c r="CQ21" s="34"/>
      <c r="CR21" s="26"/>
      <c r="CS21" s="26"/>
      <c r="CT21" s="26"/>
      <c r="CU21" s="30"/>
      <c r="CV21" s="40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2"/>
    </row>
    <row r="22" spans="1:114" x14ac:dyDescent="0.4">
      <c r="A22" s="13" t="str">
        <f t="shared" si="9"/>
        <v/>
      </c>
      <c r="B22" s="18" t="str">
        <f t="shared" si="6"/>
        <v/>
      </c>
      <c r="C22" s="18" t="str">
        <f t="shared" si="7"/>
        <v/>
      </c>
      <c r="D22" s="18" t="str">
        <f t="shared" si="8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8"/>
      <c r="V22" s="9"/>
      <c r="W22" s="9"/>
      <c r="X22" s="48"/>
      <c r="Y22" s="21" t="str">
        <f t="shared" si="5"/>
        <v/>
      </c>
      <c r="Z22" s="53" t="str">
        <f>IF($J22="","",ROUND(($J22-$J$3)/1000,1)+(_xlfn.RANK.AVG($J22,($J22,$O22,$T22,$Y22),1)-2.5)*10)</f>
        <v/>
      </c>
      <c r="AA22" s="54" t="str">
        <f>IF($O22="","",ROUND(($O22-$O$3)/1000,1)+(_xlfn.RANK.AVG($O22,($J22,$O22,$T22,$Y22),1)-2.5)*10)</f>
        <v/>
      </c>
      <c r="AB22" s="54" t="str">
        <f>IF($T22="","",ROUND(($T22-$T$3)/1000,1)+(_xlfn.RANK.AVG($T22,($J22,$O22,$T22,$Y22),1)-2.5)*10)</f>
        <v/>
      </c>
      <c r="AC22" s="55" t="str">
        <f>IF($Y22="","",ROUND(($Y22-$Y$3)/1000,1)+(_xlfn.RANK.AVG($Y22,($J22,$O22,$T22,$Y22),1)-2.5)*10)</f>
        <v/>
      </c>
      <c r="AE22" s="8"/>
      <c r="AF22" s="34"/>
      <c r="AG22" s="26"/>
      <c r="AH22" s="26"/>
      <c r="AI22" s="26"/>
      <c r="AJ22" s="30"/>
      <c r="AK22" s="40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2"/>
      <c r="AZ22" s="8"/>
      <c r="BA22" s="34"/>
      <c r="BB22" s="26"/>
      <c r="BC22" s="26"/>
      <c r="BD22" s="26"/>
      <c r="BE22" s="30"/>
      <c r="BF22" s="40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2"/>
      <c r="BU22" s="8"/>
      <c r="BV22" s="34"/>
      <c r="BW22" s="26"/>
      <c r="BX22" s="26"/>
      <c r="BY22" s="26"/>
      <c r="BZ22" s="30"/>
      <c r="CA22" s="40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2"/>
      <c r="CP22" s="8"/>
      <c r="CQ22" s="34"/>
      <c r="CR22" s="26"/>
      <c r="CS22" s="26"/>
      <c r="CT22" s="26"/>
      <c r="CU22" s="30"/>
      <c r="CV22" s="40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2"/>
    </row>
    <row r="23" spans="1:114" x14ac:dyDescent="0.4">
      <c r="A23" s="13" t="str">
        <f t="shared" si="9"/>
        <v/>
      </c>
      <c r="B23" s="18" t="str">
        <f t="shared" si="6"/>
        <v/>
      </c>
      <c r="C23" s="18" t="str">
        <f t="shared" si="7"/>
        <v/>
      </c>
      <c r="D23" s="18" t="str">
        <f t="shared" si="8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8"/>
      <c r="V23" s="9"/>
      <c r="W23" s="9"/>
      <c r="X23" s="48"/>
      <c r="Y23" s="21" t="str">
        <f t="shared" si="5"/>
        <v/>
      </c>
      <c r="Z23" s="53" t="str">
        <f>IF($J23="","",ROUND(($J23-$J$3)/1000,1)+(_xlfn.RANK.AVG($J23,($J23,$O23,$T23,$Y23),1)-2.5)*10)</f>
        <v/>
      </c>
      <c r="AA23" s="54" t="str">
        <f>IF($O23="","",ROUND(($O23-$O$3)/1000,1)+(_xlfn.RANK.AVG($O23,($J23,$O23,$T23,$Y23),1)-2.5)*10)</f>
        <v/>
      </c>
      <c r="AB23" s="54" t="str">
        <f>IF($T23="","",ROUND(($T23-$T$3)/1000,1)+(_xlfn.RANK.AVG($T23,($J23,$O23,$T23,$Y23),1)-2.5)*10)</f>
        <v/>
      </c>
      <c r="AC23" s="55" t="str">
        <f>IF($Y23="","",ROUND(($Y23-$Y$3)/1000,1)+(_xlfn.RANK.AVG($Y23,($J23,$O23,$T23,$Y23),1)-2.5)*10)</f>
        <v/>
      </c>
      <c r="AE23" s="8"/>
      <c r="AF23" s="34"/>
      <c r="AG23" s="26"/>
      <c r="AH23" s="26"/>
      <c r="AI23" s="26"/>
      <c r="AJ23" s="30"/>
      <c r="AK23" s="40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2"/>
      <c r="AZ23" s="8"/>
      <c r="BA23" s="34"/>
      <c r="BB23" s="26"/>
      <c r="BC23" s="26"/>
      <c r="BD23" s="26"/>
      <c r="BE23" s="30"/>
      <c r="BF23" s="40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2"/>
      <c r="BU23" s="8"/>
      <c r="BV23" s="34"/>
      <c r="BW23" s="26"/>
      <c r="BX23" s="26"/>
      <c r="BY23" s="26"/>
      <c r="BZ23" s="30"/>
      <c r="CA23" s="40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2"/>
      <c r="CP23" s="8"/>
      <c r="CQ23" s="34"/>
      <c r="CR23" s="26"/>
      <c r="CS23" s="26"/>
      <c r="CT23" s="26"/>
      <c r="CU23" s="30"/>
      <c r="CV23" s="40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2"/>
    </row>
    <row r="24" spans="1:114" x14ac:dyDescent="0.4">
      <c r="A24" s="13" t="str">
        <f t="shared" si="9"/>
        <v/>
      </c>
      <c r="B24" s="18" t="str">
        <f t="shared" si="6"/>
        <v/>
      </c>
      <c r="C24" s="18" t="str">
        <f t="shared" si="7"/>
        <v/>
      </c>
      <c r="D24" s="18" t="str">
        <f t="shared" si="8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8"/>
      <c r="V24" s="9"/>
      <c r="W24" s="9"/>
      <c r="X24" s="48"/>
      <c r="Y24" s="21" t="str">
        <f t="shared" si="5"/>
        <v/>
      </c>
      <c r="Z24" s="53" t="str">
        <f>IF($J24="","",ROUND(($J24-$J$3)/1000,1)+(_xlfn.RANK.AVG($J24,($J24,$O24,$T24,$Y24),1)-2.5)*10)</f>
        <v/>
      </c>
      <c r="AA24" s="54" t="str">
        <f>IF($O24="","",ROUND(($O24-$O$3)/1000,1)+(_xlfn.RANK.AVG($O24,($J24,$O24,$T24,$Y24),1)-2.5)*10)</f>
        <v/>
      </c>
      <c r="AB24" s="54" t="str">
        <f>IF($T24="","",ROUND(($T24-$T$3)/1000,1)+(_xlfn.RANK.AVG($T24,($J24,$O24,$T24,$Y24),1)-2.5)*10)</f>
        <v/>
      </c>
      <c r="AC24" s="55" t="str">
        <f>IF($Y24="","",ROUND(($Y24-$Y$3)/1000,1)+(_xlfn.RANK.AVG($Y24,($J24,$O24,$T24,$Y24),1)-2.5)*10)</f>
        <v/>
      </c>
      <c r="AE24" s="8"/>
      <c r="AF24" s="34"/>
      <c r="AG24" s="26"/>
      <c r="AH24" s="26"/>
      <c r="AI24" s="26"/>
      <c r="AJ24" s="30"/>
      <c r="AK24" s="40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2"/>
      <c r="AZ24" s="8"/>
      <c r="BA24" s="34"/>
      <c r="BB24" s="26"/>
      <c r="BC24" s="26"/>
      <c r="BD24" s="26"/>
      <c r="BE24" s="30"/>
      <c r="BF24" s="40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2"/>
      <c r="BU24" s="8"/>
      <c r="BV24" s="34"/>
      <c r="BW24" s="26"/>
      <c r="BX24" s="26"/>
      <c r="BY24" s="26"/>
      <c r="BZ24" s="30"/>
      <c r="CA24" s="40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2"/>
      <c r="CP24" s="8"/>
      <c r="CQ24" s="34"/>
      <c r="CR24" s="26"/>
      <c r="CS24" s="26"/>
      <c r="CT24" s="26"/>
      <c r="CU24" s="30"/>
      <c r="CV24" s="40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2"/>
    </row>
    <row r="25" spans="1:114" x14ac:dyDescent="0.4">
      <c r="A25" s="13" t="str">
        <f t="shared" si="9"/>
        <v/>
      </c>
      <c r="B25" s="18" t="str">
        <f t="shared" si="6"/>
        <v/>
      </c>
      <c r="C25" s="18" t="str">
        <f t="shared" si="7"/>
        <v/>
      </c>
      <c r="D25" s="18" t="str">
        <f t="shared" si="8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8"/>
      <c r="V25" s="9"/>
      <c r="W25" s="9"/>
      <c r="X25" s="48"/>
      <c r="Y25" s="21" t="str">
        <f t="shared" si="5"/>
        <v/>
      </c>
      <c r="Z25" s="53" t="str">
        <f>IF($J25="","",ROUND(($J25-$J$3)/1000,1)+(_xlfn.RANK.AVG($J25,($J25,$O25,$T25,$Y25),1)-2.5)*10)</f>
        <v/>
      </c>
      <c r="AA25" s="54" t="str">
        <f>IF($O25="","",ROUND(($O25-$O$3)/1000,1)+(_xlfn.RANK.AVG($O25,($J25,$O25,$T25,$Y25),1)-2.5)*10)</f>
        <v/>
      </c>
      <c r="AB25" s="54" t="str">
        <f>IF($T25="","",ROUND(($T25-$T$3)/1000,1)+(_xlfn.RANK.AVG($T25,($J25,$O25,$T25,$Y25),1)-2.5)*10)</f>
        <v/>
      </c>
      <c r="AC25" s="55" t="str">
        <f>IF($Y25="","",ROUND(($Y25-$Y$3)/1000,1)+(_xlfn.RANK.AVG($Y25,($J25,$O25,$T25,$Y25),1)-2.5)*10)</f>
        <v/>
      </c>
      <c r="AE25" s="8"/>
      <c r="AF25" s="34"/>
      <c r="AG25" s="26"/>
      <c r="AH25" s="26"/>
      <c r="AI25" s="26"/>
      <c r="AJ25" s="30"/>
      <c r="AK25" s="40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2"/>
      <c r="AZ25" s="8"/>
      <c r="BA25" s="34"/>
      <c r="BB25" s="26"/>
      <c r="BC25" s="26"/>
      <c r="BD25" s="26"/>
      <c r="BE25" s="30"/>
      <c r="BF25" s="40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2"/>
      <c r="BU25" s="8"/>
      <c r="BV25" s="34"/>
      <c r="BW25" s="26"/>
      <c r="BX25" s="26"/>
      <c r="BY25" s="26"/>
      <c r="BZ25" s="30"/>
      <c r="CA25" s="40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2"/>
      <c r="CP25" s="8"/>
      <c r="CQ25" s="34"/>
      <c r="CR25" s="26"/>
      <c r="CS25" s="26"/>
      <c r="CT25" s="26"/>
      <c r="CU25" s="30"/>
      <c r="CV25" s="40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2"/>
    </row>
    <row r="26" spans="1:114" x14ac:dyDescent="0.4">
      <c r="A26" s="13" t="str">
        <f t="shared" si="9"/>
        <v/>
      </c>
      <c r="B26" s="18" t="str">
        <f t="shared" si="6"/>
        <v/>
      </c>
      <c r="C26" s="18" t="str">
        <f t="shared" si="7"/>
        <v/>
      </c>
      <c r="D26" s="18" t="str">
        <f t="shared" si="8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8"/>
      <c r="V26" s="9"/>
      <c r="W26" s="9"/>
      <c r="X26" s="48"/>
      <c r="Y26" s="21" t="str">
        <f t="shared" si="5"/>
        <v/>
      </c>
      <c r="Z26" s="53" t="str">
        <f>IF($J26="","",ROUND(($J26-$J$3)/1000,1)+(_xlfn.RANK.AVG($J26,($J26,$O26,$T26,$Y26),1)-2.5)*10)</f>
        <v/>
      </c>
      <c r="AA26" s="54" t="str">
        <f>IF($O26="","",ROUND(($O26-$O$3)/1000,1)+(_xlfn.RANK.AVG($O26,($J26,$O26,$T26,$Y26),1)-2.5)*10)</f>
        <v/>
      </c>
      <c r="AB26" s="54" t="str">
        <f>IF($T26="","",ROUND(($T26-$T$3)/1000,1)+(_xlfn.RANK.AVG($T26,($J26,$O26,$T26,$Y26),1)-2.5)*10)</f>
        <v/>
      </c>
      <c r="AC26" s="55" t="str">
        <f>IF($Y26="","",ROUND(($Y26-$Y$3)/1000,1)+(_xlfn.RANK.AVG($Y26,($J26,$O26,$T26,$Y26),1)-2.5)*10)</f>
        <v/>
      </c>
      <c r="AE26" s="8"/>
      <c r="AF26" s="34"/>
      <c r="AG26" s="26"/>
      <c r="AH26" s="26"/>
      <c r="AI26" s="26"/>
      <c r="AJ26" s="30"/>
      <c r="AK26" s="40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2"/>
      <c r="AZ26" s="8"/>
      <c r="BA26" s="34"/>
      <c r="BB26" s="26"/>
      <c r="BC26" s="26"/>
      <c r="BD26" s="26"/>
      <c r="BE26" s="30"/>
      <c r="BF26" s="40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2"/>
      <c r="BU26" s="8"/>
      <c r="BV26" s="34"/>
      <c r="BW26" s="26"/>
      <c r="BX26" s="26"/>
      <c r="BY26" s="26"/>
      <c r="BZ26" s="30"/>
      <c r="CA26" s="40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2"/>
      <c r="CP26" s="8"/>
      <c r="CQ26" s="34"/>
      <c r="CR26" s="26"/>
      <c r="CS26" s="26"/>
      <c r="CT26" s="26"/>
      <c r="CU26" s="30"/>
      <c r="CV26" s="40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2"/>
    </row>
    <row r="27" spans="1:114" x14ac:dyDescent="0.4">
      <c r="A27" s="13" t="str">
        <f t="shared" si="9"/>
        <v/>
      </c>
      <c r="B27" s="18" t="str">
        <f t="shared" si="6"/>
        <v/>
      </c>
      <c r="C27" s="18" t="str">
        <f t="shared" si="7"/>
        <v/>
      </c>
      <c r="D27" s="18" t="str">
        <f t="shared" si="8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8"/>
      <c r="V27" s="9"/>
      <c r="W27" s="9"/>
      <c r="X27" s="48"/>
      <c r="Y27" s="21" t="str">
        <f t="shared" si="5"/>
        <v/>
      </c>
      <c r="Z27" s="53" t="str">
        <f>IF($J27="","",ROUND(($J27-$J$3)/1000,1)+(_xlfn.RANK.AVG($J27,($J27,$O27,$T27,$Y27),1)-2.5)*10)</f>
        <v/>
      </c>
      <c r="AA27" s="54" t="str">
        <f>IF($O27="","",ROUND(($O27-$O$3)/1000,1)+(_xlfn.RANK.AVG($O27,($J27,$O27,$T27,$Y27),1)-2.5)*10)</f>
        <v/>
      </c>
      <c r="AB27" s="54" t="str">
        <f>IF($T27="","",ROUND(($T27-$T$3)/1000,1)+(_xlfn.RANK.AVG($T27,($J27,$O27,$T27,$Y27),1)-2.5)*10)</f>
        <v/>
      </c>
      <c r="AC27" s="55" t="str">
        <f>IF($Y27="","",ROUND(($Y27-$Y$3)/1000,1)+(_xlfn.RANK.AVG($Y27,($J27,$O27,$T27,$Y27),1)-2.5)*10)</f>
        <v/>
      </c>
      <c r="AE27" s="8"/>
      <c r="AF27" s="34"/>
      <c r="AG27" s="26"/>
      <c r="AH27" s="26"/>
      <c r="AI27" s="26"/>
      <c r="AJ27" s="30"/>
      <c r="AK27" s="40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2"/>
      <c r="AZ27" s="8"/>
      <c r="BA27" s="34"/>
      <c r="BB27" s="26"/>
      <c r="BC27" s="26"/>
      <c r="BD27" s="26"/>
      <c r="BE27" s="30"/>
      <c r="BF27" s="40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2"/>
      <c r="BU27" s="8"/>
      <c r="BV27" s="34"/>
      <c r="BW27" s="26"/>
      <c r="BX27" s="26"/>
      <c r="BY27" s="26"/>
      <c r="BZ27" s="30"/>
      <c r="CA27" s="40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2"/>
      <c r="CP27" s="8"/>
      <c r="CQ27" s="34"/>
      <c r="CR27" s="26"/>
      <c r="CS27" s="26"/>
      <c r="CT27" s="26"/>
      <c r="CU27" s="30"/>
      <c r="CV27" s="40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2"/>
    </row>
    <row r="28" spans="1:114" x14ac:dyDescent="0.4">
      <c r="A28" s="13" t="str">
        <f t="shared" si="9"/>
        <v/>
      </c>
      <c r="B28" s="18" t="str">
        <f t="shared" si="6"/>
        <v/>
      </c>
      <c r="C28" s="18" t="str">
        <f t="shared" si="7"/>
        <v/>
      </c>
      <c r="D28" s="18" t="str">
        <f t="shared" si="8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8"/>
      <c r="V28" s="9"/>
      <c r="W28" s="9"/>
      <c r="X28" s="48"/>
      <c r="Y28" s="21" t="str">
        <f t="shared" si="5"/>
        <v/>
      </c>
      <c r="Z28" s="53" t="str">
        <f>IF($J28="","",ROUND(($J28-$J$3)/1000,1)+(_xlfn.RANK.AVG($J28,($J28,$O28,$T28,$Y28),1)-2.5)*10)</f>
        <v/>
      </c>
      <c r="AA28" s="54" t="str">
        <f>IF($O28="","",ROUND(($O28-$O$3)/1000,1)+(_xlfn.RANK.AVG($O28,($J28,$O28,$T28,$Y28),1)-2.5)*10)</f>
        <v/>
      </c>
      <c r="AB28" s="54" t="str">
        <f>IF($T28="","",ROUND(($T28-$T$3)/1000,1)+(_xlfn.RANK.AVG($T28,($J28,$O28,$T28,$Y28),1)-2.5)*10)</f>
        <v/>
      </c>
      <c r="AC28" s="55" t="str">
        <f>IF($Y28="","",ROUND(($Y28-$Y$3)/1000,1)+(_xlfn.RANK.AVG($Y28,($J28,$O28,$T28,$Y28),1)-2.5)*10)</f>
        <v/>
      </c>
      <c r="AE28" s="8"/>
      <c r="AF28" s="34"/>
      <c r="AG28" s="26"/>
      <c r="AH28" s="26"/>
      <c r="AI28" s="26"/>
      <c r="AJ28" s="30"/>
      <c r="AK28" s="40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2"/>
      <c r="AZ28" s="8"/>
      <c r="BA28" s="34"/>
      <c r="BB28" s="26"/>
      <c r="BC28" s="26"/>
      <c r="BD28" s="26"/>
      <c r="BE28" s="30"/>
      <c r="BF28" s="40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2"/>
      <c r="BU28" s="8"/>
      <c r="BV28" s="34"/>
      <c r="BW28" s="26"/>
      <c r="BX28" s="26"/>
      <c r="BY28" s="26"/>
      <c r="BZ28" s="30"/>
      <c r="CA28" s="40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2"/>
      <c r="CP28" s="8"/>
      <c r="CQ28" s="34"/>
      <c r="CR28" s="26"/>
      <c r="CS28" s="26"/>
      <c r="CT28" s="26"/>
      <c r="CU28" s="30"/>
      <c r="CV28" s="40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2"/>
    </row>
    <row r="29" spans="1:114" x14ac:dyDescent="0.4">
      <c r="A29" s="13" t="str">
        <f t="shared" si="9"/>
        <v/>
      </c>
      <c r="B29" s="18" t="str">
        <f t="shared" si="6"/>
        <v/>
      </c>
      <c r="C29" s="18" t="str">
        <f t="shared" si="7"/>
        <v/>
      </c>
      <c r="D29" s="18" t="str">
        <f t="shared" si="8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8"/>
      <c r="V29" s="9"/>
      <c r="W29" s="9"/>
      <c r="X29" s="48"/>
      <c r="Y29" s="21" t="str">
        <f t="shared" si="5"/>
        <v/>
      </c>
      <c r="Z29" s="53" t="str">
        <f>IF($J29="","",ROUND(($J29-$J$3)/1000,1)+(_xlfn.RANK.AVG($J29,($J29,$O29,$T29,$Y29),1)-2.5)*10)</f>
        <v/>
      </c>
      <c r="AA29" s="54" t="str">
        <f>IF($O29="","",ROUND(($O29-$O$3)/1000,1)+(_xlfn.RANK.AVG($O29,($J29,$O29,$T29,$Y29),1)-2.5)*10)</f>
        <v/>
      </c>
      <c r="AB29" s="54" t="str">
        <f>IF($T29="","",ROUND(($T29-$T$3)/1000,1)+(_xlfn.RANK.AVG($T29,($J29,$O29,$T29,$Y29),1)-2.5)*10)</f>
        <v/>
      </c>
      <c r="AC29" s="55" t="str">
        <f>IF($Y29="","",ROUND(($Y29-$Y$3)/1000,1)+(_xlfn.RANK.AVG($Y29,($J29,$O29,$T29,$Y29),1)-2.5)*10)</f>
        <v/>
      </c>
      <c r="AE29" s="8"/>
      <c r="AF29" s="34"/>
      <c r="AG29" s="26"/>
      <c r="AH29" s="26"/>
      <c r="AI29" s="26"/>
      <c r="AJ29" s="30"/>
      <c r="AK29" s="40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2"/>
      <c r="AZ29" s="8"/>
      <c r="BA29" s="34"/>
      <c r="BB29" s="26"/>
      <c r="BC29" s="26"/>
      <c r="BD29" s="26"/>
      <c r="BE29" s="30"/>
      <c r="BF29" s="40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2"/>
      <c r="BU29" s="8"/>
      <c r="BV29" s="34"/>
      <c r="BW29" s="26"/>
      <c r="BX29" s="26"/>
      <c r="BY29" s="26"/>
      <c r="BZ29" s="30"/>
      <c r="CA29" s="40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2"/>
      <c r="CP29" s="8"/>
      <c r="CQ29" s="34"/>
      <c r="CR29" s="26"/>
      <c r="CS29" s="26"/>
      <c r="CT29" s="26"/>
      <c r="CU29" s="30"/>
      <c r="CV29" s="40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2"/>
    </row>
    <row r="30" spans="1:114" x14ac:dyDescent="0.4">
      <c r="A30" s="14" t="str">
        <f t="shared" si="9"/>
        <v/>
      </c>
      <c r="B30" s="19" t="str">
        <f t="shared" si="6"/>
        <v/>
      </c>
      <c r="C30" s="19" t="str">
        <f t="shared" si="7"/>
        <v/>
      </c>
      <c r="D30" s="19" t="str">
        <f t="shared" si="8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10"/>
      <c r="V30" s="11"/>
      <c r="W30" s="11"/>
      <c r="X30" s="49"/>
      <c r="Y30" s="22" t="str">
        <f t="shared" si="5"/>
        <v/>
      </c>
      <c r="Z30" s="56" t="str">
        <f>IF($J30="","",ROUND(($J30-$J$3)/1000,1)+(_xlfn.RANK.AVG($J30,($J30,$O30,$T30,$Y30),1)-2.5)*10)</f>
        <v/>
      </c>
      <c r="AA30" s="57" t="str">
        <f>IF($O30="","",ROUND(($O30-$O$3)/1000,1)+(_xlfn.RANK.AVG($O30,($J30,$O30,$T30,$Y30),1)-2.5)*10)</f>
        <v/>
      </c>
      <c r="AB30" s="57" t="str">
        <f>IF($T30="","",ROUND(($T30-$T$3)/1000,1)+(_xlfn.RANK.AVG($T30,($J30,$O30,$T30,$Y30),1)-2.5)*10)</f>
        <v/>
      </c>
      <c r="AC30" s="58" t="str">
        <f>IF($Y30="","",ROUND(($Y30-$Y$3)/1000,1)+(_xlfn.RANK.AVG($Y30,($J30,$O30,$T30,$Y30),1)-2.5)*10)</f>
        <v/>
      </c>
      <c r="AE30" s="10"/>
      <c r="AF30" s="35"/>
      <c r="AG30" s="27"/>
      <c r="AH30" s="27"/>
      <c r="AI30" s="27"/>
      <c r="AJ30" s="31"/>
      <c r="AK30" s="43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5"/>
      <c r="AZ30" s="10"/>
      <c r="BA30" s="35"/>
      <c r="BB30" s="27"/>
      <c r="BC30" s="27"/>
      <c r="BD30" s="27"/>
      <c r="BE30" s="31"/>
      <c r="BF30" s="43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5"/>
      <c r="BU30" s="10"/>
      <c r="BV30" s="35"/>
      <c r="BW30" s="27"/>
      <c r="BX30" s="27"/>
      <c r="BY30" s="27"/>
      <c r="BZ30" s="31"/>
      <c r="CA30" s="43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5"/>
      <c r="CP30" s="10"/>
      <c r="CQ30" s="35"/>
      <c r="CR30" s="27"/>
      <c r="CS30" s="27"/>
      <c r="CT30" s="27"/>
      <c r="CU30" s="31"/>
      <c r="CV30" s="43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190</v>
      </c>
      <c r="B54" s="36" t="s">
        <v>191</v>
      </c>
      <c r="C54" s="15" t="s">
        <v>192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2100</v>
      </c>
      <c r="E3" s="32">
        <v>3900</v>
      </c>
      <c r="F3" s="32">
        <v>7800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4800</v>
      </c>
      <c r="F4" s="32">
        <v>9600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1500</v>
      </c>
      <c r="D5" s="32">
        <v>3000</v>
      </c>
      <c r="E5" s="32">
        <v>6000</v>
      </c>
      <c r="F5" s="32">
        <v>11700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2100</v>
      </c>
      <c r="D6" s="32">
        <v>3900</v>
      </c>
      <c r="E6" s="32">
        <v>7800</v>
      </c>
      <c r="F6" s="32">
        <v>12000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2400</v>
      </c>
      <c r="D7" s="32">
        <v>4800</v>
      </c>
      <c r="E7" s="32">
        <v>9600</v>
      </c>
      <c r="F7" s="32">
        <v>12000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3000</v>
      </c>
      <c r="D8" s="32">
        <v>6000</v>
      </c>
      <c r="E8" s="32">
        <v>11700</v>
      </c>
      <c r="F8" s="32">
        <v>12000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3600</v>
      </c>
      <c r="D9" s="32">
        <v>6900</v>
      </c>
      <c r="E9" s="32">
        <v>12000</v>
      </c>
      <c r="F9" s="32">
        <v>12000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3900</v>
      </c>
      <c r="D10" s="32">
        <v>7800</v>
      </c>
      <c r="E10" s="32">
        <v>12000</v>
      </c>
      <c r="F10" s="32">
        <v>12000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4500</v>
      </c>
      <c r="D11" s="32">
        <v>8700</v>
      </c>
      <c r="E11" s="32">
        <v>12000</v>
      </c>
      <c r="F11" s="32">
        <v>12000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4800</v>
      </c>
      <c r="D12" s="32">
        <v>9600</v>
      </c>
      <c r="E12" s="32">
        <v>12000</v>
      </c>
      <c r="F12" s="32">
        <v>12000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10800</v>
      </c>
      <c r="E13" s="32">
        <v>12000</v>
      </c>
      <c r="F13" s="32">
        <v>12000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1500</v>
      </c>
      <c r="E3" s="32">
        <v>2700</v>
      </c>
      <c r="F3" s="32">
        <v>5200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3200</v>
      </c>
      <c r="F4" s="32">
        <v>6400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1100</v>
      </c>
      <c r="D5" s="32">
        <v>2000</v>
      </c>
      <c r="E5" s="32">
        <v>4000</v>
      </c>
      <c r="F5" s="32">
        <v>7900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1500</v>
      </c>
      <c r="D6" s="32">
        <v>2700</v>
      </c>
      <c r="E6" s="32">
        <v>5200</v>
      </c>
      <c r="F6" s="32">
        <v>8000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1600</v>
      </c>
      <c r="D7" s="32">
        <v>3200</v>
      </c>
      <c r="E7" s="32">
        <v>6400</v>
      </c>
      <c r="F7" s="32">
        <v>8000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2000</v>
      </c>
      <c r="D8" s="32">
        <v>4000</v>
      </c>
      <c r="E8" s="32">
        <v>7900</v>
      </c>
      <c r="F8" s="32">
        <v>8000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2400</v>
      </c>
      <c r="D9" s="32">
        <v>4700</v>
      </c>
      <c r="E9" s="32">
        <v>8000</v>
      </c>
      <c r="F9" s="32">
        <v>8000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2700</v>
      </c>
      <c r="D10" s="32">
        <v>5200</v>
      </c>
      <c r="E10" s="32">
        <v>8000</v>
      </c>
      <c r="F10" s="32">
        <v>8000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3100</v>
      </c>
      <c r="D11" s="32">
        <v>5900</v>
      </c>
      <c r="E11" s="32">
        <v>8000</v>
      </c>
      <c r="F11" s="32">
        <v>8000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3200</v>
      </c>
      <c r="D12" s="32">
        <v>6400</v>
      </c>
      <c r="E12" s="32">
        <v>8000</v>
      </c>
      <c r="F12" s="32">
        <v>8000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7200</v>
      </c>
      <c r="E13" s="32">
        <v>8000</v>
      </c>
      <c r="F13" s="32">
        <v>8000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-2000</v>
      </c>
      <c r="H2" s="32">
        <v>-3000</v>
      </c>
      <c r="I2" s="32">
        <v>-4000</v>
      </c>
      <c r="J2" s="32">
        <v>-6000</v>
      </c>
      <c r="K2" s="32">
        <v>-8000</v>
      </c>
      <c r="L2" s="32">
        <v>-16000</v>
      </c>
      <c r="M2" s="32">
        <v>-24000</v>
      </c>
    </row>
    <row r="3" spans="1:13" x14ac:dyDescent="0.4">
      <c r="A3" s="15">
        <v>20</v>
      </c>
      <c r="C3" s="32" t="s">
        <v>10</v>
      </c>
      <c r="D3" s="32">
        <v>-400</v>
      </c>
      <c r="E3" s="32">
        <v>-700</v>
      </c>
      <c r="F3" s="32">
        <v>-1300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-800</v>
      </c>
      <c r="F4" s="32">
        <v>-1600</v>
      </c>
      <c r="M4" s="32" t="s">
        <v>10</v>
      </c>
    </row>
    <row r="5" spans="1:13" x14ac:dyDescent="0.4">
      <c r="A5" s="15">
        <v>30</v>
      </c>
      <c r="C5" s="32">
        <v>-300</v>
      </c>
      <c r="D5" s="32">
        <v>-500</v>
      </c>
      <c r="E5" s="32">
        <v>-1000</v>
      </c>
      <c r="F5" s="32">
        <v>-2000</v>
      </c>
      <c r="M5" s="32" t="s">
        <v>10</v>
      </c>
    </row>
    <row r="6" spans="1:13" x14ac:dyDescent="0.4">
      <c r="A6" s="15">
        <v>40</v>
      </c>
      <c r="C6" s="32">
        <v>-400</v>
      </c>
      <c r="D6" s="32">
        <v>-700</v>
      </c>
      <c r="E6" s="32">
        <v>-1300</v>
      </c>
      <c r="F6" s="32">
        <v>-2000</v>
      </c>
      <c r="M6" s="32" t="s">
        <v>10</v>
      </c>
    </row>
    <row r="7" spans="1:13" x14ac:dyDescent="0.4">
      <c r="A7" s="15">
        <v>50</v>
      </c>
      <c r="C7" s="32">
        <v>-400</v>
      </c>
      <c r="D7" s="32">
        <v>-800</v>
      </c>
      <c r="E7" s="32">
        <v>-1600</v>
      </c>
      <c r="F7" s="32">
        <v>-2000</v>
      </c>
      <c r="M7" s="32" t="s">
        <v>10</v>
      </c>
    </row>
    <row r="8" spans="1:13" x14ac:dyDescent="0.4">
      <c r="A8" s="15">
        <v>60</v>
      </c>
      <c r="C8" s="32">
        <v>-500</v>
      </c>
      <c r="D8" s="32">
        <v>-1000</v>
      </c>
      <c r="E8" s="32">
        <v>-2000</v>
      </c>
      <c r="F8" s="32">
        <v>-2000</v>
      </c>
      <c r="M8" s="32" t="s">
        <v>10</v>
      </c>
    </row>
    <row r="9" spans="1:13" x14ac:dyDescent="0.4">
      <c r="A9" s="15">
        <v>70</v>
      </c>
      <c r="C9" s="32">
        <v>-600</v>
      </c>
      <c r="D9" s="32">
        <v>-1200</v>
      </c>
      <c r="E9" s="32">
        <v>-2000</v>
      </c>
      <c r="F9" s="32">
        <v>-2000</v>
      </c>
      <c r="M9" s="32" t="s">
        <v>10</v>
      </c>
    </row>
    <row r="10" spans="1:13" x14ac:dyDescent="0.4">
      <c r="A10" s="15">
        <v>80</v>
      </c>
      <c r="C10" s="32">
        <v>-700</v>
      </c>
      <c r="D10" s="32">
        <v>-1300</v>
      </c>
      <c r="E10" s="32">
        <v>-2000</v>
      </c>
      <c r="F10" s="32">
        <v>-2000</v>
      </c>
      <c r="M10" s="32" t="s">
        <v>10</v>
      </c>
    </row>
    <row r="11" spans="1:13" x14ac:dyDescent="0.4">
      <c r="A11" s="15">
        <v>90</v>
      </c>
      <c r="C11" s="32">
        <v>-800</v>
      </c>
      <c r="D11" s="32">
        <v>-1500</v>
      </c>
      <c r="E11" s="32">
        <v>-2000</v>
      </c>
      <c r="F11" s="32">
        <v>-2000</v>
      </c>
      <c r="M11" s="32" t="s">
        <v>10</v>
      </c>
    </row>
    <row r="12" spans="1:13" x14ac:dyDescent="0.4">
      <c r="A12" s="15">
        <v>100</v>
      </c>
      <c r="C12" s="32">
        <v>-800</v>
      </c>
      <c r="D12" s="32">
        <v>-1600</v>
      </c>
      <c r="E12" s="32">
        <v>-2000</v>
      </c>
      <c r="F12" s="32">
        <v>-2000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-1800</v>
      </c>
      <c r="E13" s="32">
        <v>-2000</v>
      </c>
      <c r="F13" s="32">
        <v>-2000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2019-07-25T03:52:32Z</dcterms:modified>
</cp:coreProperties>
</file>