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-club\四人麻雀\"/>
    </mc:Choice>
  </mc:AlternateContent>
  <xr:revisionPtr revIDLastSave="0" documentId="13_ncr:1_{B8C8EC73-D7EE-4DB4-A383-F33CD2BC5EE8}" xr6:coauthVersionLast="41" xr6:coauthVersionMax="41" xr10:uidLastSave="{00000000-0000-0000-0000-000000000000}"/>
  <bookViews>
    <workbookView xWindow="-120" yWindow="-120" windowWidth="29040" windowHeight="15990" xr2:uid="{4CDB34E1-560F-4998-ABAB-D6F7F2862621}"/>
  </bookViews>
  <sheets>
    <sheet name="Sheet1" sheetId="27" r:id="rId1"/>
    <sheet name="役一覧" sheetId="15" state="hidden" r:id="rId2"/>
    <sheet name="点数表(親ロン)" sheetId="20" state="hidden" r:id="rId3"/>
    <sheet name="点数表(親ツモ)" sheetId="21" state="hidden" r:id="rId4"/>
    <sheet name="点数表(子→親)" sheetId="22" state="hidden" r:id="rId5"/>
    <sheet name="点数表(子ロン)" sheetId="23" state="hidden" r:id="rId6"/>
    <sheet name="点数表(子ツモ)" sheetId="24" state="hidden" r:id="rId7"/>
    <sheet name="点数表(子→子)" sheetId="25" state="hidden" r:id="rId8"/>
    <sheet name="点数表(親→子)" sheetId="2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C3" i="27" l="1"/>
  <c r="AB3" i="27"/>
  <c r="AA3" i="27"/>
  <c r="Z3" i="27"/>
  <c r="CP1" i="27" l="1"/>
  <c r="BU1" i="27"/>
  <c r="AZ1" i="27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/>
  <c r="Y14" i="27"/>
  <c r="AC14" i="27" s="1"/>
  <c r="T14" i="27"/>
  <c r="AB14" i="27" s="1"/>
  <c r="O14" i="27"/>
  <c r="AA14" i="27" s="1"/>
  <c r="J14" i="27"/>
  <c r="Z14" i="27" s="1"/>
  <c r="D14" i="27"/>
  <c r="C14" i="27"/>
  <c r="B14" i="27"/>
  <c r="A14" i="27"/>
  <c r="Y13" i="27"/>
  <c r="AC13" i="27" s="1"/>
  <c r="T13" i="27"/>
  <c r="AB13" i="27" s="1"/>
  <c r="O13" i="27"/>
  <c r="AA13" i="27" s="1"/>
  <c r="J13" i="27"/>
  <c r="Z13" i="27" s="1"/>
  <c r="D13" i="27"/>
  <c r="C13" i="27"/>
  <c r="B13" i="27"/>
  <c r="A13" i="27"/>
  <c r="Y12" i="27"/>
  <c r="AC12" i="27" s="1"/>
  <c r="T12" i="27"/>
  <c r="AB12" i="27" s="1"/>
  <c r="O12" i="27"/>
  <c r="AA12" i="27" s="1"/>
  <c r="J12" i="27"/>
  <c r="Z12" i="27" s="1"/>
  <c r="D12" i="27"/>
  <c r="C12" i="27"/>
  <c r="B12" i="27"/>
  <c r="A12" i="27"/>
  <c r="Y11" i="27"/>
  <c r="AC11" i="27" s="1"/>
  <c r="T11" i="27"/>
  <c r="AB11" i="27" s="1"/>
  <c r="O11" i="27"/>
  <c r="AA11" i="27" s="1"/>
  <c r="J11" i="27"/>
  <c r="Z11" i="27" s="1"/>
  <c r="D11" i="27"/>
  <c r="C11" i="27"/>
  <c r="B11" i="27"/>
  <c r="A11" i="27"/>
  <c r="Y10" i="27"/>
  <c r="AC10" i="27" s="1"/>
  <c r="T10" i="27"/>
  <c r="AB10" i="27" s="1"/>
  <c r="O10" i="27"/>
  <c r="AA10" i="27" s="1"/>
  <c r="J10" i="27"/>
  <c r="Z10" i="27" s="1"/>
  <c r="D10" i="27"/>
  <c r="C10" i="27"/>
  <c r="B10" i="27"/>
  <c r="A10" i="27"/>
  <c r="Y9" i="27"/>
  <c r="AC9" i="27" s="1"/>
  <c r="T9" i="27"/>
  <c r="AB9" i="27" s="1"/>
  <c r="O9" i="27"/>
  <c r="AA9" i="27" s="1"/>
  <c r="J9" i="27"/>
  <c r="Z9" i="27" s="1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Y5" i="27" s="1"/>
  <c r="Y6" i="27" s="1"/>
  <c r="Y7" i="27" s="1"/>
  <c r="Y8" i="27" s="1"/>
  <c r="T4" i="27"/>
  <c r="T5" i="27" s="1"/>
  <c r="T6" i="27" s="1"/>
  <c r="T7" i="27" s="1"/>
  <c r="T8" i="27" s="1"/>
  <c r="O4" i="27"/>
  <c r="O5" i="27" s="1"/>
  <c r="O6" i="27" s="1"/>
  <c r="O7" i="27" s="1"/>
  <c r="O8" i="27" s="1"/>
  <c r="J4" i="27"/>
  <c r="AC2" i="27"/>
  <c r="AB2" i="27"/>
  <c r="AA2" i="27"/>
  <c r="Z2" i="27"/>
  <c r="Z8" i="27" l="1"/>
  <c r="AA8" i="27"/>
  <c r="AB8" i="27"/>
  <c r="AC8" i="27"/>
  <c r="AA7" i="27"/>
  <c r="AB7" i="27"/>
  <c r="Z7" i="27"/>
  <c r="AC7" i="27"/>
  <c r="Z6" i="27"/>
  <c r="AC6" i="27"/>
  <c r="AA6" i="27"/>
  <c r="AB6" i="27"/>
  <c r="Z5" i="27"/>
  <c r="AA5" i="27"/>
  <c r="AC5" i="27"/>
  <c r="AB5" i="27"/>
  <c r="AA4" i="27"/>
  <c r="Z4" i="27"/>
  <c r="AB4" i="27"/>
  <c r="AC4" i="27"/>
</calcChain>
</file>

<file path=xl/sharedStrings.xml><?xml version="1.0" encoding="utf-8"?>
<sst xmlns="http://schemas.openxmlformats.org/spreadsheetml/2006/main" count="542" uniqueCount="191">
  <si>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</si>
  <si>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</si>
  <si>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</si>
  <si>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</si>
  <si>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</si>
  <si>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</si>
  <si>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</si>
  <si>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</si>
  <si>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</si>
  <si>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</si>
  <si>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</si>
  <si>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</si>
  <si>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</si>
  <si>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</si>
  <si>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</si>
  <si>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</si>
  <si>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</si>
  <si>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</si>
  <si>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</si>
  <si>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</si>
  <si>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</si>
  <si>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</si>
  <si>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</si>
  <si>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</si>
  <si>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</si>
  <si>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</si>
  <si>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</si>
  <si>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</si>
  <si>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</si>
  <si>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</si>
  <si>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</si>
  <si>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</si>
  <si>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</si>
  <si>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</si>
  <si>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</si>
  <si>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</si>
  <si>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</si>
  <si>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</si>
  <si>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</si>
  <si>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</si>
  <si>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</si>
  <si>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</si>
  <si>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</si>
  <si>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</si>
  <si>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</si>
  <si>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</si>
  <si>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</si>
  <si>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</si>
  <si>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</si>
  <si>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</si>
  <si>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</si>
  <si>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</si>
  <si>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</si>
  <si>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</si>
  <si>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</si>
  <si>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</si>
  <si>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</si>
  <si>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</si>
  <si>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</si>
  <si>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</si>
  <si>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</si>
  <si>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</si>
  <si>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</si>
  <si>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</si>
  <si>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</si>
  <si>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</si>
  <si>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</si>
  <si>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</si>
  <si>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</si>
  <si>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</si>
  <si>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</si>
  <si>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</si>
  <si>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</si>
  <si>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</si>
  <si>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</si>
  <si>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</si>
  <si>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</si>
  <si>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</si>
  <si>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</si>
  <si>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</si>
  <si>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</si>
  <si>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</si>
  <si>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</si>
  <si>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</si>
  <si>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</si>
  <si>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</si>
  <si>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</si>
  <si>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</si>
  <si>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</si>
  <si>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</si>
  <si>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</si>
  <si>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</si>
  <si>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</si>
  <si>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</si>
  <si>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</si>
  <si>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</si>
  <si>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</si>
  <si>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</si>
  <si>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</si>
  <si>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</si>
  <si>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</si>
  <si>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</si>
  <si>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</si>
  <si>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</si>
  <si>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</si>
  <si>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</si>
  <si>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</si>
  <si>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</si>
  <si>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</si>
  <si>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</si>
  <si>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</si>
  <si>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</si>
  <si>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</si>
  <si>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</si>
  <si>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</si>
  <si>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</si>
  <si>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</si>
  <si>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</si>
  <si>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</si>
  <si>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</si>
  <si>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</si>
  <si>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</si>
  <si>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</si>
  <si>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</si>
  <si>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</si>
  <si>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</si>
  <si>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</si>
  <si>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</si>
  <si>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</si>
  <si>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</si>
  <si>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</si>
  <si>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</si>
  <si>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</si>
  <si>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</si>
  <si>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</si>
  <si>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</si>
  <si>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</si>
  <si>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</si>
  <si>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</si>
  <si>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</si>
  <si>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</si>
  <si>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</si>
  <si>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</si>
  <si>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</si>
  <si>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</si>
  <si>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</si>
  <si>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</si>
  <si>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</si>
  <si>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</si>
  <si>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</si>
  <si>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</si>
  <si>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</si>
  <si>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</si>
  <si>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</si>
  <si>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</si>
  <si>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</si>
  <si>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</si>
  <si>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</si>
  <si>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</si>
  <si>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</si>
  <si>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</si>
  <si>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</si>
  <si>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</si>
  <si>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</si>
  <si>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</si>
  <si>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</si>
  <si>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</si>
  <si>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</si>
  <si>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</si>
  <si>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</si>
  <si>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</si>
  <si>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</si>
  <si>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</si>
  <si>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</si>
  <si>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</si>
  <si>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</si>
  <si>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</si>
  <si>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</si>
  <si>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</si>
  <si>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</si>
  <si>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</si>
  <si>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</si>
  <si>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</si>
  <si>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</si>
  <si>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Player2</t>
    <phoneticPr fontId="1"/>
  </si>
  <si>
    <t>Player1</t>
    <phoneticPr fontId="1"/>
  </si>
  <si>
    <t>53</t>
    <phoneticPr fontId="1"/>
  </si>
  <si>
    <t>十三不塔</t>
    <rPh sb="0" eb="4">
      <t>シー</t>
    </rPh>
    <phoneticPr fontId="1"/>
  </si>
  <si>
    <t>Player3</t>
    <phoneticPr fontId="1"/>
  </si>
  <si>
    <t>Player4</t>
    <phoneticPr fontId="1"/>
  </si>
  <si>
    <t>o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</si>
</sst>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3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zoomScaleNormal="100" workbookViewId="0">
      <selection sqref="A1:A2"/>
    </sheetView>
  </sheetViews>
  <sheetFormatPr defaultColWidth="3.5" defaultRowHeight="18.75" x14ac:dyDescent="0.4"/>
  <cols>
    <col min="1" max="4" width="5.25" style="24" customWidth="1"/>
    <col min="5" max="29" width="9" style="24" customWidth="1"/>
    <col min="30" max="30" width="3.5" style="24"/>
    <col min="31" max="114" width="3.5" style="25"/>
    <col min="115" max="16384" width="3.5" style="24"/>
  </cols>
  <sheetData>
    <row r="1" spans="1:114" x14ac:dyDescent="0.4">
      <c r="A1" s="69" t="s">
        <v>0</v>
      </c>
      <c r="B1" s="71" t="s">
        <v>2</v>
      </c>
      <c r="C1" s="71" t="s">
        <v>1</v>
      </c>
      <c r="D1" s="71" t="s">
        <v>21</v>
      </c>
      <c r="E1" s="73" t="s">
        <v>3</v>
      </c>
      <c r="F1" s="65" t="s">
        <v>185</v>
      </c>
      <c r="G1" s="66"/>
      <c r="H1" s="66"/>
      <c r="I1" s="67"/>
      <c r="J1" s="68"/>
      <c r="K1" s="65" t="s">
        <v>184</v>
      </c>
      <c r="L1" s="66"/>
      <c r="M1" s="66"/>
      <c r="N1" s="67"/>
      <c r="O1" s="68"/>
      <c r="P1" s="65" t="s">
        <v>188</v>
      </c>
      <c r="Q1" s="66"/>
      <c r="R1" s="66"/>
      <c r="S1" s="67"/>
      <c r="T1" s="68"/>
      <c r="U1" s="65" t="s">
        <v>189</v>
      </c>
      <c r="V1" s="66"/>
      <c r="W1" s="66"/>
      <c r="X1" s="67"/>
      <c r="Y1" s="68"/>
      <c r="Z1" s="65" t="s">
        <v>6</v>
      </c>
      <c r="AA1" s="75"/>
      <c r="AB1" s="66"/>
      <c r="AC1" s="68"/>
      <c r="AE1" s="65" t="str">
        <f t="shared" ref="AE1:AY1" si="0">$F$1</f>
        <v>Player1</v>
      </c>
      <c r="AF1" s="75" t="str">
        <f t="shared" si="0"/>
        <v>Player1</v>
      </c>
      <c r="AG1" s="66" t="str">
        <f t="shared" si="0"/>
        <v>Player1</v>
      </c>
      <c r="AH1" s="66" t="str">
        <f t="shared" si="0"/>
        <v>Player1</v>
      </c>
      <c r="AI1" s="66" t="str">
        <f t="shared" si="0"/>
        <v>Player1</v>
      </c>
      <c r="AJ1" s="66" t="str">
        <f t="shared" si="0"/>
        <v>Player1</v>
      </c>
      <c r="AK1" s="66" t="str">
        <f t="shared" si="0"/>
        <v>Player1</v>
      </c>
      <c r="AL1" s="66" t="str">
        <f t="shared" si="0"/>
        <v>Player1</v>
      </c>
      <c r="AM1" s="66" t="str">
        <f t="shared" si="0"/>
        <v>Player1</v>
      </c>
      <c r="AN1" s="66" t="str">
        <f t="shared" si="0"/>
        <v>Player1</v>
      </c>
      <c r="AO1" s="66" t="str">
        <f t="shared" si="0"/>
        <v>Player1</v>
      </c>
      <c r="AP1" s="66" t="str">
        <f t="shared" si="0"/>
        <v>Player1</v>
      </c>
      <c r="AQ1" s="66" t="str">
        <f t="shared" si="0"/>
        <v>Player1</v>
      </c>
      <c r="AR1" s="66" t="str">
        <f t="shared" si="0"/>
        <v>Player1</v>
      </c>
      <c r="AS1" s="66" t="str">
        <f t="shared" si="0"/>
        <v>Player1</v>
      </c>
      <c r="AT1" s="66" t="str">
        <f t="shared" si="0"/>
        <v>Player1</v>
      </c>
      <c r="AU1" s="66" t="str">
        <f t="shared" si="0"/>
        <v>Player1</v>
      </c>
      <c r="AV1" s="66" t="str">
        <f t="shared" si="0"/>
        <v>Player1</v>
      </c>
      <c r="AW1" s="66" t="str">
        <f t="shared" si="0"/>
        <v>Player1</v>
      </c>
      <c r="AX1" s="66" t="str">
        <f t="shared" si="0"/>
        <v>Player1</v>
      </c>
      <c r="AY1" s="68" t="str">
        <f t="shared" si="0"/>
        <v>Player1</v>
      </c>
      <c r="AZ1" s="65" t="str">
        <f>$K$1</f>
        <v>Player2</v>
      </c>
      <c r="BA1" s="75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6"/>
      <c r="BO1" s="66"/>
      <c r="BP1" s="66"/>
      <c r="BQ1" s="66"/>
      <c r="BR1" s="66"/>
      <c r="BS1" s="66"/>
      <c r="BT1" s="68"/>
      <c r="BU1" s="65" t="str">
        <f>$P$1</f>
        <v>Player3</v>
      </c>
      <c r="BV1" s="75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8"/>
      <c r="CP1" s="65" t="str">
        <f>$U$1</f>
        <v>Player4</v>
      </c>
      <c r="CQ1" s="75"/>
      <c r="CR1" s="66"/>
      <c r="CS1" s="66"/>
      <c r="CT1" s="66"/>
      <c r="CU1" s="66"/>
      <c r="CV1" s="66"/>
      <c r="CW1" s="66"/>
      <c r="CX1" s="66"/>
      <c r="CY1" s="66"/>
      <c r="CZ1" s="66"/>
      <c r="DA1" s="66"/>
      <c r="DB1" s="66"/>
      <c r="DC1" s="66"/>
      <c r="DD1" s="66"/>
      <c r="DE1" s="66"/>
      <c r="DF1" s="66"/>
      <c r="DG1" s="66"/>
      <c r="DH1" s="66"/>
      <c r="DI1" s="66"/>
      <c r="DJ1" s="68"/>
    </row>
    <row r="2" spans="1:114" x14ac:dyDescent="0.4">
      <c r="A2" s="70"/>
      <c r="B2" s="72"/>
      <c r="C2" s="72"/>
      <c r="D2" s="72"/>
      <c r="E2" s="74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1" t="s">
        <v>5</v>
      </c>
      <c r="V2" s="2" t="s">
        <v>9</v>
      </c>
      <c r="W2" s="2" t="s">
        <v>22</v>
      </c>
      <c r="X2" s="46" t="s">
        <v>7</v>
      </c>
      <c r="Y2" s="6" t="s">
        <v>4</v>
      </c>
      <c r="Z2" s="63" t="str">
        <f>$F$1</f>
        <v>Player1</v>
      </c>
      <c r="AA2" s="64" t="str">
        <f>$K$1</f>
        <v>Player2</v>
      </c>
      <c r="AB2" s="64" t="str">
        <f>$P$1</f>
        <v>Player3</v>
      </c>
      <c r="AC2" s="16" t="str">
        <f>$U$1</f>
        <v>Player4</v>
      </c>
      <c r="AE2" s="59" t="s">
        <v>23</v>
      </c>
      <c r="AF2" s="62" t="s">
        <v>26</v>
      </c>
      <c r="AG2" s="60" t="s">
        <v>24</v>
      </c>
      <c r="AH2" s="60" t="s">
        <v>127</v>
      </c>
      <c r="AI2" s="60" t="s">
        <v>18</v>
      </c>
      <c r="AJ2" s="61" t="s">
        <v>19</v>
      </c>
      <c r="AK2" s="76" t="s">
        <v>20</v>
      </c>
      <c r="AL2" s="76"/>
      <c r="AM2" s="76"/>
      <c r="AN2" s="76"/>
      <c r="AO2" s="76"/>
      <c r="AP2" s="76"/>
      <c r="AQ2" s="76"/>
      <c r="AR2" s="76"/>
      <c r="AS2" s="76"/>
      <c r="AT2" s="76"/>
      <c r="AU2" s="76"/>
      <c r="AV2" s="76"/>
      <c r="AW2" s="76"/>
      <c r="AX2" s="76"/>
      <c r="AY2" s="76"/>
      <c r="AZ2" s="59" t="s">
        <v>23</v>
      </c>
      <c r="BA2" s="62" t="s">
        <v>26</v>
      </c>
      <c r="BB2" s="60" t="s">
        <v>24</v>
      </c>
      <c r="BC2" s="60" t="s">
        <v>128</v>
      </c>
      <c r="BD2" s="60" t="s">
        <v>18</v>
      </c>
      <c r="BE2" s="61" t="s">
        <v>19</v>
      </c>
      <c r="BF2" s="76" t="s">
        <v>20</v>
      </c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6"/>
      <c r="BT2" s="76"/>
      <c r="BU2" s="59" t="s">
        <v>23</v>
      </c>
      <c r="BV2" s="62" t="s">
        <v>26</v>
      </c>
      <c r="BW2" s="60" t="s">
        <v>24</v>
      </c>
      <c r="BX2" s="60" t="s">
        <v>128</v>
      </c>
      <c r="BY2" s="60" t="s">
        <v>18</v>
      </c>
      <c r="BZ2" s="61" t="s">
        <v>19</v>
      </c>
      <c r="CA2" s="76" t="s">
        <v>20</v>
      </c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  <c r="CO2" s="76"/>
      <c r="CP2" s="59" t="s">
        <v>23</v>
      </c>
      <c r="CQ2" s="62" t="s">
        <v>26</v>
      </c>
      <c r="CR2" s="60" t="s">
        <v>24</v>
      </c>
      <c r="CS2" s="60" t="s">
        <v>128</v>
      </c>
      <c r="CT2" s="60" t="s">
        <v>18</v>
      </c>
      <c r="CU2" s="61" t="s">
        <v>19</v>
      </c>
      <c r="CV2" s="76" t="s">
        <v>20</v>
      </c>
      <c r="CW2" s="76"/>
      <c r="CX2" s="76"/>
      <c r="CY2" s="76"/>
      <c r="CZ2" s="76"/>
      <c r="DA2" s="76"/>
      <c r="DB2" s="76"/>
      <c r="DC2" s="76"/>
      <c r="DD2" s="76"/>
      <c r="DE2" s="76"/>
      <c r="DF2" s="76"/>
      <c r="DG2" s="76"/>
      <c r="DH2" s="76"/>
      <c r="DI2" s="76"/>
      <c r="DJ2" s="76"/>
    </row>
    <row r="3" spans="1:114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25000</v>
      </c>
      <c r="K3" s="7"/>
      <c r="L3" s="23"/>
      <c r="M3" s="23"/>
      <c r="N3" s="47"/>
      <c r="O3" s="20">
        <v>25000</v>
      </c>
      <c r="P3" s="7"/>
      <c r="Q3" s="23"/>
      <c r="R3" s="23"/>
      <c r="S3" s="47"/>
      <c r="T3" s="20">
        <v>25000</v>
      </c>
      <c r="U3" s="7"/>
      <c r="V3" s="23"/>
      <c r="W3" s="23"/>
      <c r="X3" s="47"/>
      <c r="Y3" s="20">
        <v>25000</v>
      </c>
      <c r="Z3" s="50">
        <f>IF($J3="","",ROUND(($J3-$J$3)/1000,1)+(_xlfn.RANK.AVG($J3,($J3,$O3,$T3,$Y3),1)-2.5)*10)</f>
        <v>0</v>
      </c>
      <c r="AA3" s="51">
        <f>IF($O3="","",ROUND(($O3-$O$3)/1000,1)+(_xlfn.RANK.AVG($O3,($J3,$O3,$T3,$Y3),1)-2.5)*10)</f>
        <v>0</v>
      </c>
      <c r="AB3" s="51">
        <f>IF($T3="","",ROUND(($T3-$T$3)/1000,1)+(_xlfn.RANK.AVG($T3,($J3,$O3,$T3,$Y3),1)-2.5)*10)</f>
        <v>0</v>
      </c>
      <c r="AC3" s="52">
        <f>IF($Y3="","",ROUND(($Y3-$Y$3)/1000,1)+(_xlfn.RANK.AVG($Y3,($J3,$O3,$T3,$Y3),1)-2.5)*10)</f>
        <v>0</v>
      </c>
      <c r="AE3" s="7"/>
      <c r="AF3" s="33"/>
      <c r="AG3" s="28"/>
      <c r="AH3" s="28"/>
      <c r="AI3" s="28"/>
      <c r="AJ3" s="29"/>
      <c r="AK3" s="37"/>
      <c r="AL3" s="38"/>
      <c r="AM3" s="38"/>
      <c r="AN3" s="38"/>
      <c r="AO3" s="38"/>
      <c r="AP3" s="38"/>
      <c r="AQ3" s="38"/>
      <c r="AR3" s="38"/>
      <c r="AS3" s="38"/>
      <c r="AT3" s="38"/>
      <c r="AU3" s="38"/>
      <c r="AV3" s="38"/>
      <c r="AW3" s="38"/>
      <c r="AX3" s="38"/>
      <c r="AY3" s="39"/>
      <c r="AZ3" s="7"/>
      <c r="BA3" s="33"/>
      <c r="BB3" s="28"/>
      <c r="BC3" s="28"/>
      <c r="BD3" s="28"/>
      <c r="BE3" s="29"/>
      <c r="BF3" s="37"/>
      <c r="BG3" s="38"/>
      <c r="BH3" s="38"/>
      <c r="BI3" s="38"/>
      <c r="BJ3" s="38"/>
      <c r="BK3" s="38"/>
      <c r="BL3" s="38"/>
      <c r="BM3" s="38"/>
      <c r="BN3" s="38"/>
      <c r="BO3" s="38"/>
      <c r="BP3" s="38"/>
      <c r="BQ3" s="38"/>
      <c r="BR3" s="38"/>
      <c r="BS3" s="38"/>
      <c r="BT3" s="39"/>
      <c r="BU3" s="7"/>
      <c r="BV3" s="33"/>
      <c r="BW3" s="28"/>
      <c r="BX3" s="28"/>
      <c r="BY3" s="28"/>
      <c r="BZ3" s="29"/>
      <c r="CA3" s="37"/>
      <c r="CB3" s="38"/>
      <c r="CC3" s="38"/>
      <c r="CD3" s="38"/>
      <c r="CE3" s="38"/>
      <c r="CF3" s="38"/>
      <c r="CG3" s="38"/>
      <c r="CH3" s="38"/>
      <c r="CI3" s="38"/>
      <c r="CJ3" s="38"/>
      <c r="CK3" s="38"/>
      <c r="CL3" s="38"/>
      <c r="CM3" s="38"/>
      <c r="CN3" s="38"/>
      <c r="CO3" s="39"/>
      <c r="CP3" s="7"/>
      <c r="CQ3" s="33"/>
      <c r="CR3" s="28"/>
      <c r="CS3" s="28"/>
      <c r="CT3" s="28"/>
      <c r="CU3" s="29"/>
      <c r="CV3" s="37"/>
      <c r="CW3" s="38"/>
      <c r="CX3" s="38"/>
      <c r="CY3" s="38"/>
      <c r="CZ3" s="38"/>
      <c r="DA3" s="38"/>
      <c r="DB3" s="38"/>
      <c r="DC3" s="38"/>
      <c r="DD3" s="38"/>
      <c r="DE3" s="38"/>
      <c r="DF3" s="38"/>
      <c r="DG3" s="38"/>
      <c r="DH3" s="38"/>
      <c r="DI3" s="38"/>
      <c r="DJ3" s="39"/>
    </row>
    <row r="4" spans="1:114" x14ac:dyDescent="0.4">
      <c r="A4" s="13" t="s">
        <v>133</v>
      </c>
      <c r="B4" s="18">
        <v>1</v>
      </c>
      <c r="C4" s="18">
        <v>0</v>
      </c>
      <c r="D4" s="18">
        <v>0</v>
      </c>
      <c r="E4" s="4"/>
      <c r="F4" s="8"/>
      <c r="G4" s="9"/>
      <c r="H4" s="9"/>
      <c r="I4" s="48"/>
      <c r="J4" s="21" t="str">
        <f>IF(COUNTA($F4,$K4,$P4,$U4)&gt;0,J3+SUM(G4:I4),"")</f>
        <v/>
      </c>
      <c r="K4" s="8"/>
      <c r="L4" s="9"/>
      <c r="M4" s="9"/>
      <c r="N4" s="48"/>
      <c r="O4" s="21" t="str">
        <f>IF(COUNTA($F4,$K4,$P4,$U4)&gt;0,O3+SUM(L4:N4),"")</f>
        <v/>
      </c>
      <c r="P4" s="8"/>
      <c r="Q4" s="9"/>
      <c r="R4" s="9"/>
      <c r="S4" s="48"/>
      <c r="T4" s="21" t="str">
        <f>IF(COUNTA($F4,$K4,$P4,$U4)&gt;0,T3+SUM(Q4:S4),"")</f>
        <v/>
      </c>
      <c r="U4" s="8"/>
      <c r="V4" s="9"/>
      <c r="W4" s="9"/>
      <c r="X4" s="48"/>
      <c r="Y4" s="21" t="str">
        <f>IF(COUNTA($F4,$K4,$P4,$U4)&gt;0,Y3+SUM(V4:X4),"")</f>
        <v/>
      </c>
      <c r="Z4" s="53" t="str">
        <f>IF($J4="","",ROUND(($J4-$J$3)/1000,1)+(_xlfn.RANK.AVG($J4,($J4,$O4,$T4,$Y4),1)-2.5)*10)</f>
        <v/>
      </c>
      <c r="AA4" s="54" t="str">
        <f>IF($O4="","",ROUND(($O4-$O$3)/1000,1)+(_xlfn.RANK.AVG($O4,($J4,$O4,$T4,$Y4),1)-2.5)*10)</f>
        <v/>
      </c>
      <c r="AB4" s="54" t="str">
        <f>IF($T4="","",ROUND(($T4-$T$3)/1000,1)+(_xlfn.RANK.AVG($T4,($J4,$O4,$T4,$Y4),1)-2.5)*10)</f>
        <v/>
      </c>
      <c r="AC4" s="55" t="str">
        <f>IF($Y4="","",ROUND(($Y4-$Y$3)/1000,1)+(_xlfn.RANK.AVG($Y4,($J4,$O4,$T4,$Y4),1)-2.5)*10)</f>
        <v/>
      </c>
      <c r="AE4" s="8"/>
      <c r="AF4" s="34"/>
      <c r="AG4" s="26"/>
      <c r="AH4" s="26"/>
      <c r="AI4" s="26"/>
      <c r="AJ4" s="30"/>
      <c r="AK4" s="40"/>
      <c r="AL4" s="41"/>
      <c r="AM4" s="41"/>
      <c r="AN4" s="41"/>
      <c r="AO4" s="41"/>
      <c r="AP4" s="41"/>
      <c r="AQ4" s="41"/>
      <c r="AR4" s="41"/>
      <c r="AS4" s="41"/>
      <c r="AT4" s="41"/>
      <c r="AU4" s="41"/>
      <c r="AV4" s="41"/>
      <c r="AW4" s="41"/>
      <c r="AX4" s="41"/>
      <c r="AY4" s="42"/>
      <c r="AZ4" s="8"/>
      <c r="BA4" s="34"/>
      <c r="BB4" s="26"/>
      <c r="BC4" s="26"/>
      <c r="BD4" s="26"/>
      <c r="BE4" s="30"/>
      <c r="BF4" s="40"/>
      <c r="BG4" s="41"/>
      <c r="BH4" s="41"/>
      <c r="BI4" s="41"/>
      <c r="BJ4" s="41"/>
      <c r="BK4" s="41"/>
      <c r="BL4" s="41"/>
      <c r="BM4" s="41"/>
      <c r="BN4" s="41"/>
      <c r="BO4" s="41"/>
      <c r="BP4" s="41"/>
      <c r="BQ4" s="41"/>
      <c r="BR4" s="41"/>
      <c r="BS4" s="41"/>
      <c r="BT4" s="42"/>
      <c r="BU4" s="8"/>
      <c r="BV4" s="34"/>
      <c r="BW4" s="26"/>
      <c r="BX4" s="26"/>
      <c r="BY4" s="26"/>
      <c r="BZ4" s="30"/>
      <c r="CA4" s="40"/>
      <c r="CB4" s="41"/>
      <c r="CC4" s="41"/>
      <c r="CD4" s="41"/>
      <c r="CE4" s="41"/>
      <c r="CF4" s="41"/>
      <c r="CG4" s="41"/>
      <c r="CH4" s="41"/>
      <c r="CI4" s="41"/>
      <c r="CJ4" s="41"/>
      <c r="CK4" s="41"/>
      <c r="CL4" s="41"/>
      <c r="CM4" s="41"/>
      <c r="CN4" s="41"/>
      <c r="CO4" s="42"/>
      <c r="CP4" s="8"/>
      <c r="CQ4" s="34"/>
      <c r="CR4" s="26"/>
      <c r="CS4" s="26"/>
      <c r="CT4" s="26"/>
      <c r="CU4" s="30"/>
      <c r="CV4" s="40"/>
      <c r="CW4" s="41"/>
      <c r="CX4" s="41"/>
      <c r="CY4" s="41"/>
      <c r="CZ4" s="41"/>
      <c r="DA4" s="41"/>
      <c r="DB4" s="41"/>
      <c r="DC4" s="41"/>
      <c r="DD4" s="41"/>
      <c r="DE4" s="41"/>
      <c r="DF4" s="41"/>
      <c r="DG4" s="41"/>
      <c r="DH4" s="41"/>
      <c r="DI4" s="41"/>
      <c r="DJ4" s="42"/>
    </row>
    <row r="5" spans="1:114" x14ac:dyDescent="0.4">
      <c r="A5" s="13" t="str">
        <f t="shared" ref="A5:A9" si="1">IF($E5="","",IF(AND(B4=4,B5=1),_xlfn.SWITCH(A4,"東","南","南","西","西","北","北","東"),A4))</f>
        <v/>
      </c>
      <c r="B5" s="18" t="str">
        <f>IF($E5="","",IF($E4=$E5,B4,IF(B4=4,1,B4+1)))</f>
        <v/>
      </c>
      <c r="C5" s="18" t="str">
        <f>IF($E5="","",IF($F4="チョンボ",C4,IF(OR($E4=$E5,$F4="流局"),C4+1,0)))</f>
        <v/>
      </c>
      <c r="D5" s="18" t="str">
        <f>IF($E5="","",IF(OR($F4="流局",$F4="チョンボ"),D4+($H4+$M4+$R4+$W4)/-1000,0))</f>
        <v/>
      </c>
      <c r="E5" s="4"/>
      <c r="F5" s="8"/>
      <c r="G5" s="9"/>
      <c r="H5" s="9"/>
      <c r="I5" s="48"/>
      <c r="J5" s="21" t="str">
        <f t="shared" ref="J5:J30" si="2">IF(COUNTA($F5,$K5,$P5,$U5)&gt;0,J4+SUM(G5:I5),"")</f>
        <v/>
      </c>
      <c r="K5" s="8"/>
      <c r="L5" s="9"/>
      <c r="M5" s="9"/>
      <c r="N5" s="48"/>
      <c r="O5" s="21" t="str">
        <f t="shared" ref="O5:O30" si="3">IF(COUNTA($F5,$K5,$P5,$U5)&gt;0,O4+SUM(L5:N5),"")</f>
        <v/>
      </c>
      <c r="P5" s="8"/>
      <c r="Q5" s="9"/>
      <c r="R5" s="9"/>
      <c r="S5" s="48"/>
      <c r="T5" s="21" t="str">
        <f t="shared" ref="T5:T30" si="4">IF(COUNTA($F5,$K5,$P5,$U5)&gt;0,T4+SUM(Q5:S5),"")</f>
        <v/>
      </c>
      <c r="U5" s="8"/>
      <c r="V5" s="9"/>
      <c r="W5" s="9"/>
      <c r="X5" s="48"/>
      <c r="Y5" s="21" t="str">
        <f t="shared" ref="Y5:Y30" si="5">IF(COUNTA($F5,$K5,$P5,$U5)&gt;0,Y4+SUM(V5:X5),"")</f>
        <v/>
      </c>
      <c r="Z5" s="53" t="str">
        <f>IF($J5="","",ROUND(($J5-$J$3)/1000,1)+(_xlfn.RANK.AVG($J5,($J5,$O5,$T5,$Y5),1)-2.5)*10)</f>
        <v/>
      </c>
      <c r="AA5" s="54" t="str">
        <f>IF($O5="","",ROUND(($O5-$O$3)/1000,1)+(_xlfn.RANK.AVG($O5,($J5,$O5,$T5,$Y5),1)-2.5)*10)</f>
        <v/>
      </c>
      <c r="AB5" s="54" t="str">
        <f>IF($T5="","",ROUND(($T5-$T$3)/1000,1)+(_xlfn.RANK.AVG($T5,($J5,$O5,$T5,$Y5),1)-2.5)*10)</f>
        <v/>
      </c>
      <c r="AC5" s="55" t="str">
        <f>IF($Y5="","",ROUND(($Y5-$Y$3)/1000,1)+(_xlfn.RANK.AVG($Y5,($J5,$O5,$T5,$Y5),1)-2.5)*10)</f>
        <v/>
      </c>
      <c r="AE5" s="8"/>
      <c r="AF5" s="34"/>
      <c r="AG5" s="26"/>
      <c r="AH5" s="26"/>
      <c r="AI5" s="26"/>
      <c r="AJ5" s="30"/>
      <c r="AK5" s="40"/>
      <c r="AL5" s="41"/>
      <c r="AM5" s="41"/>
      <c r="AN5" s="41"/>
      <c r="AO5" s="41"/>
      <c r="AP5" s="41"/>
      <c r="AQ5" s="41"/>
      <c r="AR5" s="41"/>
      <c r="AS5" s="41"/>
      <c r="AT5" s="41"/>
      <c r="AU5" s="41"/>
      <c r="AV5" s="41"/>
      <c r="AW5" s="41"/>
      <c r="AX5" s="41"/>
      <c r="AY5" s="42"/>
      <c r="AZ5" s="8"/>
      <c r="BA5" s="34"/>
      <c r="BB5" s="26"/>
      <c r="BC5" s="26"/>
      <c r="BD5" s="26"/>
      <c r="BE5" s="30"/>
      <c r="BF5" s="40"/>
      <c r="BG5" s="41"/>
      <c r="BH5" s="41"/>
      <c r="BI5" s="41"/>
      <c r="BJ5" s="41"/>
      <c r="BK5" s="41"/>
      <c r="BL5" s="41"/>
      <c r="BM5" s="41"/>
      <c r="BN5" s="41"/>
      <c r="BO5" s="41"/>
      <c r="BP5" s="41"/>
      <c r="BQ5" s="41"/>
      <c r="BR5" s="41"/>
      <c r="BS5" s="41"/>
      <c r="BT5" s="42"/>
      <c r="BU5" s="8"/>
      <c r="BV5" s="34"/>
      <c r="BW5" s="26"/>
      <c r="BX5" s="26"/>
      <c r="BY5" s="26"/>
      <c r="BZ5" s="30"/>
      <c r="CA5" s="40"/>
      <c r="CB5" s="41"/>
      <c r="CC5" s="41"/>
      <c r="CD5" s="41"/>
      <c r="CE5" s="41"/>
      <c r="CF5" s="41"/>
      <c r="CG5" s="41"/>
      <c r="CH5" s="41"/>
      <c r="CI5" s="41"/>
      <c r="CJ5" s="41"/>
      <c r="CK5" s="41"/>
      <c r="CL5" s="41"/>
      <c r="CM5" s="41"/>
      <c r="CN5" s="41"/>
      <c r="CO5" s="42"/>
      <c r="CP5" s="8"/>
      <c r="CQ5" s="34"/>
      <c r="CR5" s="26"/>
      <c r="CS5" s="26"/>
      <c r="CT5" s="26"/>
      <c r="CU5" s="30"/>
      <c r="CV5" s="40"/>
      <c r="CW5" s="41"/>
      <c r="CX5" s="41"/>
      <c r="CY5" s="41"/>
      <c r="CZ5" s="41"/>
      <c r="DA5" s="41"/>
      <c r="DB5" s="41"/>
      <c r="DC5" s="41"/>
      <c r="DD5" s="41"/>
      <c r="DE5" s="41"/>
      <c r="DF5" s="41"/>
      <c r="DG5" s="41"/>
      <c r="DH5" s="41"/>
      <c r="DI5" s="41"/>
      <c r="DJ5" s="42"/>
    </row>
    <row r="6" spans="1:114" x14ac:dyDescent="0.4">
      <c r="A6" s="13" t="str">
        <f t="shared" si="1"/>
        <v/>
      </c>
      <c r="B6" s="18" t="str">
        <f t="shared" ref="B6:B30" si="6">IF($E6="","",IF($E5=$E6,B5,IF(B5=4,1,B5+1)))</f>
        <v/>
      </c>
      <c r="C6" s="18" t="str">
        <f t="shared" ref="C6:C30" si="7">IF($E6="","",IF($F5="チョンボ",C5,IF(OR($E5=$E6,$F5="流局"),C5+1,0)))</f>
        <v/>
      </c>
      <c r="D6" s="18" t="str">
        <f t="shared" ref="D6:D30" si="8">IF($E6="","",IF(OR($F5="流局",$F5="チョンボ"),D5+($H5+$M5+$R5+$W5)/-1000,0))</f>
        <v/>
      </c>
      <c r="E6" s="4"/>
      <c r="F6" s="8"/>
      <c r="G6" s="9"/>
      <c r="H6" s="9"/>
      <c r="I6" s="48"/>
      <c r="J6" s="21" t="str">
        <f t="shared" si="2"/>
        <v/>
      </c>
      <c r="K6" s="8"/>
      <c r="L6" s="9"/>
      <c r="M6" s="9"/>
      <c r="N6" s="48"/>
      <c r="O6" s="21" t="str">
        <f t="shared" si="3"/>
        <v/>
      </c>
      <c r="P6" s="8"/>
      <c r="Q6" s="9"/>
      <c r="R6" s="9"/>
      <c r="S6" s="48"/>
      <c r="T6" s="21" t="str">
        <f t="shared" si="4"/>
        <v/>
      </c>
      <c r="U6" s="8"/>
      <c r="V6" s="9"/>
      <c r="W6" s="9"/>
      <c r="X6" s="48"/>
      <c r="Y6" s="21" t="str">
        <f t="shared" si="5"/>
        <v/>
      </c>
      <c r="Z6" s="53" t="str">
        <f>IF($J6="","",ROUND(($J6-$J$3)/1000,1)+(_xlfn.RANK.AVG($J6,($J6,$O6,$T6,$Y6),1)-2.5)*10)</f>
        <v/>
      </c>
      <c r="AA6" s="54" t="str">
        <f>IF($O6="","",ROUND(($O6-$O$3)/1000,1)+(_xlfn.RANK.AVG($O6,($J6,$O6,$T6,$Y6),1)-2.5)*10)</f>
        <v/>
      </c>
      <c r="AB6" s="54" t="str">
        <f>IF($T6="","",ROUND(($T6-$T$3)/1000,1)+(_xlfn.RANK.AVG($T6,($J6,$O6,$T6,$Y6),1)-2.5)*10)</f>
        <v/>
      </c>
      <c r="AC6" s="55" t="str">
        <f>IF($Y6="","",ROUND(($Y6-$Y$3)/1000,1)+(_xlfn.RANK.AVG($Y6,($J6,$O6,$T6,$Y6),1)-2.5)*10)</f>
        <v/>
      </c>
      <c r="AE6" s="8"/>
      <c r="AF6" s="34"/>
      <c r="AG6" s="26"/>
      <c r="AH6" s="26"/>
      <c r="AI6" s="26"/>
      <c r="AJ6" s="30"/>
      <c r="AK6" s="40"/>
      <c r="AL6" s="41"/>
      <c r="AM6" s="41"/>
      <c r="AN6" s="41"/>
      <c r="AO6" s="41"/>
      <c r="AP6" s="41"/>
      <c r="AQ6" s="41"/>
      <c r="AR6" s="41"/>
      <c r="AS6" s="41"/>
      <c r="AT6" s="41"/>
      <c r="AU6" s="41"/>
      <c r="AV6" s="41"/>
      <c r="AW6" s="41"/>
      <c r="AX6" s="41"/>
      <c r="AY6" s="42"/>
      <c r="AZ6" s="8"/>
      <c r="BA6" s="34"/>
      <c r="BB6" s="26"/>
      <c r="BC6" s="26"/>
      <c r="BD6" s="26"/>
      <c r="BE6" s="30"/>
      <c r="BF6" s="40"/>
      <c r="BG6" s="41"/>
      <c r="BH6" s="41"/>
      <c r="BI6" s="41"/>
      <c r="BJ6" s="41"/>
      <c r="BK6" s="41"/>
      <c r="BL6" s="41"/>
      <c r="BM6" s="41"/>
      <c r="BN6" s="41"/>
      <c r="BO6" s="41"/>
      <c r="BP6" s="41"/>
      <c r="BQ6" s="41"/>
      <c r="BR6" s="41"/>
      <c r="BS6" s="41"/>
      <c r="BT6" s="42"/>
      <c r="BU6" s="8"/>
      <c r="BV6" s="34"/>
      <c r="BW6" s="26"/>
      <c r="BX6" s="26"/>
      <c r="BY6" s="26"/>
      <c r="BZ6" s="30"/>
      <c r="CA6" s="40"/>
      <c r="CB6" s="41"/>
      <c r="CC6" s="41"/>
      <c r="CD6" s="41"/>
      <c r="CE6" s="41"/>
      <c r="CF6" s="41"/>
      <c r="CG6" s="41"/>
      <c r="CH6" s="41"/>
      <c r="CI6" s="41"/>
      <c r="CJ6" s="41"/>
      <c r="CK6" s="41"/>
      <c r="CL6" s="41"/>
      <c r="CM6" s="41"/>
      <c r="CN6" s="41"/>
      <c r="CO6" s="42"/>
      <c r="CP6" s="8"/>
      <c r="CQ6" s="34"/>
      <c r="CR6" s="26"/>
      <c r="CS6" s="26"/>
      <c r="CT6" s="26"/>
      <c r="CU6" s="30"/>
      <c r="CV6" s="40"/>
      <c r="CW6" s="41"/>
      <c r="CX6" s="41"/>
      <c r="CY6" s="41"/>
      <c r="CZ6" s="41"/>
      <c r="DA6" s="41"/>
      <c r="DB6" s="41"/>
      <c r="DC6" s="41"/>
      <c r="DD6" s="41"/>
      <c r="DE6" s="41"/>
      <c r="DF6" s="41"/>
      <c r="DG6" s="41"/>
      <c r="DH6" s="41"/>
      <c r="DI6" s="41"/>
      <c r="DJ6" s="42"/>
    </row>
    <row r="7" spans="1:114" x14ac:dyDescent="0.4">
      <c r="A7" s="13" t="str">
        <f t="shared" si="1"/>
        <v/>
      </c>
      <c r="B7" s="18" t="str">
        <f t="shared" si="6"/>
        <v/>
      </c>
      <c r="C7" s="18" t="str">
        <f t="shared" si="7"/>
        <v/>
      </c>
      <c r="D7" s="18" t="str">
        <f t="shared" si="8"/>
        <v/>
      </c>
      <c r="E7" s="4"/>
      <c r="F7" s="8"/>
      <c r="G7" s="9"/>
      <c r="H7" s="9"/>
      <c r="I7" s="48"/>
      <c r="J7" s="21" t="str">
        <f t="shared" si="2"/>
        <v/>
      </c>
      <c r="K7" s="8"/>
      <c r="L7" s="9"/>
      <c r="M7" s="9"/>
      <c r="N7" s="48"/>
      <c r="O7" s="21" t="str">
        <f t="shared" si="3"/>
        <v/>
      </c>
      <c r="P7" s="8"/>
      <c r="Q7" s="9"/>
      <c r="R7" s="9"/>
      <c r="S7" s="48"/>
      <c r="T7" s="21" t="str">
        <f t="shared" si="4"/>
        <v/>
      </c>
      <c r="U7" s="8"/>
      <c r="V7" s="9"/>
      <c r="W7" s="9"/>
      <c r="X7" s="48"/>
      <c r="Y7" s="21" t="str">
        <f t="shared" si="5"/>
        <v/>
      </c>
      <c r="Z7" s="53" t="str">
        <f>IF($J7="","",ROUND(($J7-$J$3)/1000,1)+(_xlfn.RANK.AVG($J7,($J7,$O7,$T7,$Y7),1)-2.5)*10)</f>
        <v/>
      </c>
      <c r="AA7" s="54" t="str">
        <f>IF($O7="","",ROUND(($O7-$O$3)/1000,1)+(_xlfn.RANK.AVG($O7,($J7,$O7,$T7,$Y7),1)-2.5)*10)</f>
        <v/>
      </c>
      <c r="AB7" s="54" t="str">
        <f>IF($T7="","",ROUND(($T7-$T$3)/1000,1)+(_xlfn.RANK.AVG($T7,($J7,$O7,$T7,$Y7),1)-2.5)*10)</f>
        <v/>
      </c>
      <c r="AC7" s="55" t="str">
        <f>IF($Y7="","",ROUND(($Y7-$Y$3)/1000,1)+(_xlfn.RANK.AVG($Y7,($J7,$O7,$T7,$Y7),1)-2.5)*10)</f>
        <v/>
      </c>
      <c r="AE7" s="8"/>
      <c r="AF7" s="34"/>
      <c r="AG7" s="26"/>
      <c r="AH7" s="26"/>
      <c r="AI7" s="26"/>
      <c r="AJ7" s="30"/>
      <c r="AK7" s="40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  <c r="AW7" s="41"/>
      <c r="AX7" s="41"/>
      <c r="AY7" s="42"/>
      <c r="AZ7" s="8"/>
      <c r="BA7" s="34"/>
      <c r="BB7" s="26"/>
      <c r="BC7" s="26"/>
      <c r="BD7" s="26"/>
      <c r="BE7" s="30"/>
      <c r="BF7" s="40"/>
      <c r="BG7" s="41"/>
      <c r="BH7" s="41"/>
      <c r="BI7" s="41"/>
      <c r="BJ7" s="41"/>
      <c r="BK7" s="41"/>
      <c r="BL7" s="41"/>
      <c r="BM7" s="41"/>
      <c r="BN7" s="41"/>
      <c r="BO7" s="41"/>
      <c r="BP7" s="41"/>
      <c r="BQ7" s="41"/>
      <c r="BR7" s="41"/>
      <c r="BS7" s="41"/>
      <c r="BT7" s="42"/>
      <c r="BU7" s="8"/>
      <c r="BV7" s="34"/>
      <c r="BW7" s="26"/>
      <c r="BX7" s="26"/>
      <c r="BY7" s="26"/>
      <c r="BZ7" s="30"/>
      <c r="CA7" s="40"/>
      <c r="CB7" s="41"/>
      <c r="CC7" s="41"/>
      <c r="CD7" s="41"/>
      <c r="CE7" s="41"/>
      <c r="CF7" s="41"/>
      <c r="CG7" s="41"/>
      <c r="CH7" s="41"/>
      <c r="CI7" s="41"/>
      <c r="CJ7" s="41"/>
      <c r="CK7" s="41"/>
      <c r="CL7" s="41"/>
      <c r="CM7" s="41"/>
      <c r="CN7" s="41"/>
      <c r="CO7" s="42"/>
      <c r="CP7" s="8"/>
      <c r="CQ7" s="34"/>
      <c r="CR7" s="26"/>
      <c r="CS7" s="26"/>
      <c r="CT7" s="26"/>
      <c r="CU7" s="30"/>
      <c r="CV7" s="40"/>
      <c r="CW7" s="41"/>
      <c r="CX7" s="41"/>
      <c r="CY7" s="41"/>
      <c r="CZ7" s="41"/>
      <c r="DA7" s="41"/>
      <c r="DB7" s="41"/>
      <c r="DC7" s="41"/>
      <c r="DD7" s="41"/>
      <c r="DE7" s="41"/>
      <c r="DF7" s="41"/>
      <c r="DG7" s="41"/>
      <c r="DH7" s="41"/>
      <c r="DI7" s="41"/>
      <c r="DJ7" s="42"/>
    </row>
    <row r="8" spans="1:114" x14ac:dyDescent="0.4">
      <c r="A8" s="13" t="str">
        <f t="shared" si="1"/>
        <v/>
      </c>
      <c r="B8" s="18" t="str">
        <f t="shared" si="6"/>
        <v/>
      </c>
      <c r="C8" s="18" t="str">
        <f t="shared" si="7"/>
        <v/>
      </c>
      <c r="D8" s="18" t="str">
        <f>IF($E8="","",IF(OR($F7="流局",$F7="チョンボ"),D7+($H7+$M7+$R7+$W7)/-1000,0))</f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8"/>
      <c r="V8" s="9"/>
      <c r="W8" s="9"/>
      <c r="X8" s="48"/>
      <c r="Y8" s="21" t="str">
        <f t="shared" si="5"/>
        <v/>
      </c>
      <c r="Z8" s="53" t="str">
        <f>IF($J8="","",ROUND(($J8-$J$3)/1000,1)+(_xlfn.RANK.AVG($J8,($J8,$O8,$T8,$Y8),1)-2.5)*10)</f>
        <v/>
      </c>
      <c r="AA8" s="54" t="str">
        <f>IF($O8="","",ROUND(($O8-$O$3)/1000,1)+(_xlfn.RANK.AVG($O8,($J8,$O8,$T8,$Y8),1)-2.5)*10)</f>
        <v/>
      </c>
      <c r="AB8" s="54" t="str">
        <f>IF($T8="","",ROUND(($T8-$T$3)/1000,1)+(_xlfn.RANK.AVG($T8,($J8,$O8,$T8,$Y8),1)-2.5)*10)</f>
        <v/>
      </c>
      <c r="AC8" s="55" t="str">
        <f>IF($Y8="","",ROUND(($Y8-$Y$3)/1000,1)+(_xlfn.RANK.AVG($Y8,($J8,$O8,$T8,$Y8),1)-2.5)*10)</f>
        <v/>
      </c>
      <c r="AE8" s="8"/>
      <c r="AF8" s="34"/>
      <c r="AG8" s="26"/>
      <c r="AH8" s="26"/>
      <c r="AI8" s="26"/>
      <c r="AJ8" s="30"/>
      <c r="AK8" s="40"/>
      <c r="AL8" s="41"/>
      <c r="AM8" s="41"/>
      <c r="AN8" s="41"/>
      <c r="AO8" s="41"/>
      <c r="AP8" s="41"/>
      <c r="AQ8" s="41"/>
      <c r="AR8" s="41"/>
      <c r="AS8" s="41"/>
      <c r="AT8" s="41"/>
      <c r="AU8" s="41"/>
      <c r="AV8" s="41"/>
      <c r="AW8" s="41"/>
      <c r="AX8" s="41"/>
      <c r="AY8" s="42"/>
      <c r="AZ8" s="8"/>
      <c r="BA8" s="34"/>
      <c r="BB8" s="26"/>
      <c r="BC8" s="26"/>
      <c r="BD8" s="26"/>
      <c r="BE8" s="30"/>
      <c r="BF8" s="40"/>
      <c r="BG8" s="41"/>
      <c r="BH8" s="41"/>
      <c r="BI8" s="41"/>
      <c r="BJ8" s="41"/>
      <c r="BK8" s="41"/>
      <c r="BL8" s="41"/>
      <c r="BM8" s="41"/>
      <c r="BN8" s="41"/>
      <c r="BO8" s="41"/>
      <c r="BP8" s="41"/>
      <c r="BQ8" s="41"/>
      <c r="BR8" s="41"/>
      <c r="BS8" s="41"/>
      <c r="BT8" s="42"/>
      <c r="BU8" s="8"/>
      <c r="BV8" s="34"/>
      <c r="BW8" s="26"/>
      <c r="BX8" s="26"/>
      <c r="BY8" s="26"/>
      <c r="BZ8" s="30"/>
      <c r="CA8" s="40"/>
      <c r="CB8" s="41"/>
      <c r="CC8" s="41"/>
      <c r="CD8" s="41"/>
      <c r="CE8" s="41"/>
      <c r="CF8" s="41"/>
      <c r="CG8" s="41"/>
      <c r="CH8" s="41"/>
      <c r="CI8" s="41"/>
      <c r="CJ8" s="41"/>
      <c r="CK8" s="41"/>
      <c r="CL8" s="41"/>
      <c r="CM8" s="41"/>
      <c r="CN8" s="41"/>
      <c r="CO8" s="42"/>
      <c r="CP8" s="8"/>
      <c r="CQ8" s="34"/>
      <c r="CR8" s="26"/>
      <c r="CS8" s="26"/>
      <c r="CT8" s="26"/>
      <c r="CU8" s="30"/>
      <c r="CV8" s="40"/>
      <c r="CW8" s="41"/>
      <c r="CX8" s="41"/>
      <c r="CY8" s="41"/>
      <c r="CZ8" s="41"/>
      <c r="DA8" s="41"/>
      <c r="DB8" s="41"/>
      <c r="DC8" s="41"/>
      <c r="DD8" s="41"/>
      <c r="DE8" s="41"/>
      <c r="DF8" s="41"/>
      <c r="DG8" s="41"/>
      <c r="DH8" s="41"/>
      <c r="DI8" s="41"/>
      <c r="DJ8" s="42"/>
    </row>
    <row r="9" spans="1:114" x14ac:dyDescent="0.4">
      <c r="A9" s="13" t="str">
        <f t="shared" si="1"/>
        <v/>
      </c>
      <c r="B9" s="18" t="str">
        <f t="shared" si="6"/>
        <v/>
      </c>
      <c r="C9" s="18" t="str">
        <f t="shared" si="7"/>
        <v/>
      </c>
      <c r="D9" s="18" t="str">
        <f t="shared" si="8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8"/>
      <c r="V9" s="9"/>
      <c r="W9" s="9"/>
      <c r="X9" s="48"/>
      <c r="Y9" s="21" t="str">
        <f t="shared" si="5"/>
        <v/>
      </c>
      <c r="Z9" s="53" t="str">
        <f>IF($J9="","",ROUND(($J9-$J$3)/1000,1)+(_xlfn.RANK.AVG($J9,($J9,$O9,$T9,$Y9),1)-2.5)*10)</f>
        <v/>
      </c>
      <c r="AA9" s="54" t="str">
        <f>IF($O9="","",ROUND(($O9-$O$3)/1000,1)+(_xlfn.RANK.AVG($O9,($J9,$O9,$T9,$Y9),1)-2.5)*10)</f>
        <v/>
      </c>
      <c r="AB9" s="54" t="str">
        <f>IF($T9="","",ROUND(($T9-$T$3)/1000,1)+(_xlfn.RANK.AVG($T9,($J9,$O9,$T9,$Y9),1)-2.5)*10)</f>
        <v/>
      </c>
      <c r="AC9" s="55" t="str">
        <f>IF($Y9="","",ROUND(($Y9-$Y$3)/1000,1)+(_xlfn.RANK.AVG($Y9,($J9,$O9,$T9,$Y9),1)-2.5)*10)</f>
        <v/>
      </c>
      <c r="AE9" s="8"/>
      <c r="AF9" s="34"/>
      <c r="AG9" s="26"/>
      <c r="AH9" s="26"/>
      <c r="AI9" s="26"/>
      <c r="AJ9" s="30"/>
      <c r="AK9" s="40"/>
      <c r="AL9" s="41"/>
      <c r="AM9" s="41"/>
      <c r="AN9" s="41"/>
      <c r="AO9" s="41"/>
      <c r="AP9" s="41"/>
      <c r="AQ9" s="41"/>
      <c r="AR9" s="41"/>
      <c r="AS9" s="41"/>
      <c r="AT9" s="41"/>
      <c r="AU9" s="41"/>
      <c r="AV9" s="41"/>
      <c r="AW9" s="41"/>
      <c r="AX9" s="41"/>
      <c r="AY9" s="42"/>
      <c r="AZ9" s="8"/>
      <c r="BA9" s="34"/>
      <c r="BB9" s="26"/>
      <c r="BC9" s="26"/>
      <c r="BD9" s="26"/>
      <c r="BE9" s="30"/>
      <c r="BF9" s="40"/>
      <c r="BG9" s="41"/>
      <c r="BH9" s="41"/>
      <c r="BI9" s="41"/>
      <c r="BJ9" s="41"/>
      <c r="BK9" s="41"/>
      <c r="BL9" s="41"/>
      <c r="BM9" s="41"/>
      <c r="BN9" s="41"/>
      <c r="BO9" s="41"/>
      <c r="BP9" s="41"/>
      <c r="BQ9" s="41"/>
      <c r="BR9" s="41"/>
      <c r="BS9" s="41"/>
      <c r="BT9" s="42"/>
      <c r="BU9" s="8"/>
      <c r="BV9" s="34"/>
      <c r="BW9" s="26"/>
      <c r="BX9" s="26"/>
      <c r="BY9" s="26"/>
      <c r="BZ9" s="30"/>
      <c r="CA9" s="40"/>
      <c r="CB9" s="41"/>
      <c r="CC9" s="41"/>
      <c r="CD9" s="41"/>
      <c r="CE9" s="41"/>
      <c r="CF9" s="41"/>
      <c r="CG9" s="41"/>
      <c r="CH9" s="41"/>
      <c r="CI9" s="41"/>
      <c r="CJ9" s="41"/>
      <c r="CK9" s="41"/>
      <c r="CL9" s="41"/>
      <c r="CM9" s="41"/>
      <c r="CN9" s="41"/>
      <c r="CO9" s="42"/>
      <c r="CP9" s="8"/>
      <c r="CQ9" s="34"/>
      <c r="CR9" s="26"/>
      <c r="CS9" s="26"/>
      <c r="CT9" s="26"/>
      <c r="CU9" s="30"/>
      <c r="CV9" s="40"/>
      <c r="CW9" s="41"/>
      <c r="CX9" s="41"/>
      <c r="CY9" s="41"/>
      <c r="CZ9" s="41"/>
      <c r="DA9" s="41"/>
      <c r="DB9" s="41"/>
      <c r="DC9" s="41"/>
      <c r="DD9" s="41"/>
      <c r="DE9" s="41"/>
      <c r="DF9" s="41"/>
      <c r="DG9" s="41"/>
      <c r="DH9" s="41"/>
      <c r="DI9" s="41"/>
      <c r="DJ9" s="42"/>
    </row>
    <row r="10" spans="1:114" x14ac:dyDescent="0.4">
      <c r="A10" s="13" t="str">
        <f>IF($E10="","",IF(AND(B9=4,B10=1),_xlfn.SWITCH(A9,"東","南","南","西","西","北","北","東"),A9))</f>
        <v/>
      </c>
      <c r="B10" s="18" t="str">
        <f t="shared" si="6"/>
        <v/>
      </c>
      <c r="C10" s="18" t="str">
        <f t="shared" si="7"/>
        <v/>
      </c>
      <c r="D10" s="18" t="str">
        <f t="shared" si="8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8"/>
      <c r="V10" s="9"/>
      <c r="W10" s="9"/>
      <c r="X10" s="48"/>
      <c r="Y10" s="21" t="str">
        <f t="shared" si="5"/>
        <v/>
      </c>
      <c r="Z10" s="53" t="str">
        <f>IF($J10="","",ROUND(($J10-$J$3)/1000,1)+(_xlfn.RANK.AVG($J10,($J10,$O10,$T10,$Y10),1)-2.5)*10)</f>
        <v/>
      </c>
      <c r="AA10" s="54" t="str">
        <f>IF($O10="","",ROUND(($O10-$O$3)/1000,1)+(_xlfn.RANK.AVG($O10,($J10,$O10,$T10,$Y10),1)-2.5)*10)</f>
        <v/>
      </c>
      <c r="AB10" s="54" t="str">
        <f>IF($T10="","",ROUND(($T10-$T$3)/1000,1)+(_xlfn.RANK.AVG($T10,($J10,$O10,$T10,$Y10),1)-2.5)*10)</f>
        <v/>
      </c>
      <c r="AC10" s="55" t="str">
        <f>IF($Y10="","",ROUND(($Y10-$Y$3)/1000,1)+(_xlfn.RANK.AVG($Y10,($J10,$O10,$T10,$Y10),1)-2.5)*10)</f>
        <v/>
      </c>
      <c r="AE10" s="8"/>
      <c r="AF10" s="34"/>
      <c r="AG10" s="26"/>
      <c r="AH10" s="26"/>
      <c r="AI10" s="26"/>
      <c r="AJ10" s="30"/>
      <c r="AK10" s="40"/>
      <c r="AL10" s="41"/>
      <c r="AM10" s="41"/>
      <c r="AN10" s="41"/>
      <c r="AO10" s="41"/>
      <c r="AP10" s="41"/>
      <c r="AQ10" s="41"/>
      <c r="AR10" s="41"/>
      <c r="AS10" s="41"/>
      <c r="AT10" s="41"/>
      <c r="AU10" s="41"/>
      <c r="AV10" s="41"/>
      <c r="AW10" s="41"/>
      <c r="AX10" s="41"/>
      <c r="AY10" s="42"/>
      <c r="AZ10" s="8"/>
      <c r="BA10" s="34"/>
      <c r="BB10" s="26"/>
      <c r="BC10" s="26"/>
      <c r="BD10" s="26"/>
      <c r="BE10" s="30"/>
      <c r="BF10" s="40"/>
      <c r="BG10" s="41"/>
      <c r="BH10" s="41"/>
      <c r="BI10" s="41"/>
      <c r="BJ10" s="41"/>
      <c r="BK10" s="41"/>
      <c r="BL10" s="41"/>
      <c r="BM10" s="41"/>
      <c r="BN10" s="41"/>
      <c r="BO10" s="41"/>
      <c r="BP10" s="41"/>
      <c r="BQ10" s="41"/>
      <c r="BR10" s="41"/>
      <c r="BS10" s="41"/>
      <c r="BT10" s="42"/>
      <c r="BU10" s="8"/>
      <c r="BV10" s="34"/>
      <c r="BW10" s="26"/>
      <c r="BX10" s="26"/>
      <c r="BY10" s="26"/>
      <c r="BZ10" s="30"/>
      <c r="CA10" s="40"/>
      <c r="CB10" s="41"/>
      <c r="CC10" s="41"/>
      <c r="CD10" s="41"/>
      <c r="CE10" s="41"/>
      <c r="CF10" s="41"/>
      <c r="CG10" s="41"/>
      <c r="CH10" s="41"/>
      <c r="CI10" s="41"/>
      <c r="CJ10" s="41"/>
      <c r="CK10" s="41"/>
      <c r="CL10" s="41"/>
      <c r="CM10" s="41"/>
      <c r="CN10" s="41"/>
      <c r="CO10" s="42"/>
      <c r="CP10" s="8"/>
      <c r="CQ10" s="34"/>
      <c r="CR10" s="26"/>
      <c r="CS10" s="26"/>
      <c r="CT10" s="26"/>
      <c r="CU10" s="30"/>
      <c r="CV10" s="40"/>
      <c r="CW10" s="41"/>
      <c r="CX10" s="41"/>
      <c r="CY10" s="41"/>
      <c r="CZ10" s="41"/>
      <c r="DA10" s="41"/>
      <c r="DB10" s="41"/>
      <c r="DC10" s="41"/>
      <c r="DD10" s="41"/>
      <c r="DE10" s="41"/>
      <c r="DF10" s="41"/>
      <c r="DG10" s="41"/>
      <c r="DH10" s="41"/>
      <c r="DI10" s="41"/>
      <c r="DJ10" s="42"/>
    </row>
    <row r="11" spans="1:114" x14ac:dyDescent="0.4">
      <c r="A11" s="13" t="str">
        <f t="shared" ref="A11:A30" si="9">IF($E11="","",IF(AND(B10=4,B11=1),_xlfn.SWITCH(A10,"東","南","南","西","西","北","北","東"),A10))</f>
        <v/>
      </c>
      <c r="B11" s="18" t="str">
        <f t="shared" si="6"/>
        <v/>
      </c>
      <c r="C11" s="18" t="str">
        <f t="shared" si="7"/>
        <v/>
      </c>
      <c r="D11" s="18" t="str">
        <f t="shared" si="8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8"/>
      <c r="V11" s="9"/>
      <c r="W11" s="9"/>
      <c r="X11" s="48"/>
      <c r="Y11" s="21" t="str">
        <f t="shared" si="5"/>
        <v/>
      </c>
      <c r="Z11" s="53" t="str">
        <f>IF($J11="","",ROUND(($J11-$J$3)/1000,1)+(_xlfn.RANK.AVG($J11,($J11,$O11,$T11,$Y11),1)-2.5)*10)</f>
        <v/>
      </c>
      <c r="AA11" s="54" t="str">
        <f>IF($O11="","",ROUND(($O11-$O$3)/1000,1)+(_xlfn.RANK.AVG($O11,($J11,$O11,$T11,$Y11),1)-2.5)*10)</f>
        <v/>
      </c>
      <c r="AB11" s="54" t="str">
        <f>IF($T11="","",ROUND(($T11-$T$3)/1000,1)+(_xlfn.RANK.AVG($T11,($J11,$O11,$T11,$Y11),1)-2.5)*10)</f>
        <v/>
      </c>
      <c r="AC11" s="55" t="str">
        <f>IF($Y11="","",ROUND(($Y11-$Y$3)/1000,1)+(_xlfn.RANK.AVG($Y11,($J11,$O11,$T11,$Y11),1)-2.5)*10)</f>
        <v/>
      </c>
      <c r="AE11" s="8"/>
      <c r="AF11" s="34"/>
      <c r="AG11" s="26"/>
      <c r="AH11" s="26"/>
      <c r="AI11" s="26"/>
      <c r="AJ11" s="30"/>
      <c r="AK11" s="40"/>
      <c r="AL11" s="41"/>
      <c r="AM11" s="41"/>
      <c r="AN11" s="41"/>
      <c r="AO11" s="41"/>
      <c r="AP11" s="41"/>
      <c r="AQ11" s="41"/>
      <c r="AR11" s="41"/>
      <c r="AS11" s="41"/>
      <c r="AT11" s="41"/>
      <c r="AU11" s="41"/>
      <c r="AV11" s="41"/>
      <c r="AW11" s="41"/>
      <c r="AX11" s="41"/>
      <c r="AY11" s="42"/>
      <c r="AZ11" s="8"/>
      <c r="BA11" s="34"/>
      <c r="BB11" s="26"/>
      <c r="BC11" s="26"/>
      <c r="BD11" s="26"/>
      <c r="BE11" s="30"/>
      <c r="BF11" s="40"/>
      <c r="BG11" s="41"/>
      <c r="BH11" s="41"/>
      <c r="BI11" s="41"/>
      <c r="BJ11" s="41"/>
      <c r="BK11" s="41"/>
      <c r="BL11" s="41"/>
      <c r="BM11" s="41"/>
      <c r="BN11" s="41"/>
      <c r="BO11" s="41"/>
      <c r="BP11" s="41"/>
      <c r="BQ11" s="41"/>
      <c r="BR11" s="41"/>
      <c r="BS11" s="41"/>
      <c r="BT11" s="42"/>
      <c r="BU11" s="8"/>
      <c r="BV11" s="34"/>
      <c r="BW11" s="26"/>
      <c r="BX11" s="26"/>
      <c r="BY11" s="26"/>
      <c r="BZ11" s="30"/>
      <c r="CA11" s="40"/>
      <c r="CB11" s="41"/>
      <c r="CC11" s="41"/>
      <c r="CD11" s="41"/>
      <c r="CE11" s="41"/>
      <c r="CF11" s="41"/>
      <c r="CG11" s="41"/>
      <c r="CH11" s="41"/>
      <c r="CI11" s="41"/>
      <c r="CJ11" s="41"/>
      <c r="CK11" s="41"/>
      <c r="CL11" s="41"/>
      <c r="CM11" s="41"/>
      <c r="CN11" s="41"/>
      <c r="CO11" s="42"/>
      <c r="CP11" s="8"/>
      <c r="CQ11" s="34"/>
      <c r="CR11" s="26"/>
      <c r="CS11" s="26"/>
      <c r="CT11" s="26"/>
      <c r="CU11" s="30"/>
      <c r="CV11" s="40"/>
      <c r="CW11" s="41"/>
      <c r="CX11" s="41"/>
      <c r="CY11" s="41"/>
      <c r="CZ11" s="41"/>
      <c r="DA11" s="41"/>
      <c r="DB11" s="41"/>
      <c r="DC11" s="41"/>
      <c r="DD11" s="41"/>
      <c r="DE11" s="41"/>
      <c r="DF11" s="41"/>
      <c r="DG11" s="41"/>
      <c r="DH11" s="41"/>
      <c r="DI11" s="41"/>
      <c r="DJ11" s="42"/>
    </row>
    <row r="12" spans="1:114" x14ac:dyDescent="0.4">
      <c r="A12" s="13" t="str">
        <f t="shared" si="9"/>
        <v/>
      </c>
      <c r="B12" s="18" t="str">
        <f t="shared" si="6"/>
        <v/>
      </c>
      <c r="C12" s="18" t="str">
        <f t="shared" si="7"/>
        <v/>
      </c>
      <c r="D12" s="18" t="str">
        <f t="shared" si="8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8"/>
      <c r="V12" s="9"/>
      <c r="W12" s="9"/>
      <c r="X12" s="48"/>
      <c r="Y12" s="21" t="str">
        <f t="shared" si="5"/>
        <v/>
      </c>
      <c r="Z12" s="53" t="str">
        <f>IF($J12="","",ROUND(($J12-$J$3)/1000,1)+(_xlfn.RANK.AVG($J12,($J12,$O12,$T12,$Y12),1)-2.5)*10)</f>
        <v/>
      </c>
      <c r="AA12" s="54" t="str">
        <f>IF($O12="","",ROUND(($O12-$O$3)/1000,1)+(_xlfn.RANK.AVG($O12,($J12,$O12,$T12,$Y12),1)-2.5)*10)</f>
        <v/>
      </c>
      <c r="AB12" s="54" t="str">
        <f>IF($T12="","",ROUND(($T12-$T$3)/1000,1)+(_xlfn.RANK.AVG($T12,($J12,$O12,$T12,$Y12),1)-2.5)*10)</f>
        <v/>
      </c>
      <c r="AC12" s="55" t="str">
        <f>IF($Y12="","",ROUND(($Y12-$Y$3)/1000,1)+(_xlfn.RANK.AVG($Y12,($J12,$O12,$T12,$Y12),1)-2.5)*10)</f>
        <v/>
      </c>
      <c r="AE12" s="8"/>
      <c r="AF12" s="34"/>
      <c r="AG12" s="26"/>
      <c r="AH12" s="26"/>
      <c r="AI12" s="26"/>
      <c r="AJ12" s="30"/>
      <c r="AK12" s="40"/>
      <c r="AL12" s="41"/>
      <c r="AM12" s="41"/>
      <c r="AN12" s="41"/>
      <c r="AO12" s="41"/>
      <c r="AP12" s="41"/>
      <c r="AQ12" s="41"/>
      <c r="AR12" s="41"/>
      <c r="AS12" s="41"/>
      <c r="AT12" s="41"/>
      <c r="AU12" s="41"/>
      <c r="AV12" s="41"/>
      <c r="AW12" s="41"/>
      <c r="AX12" s="41"/>
      <c r="AY12" s="42"/>
      <c r="AZ12" s="8"/>
      <c r="BA12" s="34"/>
      <c r="BB12" s="26"/>
      <c r="BC12" s="26"/>
      <c r="BD12" s="26"/>
      <c r="BE12" s="30"/>
      <c r="BF12" s="40"/>
      <c r="BG12" s="41"/>
      <c r="BH12" s="41"/>
      <c r="BI12" s="41"/>
      <c r="BJ12" s="41"/>
      <c r="BK12" s="41"/>
      <c r="BL12" s="41"/>
      <c r="BM12" s="41"/>
      <c r="BN12" s="41"/>
      <c r="BO12" s="41"/>
      <c r="BP12" s="41"/>
      <c r="BQ12" s="41"/>
      <c r="BR12" s="41"/>
      <c r="BS12" s="41"/>
      <c r="BT12" s="42"/>
      <c r="BU12" s="8"/>
      <c r="BV12" s="34"/>
      <c r="BW12" s="26"/>
      <c r="BX12" s="26"/>
      <c r="BY12" s="26"/>
      <c r="BZ12" s="30"/>
      <c r="CA12" s="40"/>
      <c r="CB12" s="41"/>
      <c r="CC12" s="41"/>
      <c r="CD12" s="41"/>
      <c r="CE12" s="41"/>
      <c r="CF12" s="41"/>
      <c r="CG12" s="41"/>
      <c r="CH12" s="41"/>
      <c r="CI12" s="41"/>
      <c r="CJ12" s="41"/>
      <c r="CK12" s="41"/>
      <c r="CL12" s="41"/>
      <c r="CM12" s="41"/>
      <c r="CN12" s="41"/>
      <c r="CO12" s="42"/>
      <c r="CP12" s="8"/>
      <c r="CQ12" s="34"/>
      <c r="CR12" s="26"/>
      <c r="CS12" s="26"/>
      <c r="CT12" s="26"/>
      <c r="CU12" s="30"/>
      <c r="CV12" s="40"/>
      <c r="CW12" s="41"/>
      <c r="CX12" s="41"/>
      <c r="CY12" s="41"/>
      <c r="CZ12" s="41"/>
      <c r="DA12" s="41"/>
      <c r="DB12" s="41"/>
      <c r="DC12" s="41"/>
      <c r="DD12" s="41"/>
      <c r="DE12" s="41"/>
      <c r="DF12" s="41"/>
      <c r="DG12" s="41"/>
      <c r="DH12" s="41"/>
      <c r="DI12" s="41"/>
      <c r="DJ12" s="42"/>
    </row>
    <row r="13" spans="1:114" x14ac:dyDescent="0.4">
      <c r="A13" s="13" t="str">
        <f t="shared" si="9"/>
        <v/>
      </c>
      <c r="B13" s="18" t="str">
        <f t="shared" si="6"/>
        <v/>
      </c>
      <c r="C13" s="18" t="str">
        <f t="shared" si="7"/>
        <v/>
      </c>
      <c r="D13" s="18" t="str">
        <f t="shared" si="8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8"/>
      <c r="V13" s="9"/>
      <c r="W13" s="9"/>
      <c r="X13" s="48"/>
      <c r="Y13" s="21" t="str">
        <f t="shared" si="5"/>
        <v/>
      </c>
      <c r="Z13" s="53" t="str">
        <f>IF($J13="","",ROUND(($J13-$J$3)/1000,1)+(_xlfn.RANK.AVG($J13,($J13,$O13,$T13,$Y13),1)-2.5)*10)</f>
        <v/>
      </c>
      <c r="AA13" s="54" t="str">
        <f>IF($O13="","",ROUND(($O13-$O$3)/1000,1)+(_xlfn.RANK.AVG($O13,($J13,$O13,$T13,$Y13),1)-2.5)*10)</f>
        <v/>
      </c>
      <c r="AB13" s="54" t="str">
        <f>IF($T13="","",ROUND(($T13-$T$3)/1000,1)+(_xlfn.RANK.AVG($T13,($J13,$O13,$T13,$Y13),1)-2.5)*10)</f>
        <v/>
      </c>
      <c r="AC13" s="55" t="str">
        <f>IF($Y13="","",ROUND(($Y13-$Y$3)/1000,1)+(_xlfn.RANK.AVG($Y13,($J13,$O13,$T13,$Y13),1)-2.5)*10)</f>
        <v/>
      </c>
      <c r="AE13" s="8"/>
      <c r="AF13" s="34"/>
      <c r="AG13" s="26"/>
      <c r="AH13" s="26"/>
      <c r="AI13" s="26"/>
      <c r="AJ13" s="30"/>
      <c r="AK13" s="40"/>
      <c r="AL13" s="41"/>
      <c r="AM13" s="41"/>
      <c r="AN13" s="41"/>
      <c r="AO13" s="41"/>
      <c r="AP13" s="41"/>
      <c r="AQ13" s="41"/>
      <c r="AR13" s="41"/>
      <c r="AS13" s="41"/>
      <c r="AT13" s="41"/>
      <c r="AU13" s="41"/>
      <c r="AV13" s="41"/>
      <c r="AW13" s="41"/>
      <c r="AX13" s="41"/>
      <c r="AY13" s="42"/>
      <c r="AZ13" s="8"/>
      <c r="BA13" s="34"/>
      <c r="BB13" s="26"/>
      <c r="BC13" s="26"/>
      <c r="BD13" s="26"/>
      <c r="BE13" s="30"/>
      <c r="BF13" s="40"/>
      <c r="BG13" s="41"/>
      <c r="BH13" s="41"/>
      <c r="BI13" s="41"/>
      <c r="BJ13" s="41"/>
      <c r="BK13" s="41"/>
      <c r="BL13" s="41"/>
      <c r="BM13" s="41"/>
      <c r="BN13" s="41"/>
      <c r="BO13" s="41"/>
      <c r="BP13" s="41"/>
      <c r="BQ13" s="41"/>
      <c r="BR13" s="41"/>
      <c r="BS13" s="41"/>
      <c r="BT13" s="42"/>
      <c r="BU13" s="8"/>
      <c r="BV13" s="34"/>
      <c r="BW13" s="26"/>
      <c r="BX13" s="26"/>
      <c r="BY13" s="26"/>
      <c r="BZ13" s="30"/>
      <c r="CA13" s="40"/>
      <c r="CB13" s="41"/>
      <c r="CC13" s="41"/>
      <c r="CD13" s="41"/>
      <c r="CE13" s="41"/>
      <c r="CF13" s="41"/>
      <c r="CG13" s="41"/>
      <c r="CH13" s="41"/>
      <c r="CI13" s="41"/>
      <c r="CJ13" s="41"/>
      <c r="CK13" s="41"/>
      <c r="CL13" s="41"/>
      <c r="CM13" s="41"/>
      <c r="CN13" s="41"/>
      <c r="CO13" s="42"/>
      <c r="CP13" s="8"/>
      <c r="CQ13" s="34"/>
      <c r="CR13" s="26"/>
      <c r="CS13" s="26"/>
      <c r="CT13" s="26"/>
      <c r="CU13" s="30"/>
      <c r="CV13" s="40"/>
      <c r="CW13" s="41"/>
      <c r="CX13" s="41"/>
      <c r="CY13" s="41"/>
      <c r="CZ13" s="41"/>
      <c r="DA13" s="41"/>
      <c r="DB13" s="41"/>
      <c r="DC13" s="41"/>
      <c r="DD13" s="41"/>
      <c r="DE13" s="41"/>
      <c r="DF13" s="41"/>
      <c r="DG13" s="41"/>
      <c r="DH13" s="41"/>
      <c r="DI13" s="41"/>
      <c r="DJ13" s="42"/>
    </row>
    <row r="14" spans="1:114" x14ac:dyDescent="0.4">
      <c r="A14" s="13" t="str">
        <f t="shared" si="9"/>
        <v/>
      </c>
      <c r="B14" s="18" t="str">
        <f t="shared" si="6"/>
        <v/>
      </c>
      <c r="C14" s="18" t="str">
        <f t="shared" si="7"/>
        <v/>
      </c>
      <c r="D14" s="18" t="str">
        <f t="shared" si="8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8"/>
      <c r="V14" s="9"/>
      <c r="W14" s="9"/>
      <c r="X14" s="48"/>
      <c r="Y14" s="21" t="str">
        <f>IF(COUNTA($F14,$K14,$P14,$U14)&gt;0,Y13+SUM(V14:X14),"")</f>
        <v/>
      </c>
      <c r="Z14" s="53" t="str">
        <f>IF($J14="","",ROUND(($J14-$J$3)/1000,1)+(_xlfn.RANK.AVG($J14,($J14,$O14,$T14,$Y14),1)-2.5)*10)</f>
        <v/>
      </c>
      <c r="AA14" s="54" t="str">
        <f>IF($O14="","",ROUND(($O14-$O$3)/1000,1)+(_xlfn.RANK.AVG($O14,($J14,$O14,$T14,$Y14),1)-2.5)*10)</f>
        <v/>
      </c>
      <c r="AB14" s="54" t="str">
        <f>IF($T14="","",ROUND(($T14-$T$3)/1000,1)+(_xlfn.RANK.AVG($T14,($J14,$O14,$T14,$Y14),1)-2.5)*10)</f>
        <v/>
      </c>
      <c r="AC14" s="55" t="str">
        <f>IF($Y14="","",ROUND(($Y14-$Y$3)/1000,1)+(_xlfn.RANK.AVG($Y14,($J14,$O14,$T14,$Y14),1)-2.5)*10)</f>
        <v/>
      </c>
      <c r="AE14" s="8"/>
      <c r="AF14" s="34"/>
      <c r="AG14" s="26"/>
      <c r="AH14" s="26"/>
      <c r="AI14" s="26"/>
      <c r="AJ14" s="30"/>
      <c r="AK14" s="40"/>
      <c r="AL14" s="41"/>
      <c r="AM14" s="41"/>
      <c r="AN14" s="41"/>
      <c r="AO14" s="41"/>
      <c r="AP14" s="41"/>
      <c r="AQ14" s="41"/>
      <c r="AR14" s="41"/>
      <c r="AS14" s="41"/>
      <c r="AT14" s="41"/>
      <c r="AU14" s="41"/>
      <c r="AV14" s="41"/>
      <c r="AW14" s="41"/>
      <c r="AX14" s="41"/>
      <c r="AY14" s="42"/>
      <c r="AZ14" s="8"/>
      <c r="BA14" s="34"/>
      <c r="BB14" s="26"/>
      <c r="BC14" s="26"/>
      <c r="BD14" s="26"/>
      <c r="BE14" s="30"/>
      <c r="BF14" s="40"/>
      <c r="BG14" s="41"/>
      <c r="BH14" s="41"/>
      <c r="BI14" s="41"/>
      <c r="BJ14" s="41"/>
      <c r="BK14" s="41"/>
      <c r="BL14" s="41"/>
      <c r="BM14" s="41"/>
      <c r="BN14" s="41"/>
      <c r="BO14" s="41"/>
      <c r="BP14" s="41"/>
      <c r="BQ14" s="41"/>
      <c r="BR14" s="41"/>
      <c r="BS14" s="41"/>
      <c r="BT14" s="42"/>
      <c r="BU14" s="8"/>
      <c r="BV14" s="34"/>
      <c r="BW14" s="26"/>
      <c r="BX14" s="26"/>
      <c r="BY14" s="26"/>
      <c r="BZ14" s="30"/>
      <c r="CA14" s="40"/>
      <c r="CB14" s="41"/>
      <c r="CC14" s="41"/>
      <c r="CD14" s="41"/>
      <c r="CE14" s="41"/>
      <c r="CF14" s="41"/>
      <c r="CG14" s="41"/>
      <c r="CH14" s="41"/>
      <c r="CI14" s="41"/>
      <c r="CJ14" s="41"/>
      <c r="CK14" s="41"/>
      <c r="CL14" s="41"/>
      <c r="CM14" s="41"/>
      <c r="CN14" s="41"/>
      <c r="CO14" s="42"/>
      <c r="CP14" s="8"/>
      <c r="CQ14" s="34"/>
      <c r="CR14" s="26"/>
      <c r="CS14" s="26"/>
      <c r="CT14" s="26"/>
      <c r="CU14" s="30"/>
      <c r="CV14" s="40"/>
      <c r="CW14" s="41"/>
      <c r="CX14" s="41"/>
      <c r="CY14" s="41"/>
      <c r="CZ14" s="41"/>
      <c r="DA14" s="41"/>
      <c r="DB14" s="41"/>
      <c r="DC14" s="41"/>
      <c r="DD14" s="41"/>
      <c r="DE14" s="41"/>
      <c r="DF14" s="41"/>
      <c r="DG14" s="41"/>
      <c r="DH14" s="41"/>
      <c r="DI14" s="41"/>
      <c r="DJ14" s="42"/>
    </row>
    <row r="15" spans="1:114" x14ac:dyDescent="0.4">
      <c r="A15" s="13" t="str">
        <f t="shared" si="9"/>
        <v/>
      </c>
      <c r="B15" s="18" t="str">
        <f t="shared" si="6"/>
        <v/>
      </c>
      <c r="C15" s="18" t="str">
        <f t="shared" si="7"/>
        <v/>
      </c>
      <c r="D15" s="18" t="str">
        <f t="shared" si="8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8"/>
      <c r="V15" s="9"/>
      <c r="W15" s="9"/>
      <c r="X15" s="48"/>
      <c r="Y15" s="21" t="str">
        <f t="shared" si="5"/>
        <v/>
      </c>
      <c r="Z15" s="53" t="str">
        <f>IF($J15="","",ROUND(($J15-$J$3)/1000,1)+(_xlfn.RANK.AVG($J15,($J15,$O15,$T15,$Y15),1)-2.5)*10)</f>
        <v/>
      </c>
      <c r="AA15" s="54" t="str">
        <f>IF($O15="","",ROUND(($O15-$O$3)/1000,1)+(_xlfn.RANK.AVG($O15,($J15,$O15,$T15,$Y15),1)-2.5)*10)</f>
        <v/>
      </c>
      <c r="AB15" s="54" t="str">
        <f>IF($T15="","",ROUND(($T15-$T$3)/1000,1)+(_xlfn.RANK.AVG($T15,($J15,$O15,$T15,$Y15),1)-2.5)*10)</f>
        <v/>
      </c>
      <c r="AC15" s="55" t="str">
        <f>IF($Y15="","",ROUND(($Y15-$Y$3)/1000,1)+(_xlfn.RANK.AVG($Y15,($J15,$O15,$T15,$Y15),1)-2.5)*10)</f>
        <v/>
      </c>
      <c r="AE15" s="8"/>
      <c r="AF15" s="34"/>
      <c r="AG15" s="26"/>
      <c r="AH15" s="26"/>
      <c r="AI15" s="26"/>
      <c r="AJ15" s="30"/>
      <c r="AK15" s="40"/>
      <c r="AL15" s="41"/>
      <c r="AM15" s="41"/>
      <c r="AN15" s="41"/>
      <c r="AO15" s="41"/>
      <c r="AP15" s="41"/>
      <c r="AQ15" s="41"/>
      <c r="AR15" s="41"/>
      <c r="AS15" s="41"/>
      <c r="AT15" s="41"/>
      <c r="AU15" s="41"/>
      <c r="AV15" s="41"/>
      <c r="AW15" s="41"/>
      <c r="AX15" s="41"/>
      <c r="AY15" s="42"/>
      <c r="AZ15" s="8"/>
      <c r="BA15" s="34"/>
      <c r="BB15" s="26"/>
      <c r="BC15" s="26"/>
      <c r="BD15" s="26"/>
      <c r="BE15" s="30"/>
      <c r="BF15" s="40"/>
      <c r="BG15" s="41"/>
      <c r="BH15" s="41"/>
      <c r="BI15" s="41"/>
      <c r="BJ15" s="41"/>
      <c r="BK15" s="41"/>
      <c r="BL15" s="41"/>
      <c r="BM15" s="41"/>
      <c r="BN15" s="41"/>
      <c r="BO15" s="41"/>
      <c r="BP15" s="41"/>
      <c r="BQ15" s="41"/>
      <c r="BR15" s="41"/>
      <c r="BS15" s="41"/>
      <c r="BT15" s="42"/>
      <c r="BU15" s="8"/>
      <c r="BV15" s="34"/>
      <c r="BW15" s="26"/>
      <c r="BX15" s="26"/>
      <c r="BY15" s="26"/>
      <c r="BZ15" s="30"/>
      <c r="CA15" s="40"/>
      <c r="CB15" s="41"/>
      <c r="CC15" s="41"/>
      <c r="CD15" s="41"/>
      <c r="CE15" s="41"/>
      <c r="CF15" s="41"/>
      <c r="CG15" s="41"/>
      <c r="CH15" s="41"/>
      <c r="CI15" s="41"/>
      <c r="CJ15" s="41"/>
      <c r="CK15" s="41"/>
      <c r="CL15" s="41"/>
      <c r="CM15" s="41"/>
      <c r="CN15" s="41"/>
      <c r="CO15" s="42"/>
      <c r="CP15" s="8"/>
      <c r="CQ15" s="34"/>
      <c r="CR15" s="26"/>
      <c r="CS15" s="26"/>
      <c r="CT15" s="26"/>
      <c r="CU15" s="30"/>
      <c r="CV15" s="40"/>
      <c r="CW15" s="41"/>
      <c r="CX15" s="41"/>
      <c r="CY15" s="41"/>
      <c r="CZ15" s="41"/>
      <c r="DA15" s="41"/>
      <c r="DB15" s="41"/>
      <c r="DC15" s="41"/>
      <c r="DD15" s="41"/>
      <c r="DE15" s="41"/>
      <c r="DF15" s="41"/>
      <c r="DG15" s="41"/>
      <c r="DH15" s="41"/>
      <c r="DI15" s="41"/>
      <c r="DJ15" s="42"/>
    </row>
    <row r="16" spans="1:114" x14ac:dyDescent="0.4">
      <c r="A16" s="13" t="str">
        <f t="shared" si="9"/>
        <v/>
      </c>
      <c r="B16" s="18" t="str">
        <f t="shared" si="6"/>
        <v/>
      </c>
      <c r="C16" s="18" t="str">
        <f t="shared" si="7"/>
        <v/>
      </c>
      <c r="D16" s="18" t="str">
        <f t="shared" si="8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8"/>
      <c r="V16" s="9"/>
      <c r="W16" s="9"/>
      <c r="X16" s="48"/>
      <c r="Y16" s="21" t="str">
        <f t="shared" si="5"/>
        <v/>
      </c>
      <c r="Z16" s="53" t="str">
        <f>IF($J16="","",ROUND(($J16-$J$3)/1000,1)+(_xlfn.RANK.AVG($J16,($J16,$O16,$T16,$Y16),1)-2.5)*10)</f>
        <v/>
      </c>
      <c r="AA16" s="54" t="str">
        <f>IF($O16="","",ROUND(($O16-$O$3)/1000,1)+(_xlfn.RANK.AVG($O16,($J16,$O16,$T16,$Y16),1)-2.5)*10)</f>
        <v/>
      </c>
      <c r="AB16" s="54" t="str">
        <f>IF($T16="","",ROUND(($T16-$T$3)/1000,1)+(_xlfn.RANK.AVG($T16,($J16,$O16,$T16,$Y16),1)-2.5)*10)</f>
        <v/>
      </c>
      <c r="AC16" s="55" t="str">
        <f>IF($Y16="","",ROUND(($Y16-$Y$3)/1000,1)+(_xlfn.RANK.AVG($Y16,($J16,$O16,$T16,$Y16),1)-2.5)*10)</f>
        <v/>
      </c>
      <c r="AE16" s="8"/>
      <c r="AF16" s="34"/>
      <c r="AG16" s="26"/>
      <c r="AH16" s="26"/>
      <c r="AI16" s="26"/>
      <c r="AJ16" s="30"/>
      <c r="AK16" s="40"/>
      <c r="AL16" s="41"/>
      <c r="AM16" s="41"/>
      <c r="AN16" s="41"/>
      <c r="AO16" s="41"/>
      <c r="AP16" s="41"/>
      <c r="AQ16" s="41"/>
      <c r="AR16" s="41"/>
      <c r="AS16" s="41"/>
      <c r="AT16" s="41"/>
      <c r="AU16" s="41"/>
      <c r="AV16" s="41"/>
      <c r="AW16" s="41"/>
      <c r="AX16" s="41"/>
      <c r="AY16" s="42"/>
      <c r="AZ16" s="8"/>
      <c r="BA16" s="34"/>
      <c r="BB16" s="26"/>
      <c r="BC16" s="26"/>
      <c r="BD16" s="26"/>
      <c r="BE16" s="30"/>
      <c r="BF16" s="40"/>
      <c r="BG16" s="41"/>
      <c r="BH16" s="41"/>
      <c r="BI16" s="41"/>
      <c r="BJ16" s="41"/>
      <c r="BK16" s="41"/>
      <c r="BL16" s="41"/>
      <c r="BM16" s="41"/>
      <c r="BN16" s="41"/>
      <c r="BO16" s="41"/>
      <c r="BP16" s="41"/>
      <c r="BQ16" s="41"/>
      <c r="BR16" s="41"/>
      <c r="BS16" s="41"/>
      <c r="BT16" s="42"/>
      <c r="BU16" s="8"/>
      <c r="BV16" s="34"/>
      <c r="BW16" s="26"/>
      <c r="BX16" s="26"/>
      <c r="BY16" s="26"/>
      <c r="BZ16" s="30"/>
      <c r="CA16" s="40"/>
      <c r="CB16" s="41"/>
      <c r="CC16" s="41"/>
      <c r="CD16" s="41"/>
      <c r="CE16" s="41"/>
      <c r="CF16" s="41"/>
      <c r="CG16" s="41"/>
      <c r="CH16" s="41"/>
      <c r="CI16" s="41"/>
      <c r="CJ16" s="41"/>
      <c r="CK16" s="41"/>
      <c r="CL16" s="41"/>
      <c r="CM16" s="41"/>
      <c r="CN16" s="41"/>
      <c r="CO16" s="42"/>
      <c r="CP16" s="8"/>
      <c r="CQ16" s="34"/>
      <c r="CR16" s="26"/>
      <c r="CS16" s="26"/>
      <c r="CT16" s="26"/>
      <c r="CU16" s="30"/>
      <c r="CV16" s="40"/>
      <c r="CW16" s="41"/>
      <c r="CX16" s="41"/>
      <c r="CY16" s="41"/>
      <c r="CZ16" s="41"/>
      <c r="DA16" s="41"/>
      <c r="DB16" s="41"/>
      <c r="DC16" s="41"/>
      <c r="DD16" s="41"/>
      <c r="DE16" s="41"/>
      <c r="DF16" s="41"/>
      <c r="DG16" s="41"/>
      <c r="DH16" s="41"/>
      <c r="DI16" s="41"/>
      <c r="DJ16" s="42"/>
    </row>
    <row r="17" spans="1:114" x14ac:dyDescent="0.4">
      <c r="A17" s="13" t="str">
        <f t="shared" si="9"/>
        <v/>
      </c>
      <c r="B17" s="18" t="str">
        <f t="shared" si="6"/>
        <v/>
      </c>
      <c r="C17" s="18" t="str">
        <f t="shared" si="7"/>
        <v/>
      </c>
      <c r="D17" s="18" t="str">
        <f t="shared" si="8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8"/>
      <c r="V17" s="9"/>
      <c r="W17" s="9"/>
      <c r="X17" s="48"/>
      <c r="Y17" s="21" t="str">
        <f t="shared" si="5"/>
        <v/>
      </c>
      <c r="Z17" s="53" t="str">
        <f>IF($J17="","",ROUND(($J17-$J$3)/1000,1)+(_xlfn.RANK.AVG($J17,($J17,$O17,$T17,$Y17),1)-2.5)*10)</f>
        <v/>
      </c>
      <c r="AA17" s="54" t="str">
        <f>IF($O17="","",ROUND(($O17-$O$3)/1000,1)+(_xlfn.RANK.AVG($O17,($J17,$O17,$T17,$Y17),1)-2.5)*10)</f>
        <v/>
      </c>
      <c r="AB17" s="54" t="str">
        <f>IF($T17="","",ROUND(($T17-$T$3)/1000,1)+(_xlfn.RANK.AVG($T17,($J17,$O17,$T17,$Y17),1)-2.5)*10)</f>
        <v/>
      </c>
      <c r="AC17" s="55" t="str">
        <f>IF($Y17="","",ROUND(($Y17-$Y$3)/1000,1)+(_xlfn.RANK.AVG($Y17,($J17,$O17,$T17,$Y17),1)-2.5)*10)</f>
        <v/>
      </c>
      <c r="AE17" s="8"/>
      <c r="AF17" s="34"/>
      <c r="AG17" s="26"/>
      <c r="AH17" s="26"/>
      <c r="AI17" s="26"/>
      <c r="AJ17" s="30"/>
      <c r="AK17" s="40"/>
      <c r="AL17" s="41"/>
      <c r="AM17" s="41"/>
      <c r="AN17" s="41"/>
      <c r="AO17" s="41"/>
      <c r="AP17" s="41"/>
      <c r="AQ17" s="41"/>
      <c r="AR17" s="41"/>
      <c r="AS17" s="41"/>
      <c r="AT17" s="41"/>
      <c r="AU17" s="41"/>
      <c r="AV17" s="41"/>
      <c r="AW17" s="41"/>
      <c r="AX17" s="41"/>
      <c r="AY17" s="42"/>
      <c r="AZ17" s="8"/>
      <c r="BA17" s="34"/>
      <c r="BB17" s="26"/>
      <c r="BC17" s="26"/>
      <c r="BD17" s="26"/>
      <c r="BE17" s="30"/>
      <c r="BF17" s="40"/>
      <c r="BG17" s="41"/>
      <c r="BH17" s="41"/>
      <c r="BI17" s="41"/>
      <c r="BJ17" s="41"/>
      <c r="BK17" s="41"/>
      <c r="BL17" s="41"/>
      <c r="BM17" s="41"/>
      <c r="BN17" s="41"/>
      <c r="BO17" s="41"/>
      <c r="BP17" s="41"/>
      <c r="BQ17" s="41"/>
      <c r="BR17" s="41"/>
      <c r="BS17" s="41"/>
      <c r="BT17" s="42"/>
      <c r="BU17" s="8"/>
      <c r="BV17" s="34"/>
      <c r="BW17" s="26"/>
      <c r="BX17" s="26"/>
      <c r="BY17" s="26"/>
      <c r="BZ17" s="30"/>
      <c r="CA17" s="40"/>
      <c r="CB17" s="41"/>
      <c r="CC17" s="41"/>
      <c r="CD17" s="41"/>
      <c r="CE17" s="41"/>
      <c r="CF17" s="41"/>
      <c r="CG17" s="41"/>
      <c r="CH17" s="41"/>
      <c r="CI17" s="41"/>
      <c r="CJ17" s="41"/>
      <c r="CK17" s="41"/>
      <c r="CL17" s="41"/>
      <c r="CM17" s="41"/>
      <c r="CN17" s="41"/>
      <c r="CO17" s="42"/>
      <c r="CP17" s="8"/>
      <c r="CQ17" s="34"/>
      <c r="CR17" s="26"/>
      <c r="CS17" s="26"/>
      <c r="CT17" s="26"/>
      <c r="CU17" s="30"/>
      <c r="CV17" s="40"/>
      <c r="CW17" s="41"/>
      <c r="CX17" s="41"/>
      <c r="CY17" s="41"/>
      <c r="CZ17" s="41"/>
      <c r="DA17" s="41"/>
      <c r="DB17" s="41"/>
      <c r="DC17" s="41"/>
      <c r="DD17" s="41"/>
      <c r="DE17" s="41"/>
      <c r="DF17" s="41"/>
      <c r="DG17" s="41"/>
      <c r="DH17" s="41"/>
      <c r="DI17" s="41"/>
      <c r="DJ17" s="42"/>
    </row>
    <row r="18" spans="1:114" x14ac:dyDescent="0.4">
      <c r="A18" s="13" t="str">
        <f t="shared" si="9"/>
        <v/>
      </c>
      <c r="B18" s="18" t="str">
        <f t="shared" si="6"/>
        <v/>
      </c>
      <c r="C18" s="18" t="str">
        <f t="shared" si="7"/>
        <v/>
      </c>
      <c r="D18" s="18" t="str">
        <f t="shared" si="8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8"/>
      <c r="V18" s="9"/>
      <c r="W18" s="9"/>
      <c r="X18" s="48"/>
      <c r="Y18" s="21" t="str">
        <f t="shared" si="5"/>
        <v/>
      </c>
      <c r="Z18" s="53" t="str">
        <f>IF($J18="","",ROUND(($J18-$J$3)/1000,1)+(_xlfn.RANK.AVG($J18,($J18,$O18,$T18,$Y18),1)-2.5)*10)</f>
        <v/>
      </c>
      <c r="AA18" s="54" t="str">
        <f>IF($O18="","",ROUND(($O18-$O$3)/1000,1)+(_xlfn.RANK.AVG($O18,($J18,$O18,$T18,$Y18),1)-2.5)*10)</f>
        <v/>
      </c>
      <c r="AB18" s="54" t="str">
        <f>IF($T18="","",ROUND(($T18-$T$3)/1000,1)+(_xlfn.RANK.AVG($T18,($J18,$O18,$T18,$Y18),1)-2.5)*10)</f>
        <v/>
      </c>
      <c r="AC18" s="55" t="str">
        <f>IF($Y18="","",ROUND(($Y18-$Y$3)/1000,1)+(_xlfn.RANK.AVG($Y18,($J18,$O18,$T18,$Y18),1)-2.5)*10)</f>
        <v/>
      </c>
      <c r="AE18" s="8"/>
      <c r="AF18" s="34"/>
      <c r="AG18" s="26"/>
      <c r="AH18" s="26"/>
      <c r="AI18" s="26"/>
      <c r="AJ18" s="30"/>
      <c r="AK18" s="40"/>
      <c r="AL18" s="41"/>
      <c r="AM18" s="41"/>
      <c r="AN18" s="41"/>
      <c r="AO18" s="41"/>
      <c r="AP18" s="41"/>
      <c r="AQ18" s="41"/>
      <c r="AR18" s="41"/>
      <c r="AS18" s="41"/>
      <c r="AT18" s="41"/>
      <c r="AU18" s="41"/>
      <c r="AV18" s="41"/>
      <c r="AW18" s="41"/>
      <c r="AX18" s="41"/>
      <c r="AY18" s="42"/>
      <c r="AZ18" s="8"/>
      <c r="BA18" s="34"/>
      <c r="BB18" s="26"/>
      <c r="BC18" s="26"/>
      <c r="BD18" s="26"/>
      <c r="BE18" s="30"/>
      <c r="BF18" s="40"/>
      <c r="BG18" s="41"/>
      <c r="BH18" s="41"/>
      <c r="BI18" s="41"/>
      <c r="BJ18" s="41"/>
      <c r="BK18" s="41"/>
      <c r="BL18" s="41"/>
      <c r="BM18" s="41"/>
      <c r="BN18" s="41"/>
      <c r="BO18" s="41"/>
      <c r="BP18" s="41"/>
      <c r="BQ18" s="41"/>
      <c r="BR18" s="41"/>
      <c r="BS18" s="41"/>
      <c r="BT18" s="42"/>
      <c r="BU18" s="8"/>
      <c r="BV18" s="34"/>
      <c r="BW18" s="26"/>
      <c r="BX18" s="26"/>
      <c r="BY18" s="26"/>
      <c r="BZ18" s="30"/>
      <c r="CA18" s="40"/>
      <c r="CB18" s="41"/>
      <c r="CC18" s="41"/>
      <c r="CD18" s="41"/>
      <c r="CE18" s="41"/>
      <c r="CF18" s="41"/>
      <c r="CG18" s="41"/>
      <c r="CH18" s="41"/>
      <c r="CI18" s="41"/>
      <c r="CJ18" s="41"/>
      <c r="CK18" s="41"/>
      <c r="CL18" s="41"/>
      <c r="CM18" s="41"/>
      <c r="CN18" s="41"/>
      <c r="CO18" s="42"/>
      <c r="CP18" s="8"/>
      <c r="CQ18" s="34"/>
      <c r="CR18" s="26"/>
      <c r="CS18" s="26"/>
      <c r="CT18" s="26"/>
      <c r="CU18" s="30"/>
      <c r="CV18" s="40"/>
      <c r="CW18" s="41"/>
      <c r="CX18" s="41"/>
      <c r="CY18" s="41"/>
      <c r="CZ18" s="41"/>
      <c r="DA18" s="41"/>
      <c r="DB18" s="41"/>
      <c r="DC18" s="41"/>
      <c r="DD18" s="41"/>
      <c r="DE18" s="41"/>
      <c r="DF18" s="41"/>
      <c r="DG18" s="41"/>
      <c r="DH18" s="41"/>
      <c r="DI18" s="41"/>
      <c r="DJ18" s="42"/>
    </row>
    <row r="19" spans="1:114" x14ac:dyDescent="0.4">
      <c r="A19" s="13" t="str">
        <f t="shared" si="9"/>
        <v/>
      </c>
      <c r="B19" s="18" t="str">
        <f t="shared" si="6"/>
        <v/>
      </c>
      <c r="C19" s="18" t="str">
        <f t="shared" si="7"/>
        <v/>
      </c>
      <c r="D19" s="18" t="str">
        <f t="shared" si="8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8"/>
      <c r="V19" s="9"/>
      <c r="W19" s="9"/>
      <c r="X19" s="48"/>
      <c r="Y19" s="21" t="str">
        <f t="shared" si="5"/>
        <v/>
      </c>
      <c r="Z19" s="53" t="str">
        <f>IF($J19="","",ROUND(($J19-$J$3)/1000,1)+(_xlfn.RANK.AVG($J19,($J19,$O19,$T19,$Y19),1)-2.5)*10)</f>
        <v/>
      </c>
      <c r="AA19" s="54" t="str">
        <f>IF($O19="","",ROUND(($O19-$O$3)/1000,1)+(_xlfn.RANK.AVG($O19,($J19,$O19,$T19,$Y19),1)-2.5)*10)</f>
        <v/>
      </c>
      <c r="AB19" s="54" t="str">
        <f>IF($T19="","",ROUND(($T19-$T$3)/1000,1)+(_xlfn.RANK.AVG($T19,($J19,$O19,$T19,$Y19),1)-2.5)*10)</f>
        <v/>
      </c>
      <c r="AC19" s="55" t="str">
        <f>IF($Y19="","",ROUND(($Y19-$Y$3)/1000,1)+(_xlfn.RANK.AVG($Y19,($J19,$O19,$T19,$Y19),1)-2.5)*10)</f>
        <v/>
      </c>
      <c r="AE19" s="8"/>
      <c r="AF19" s="34"/>
      <c r="AG19" s="26"/>
      <c r="AH19" s="26"/>
      <c r="AI19" s="26"/>
      <c r="AJ19" s="30"/>
      <c r="AK19" s="40"/>
      <c r="AL19" s="41"/>
      <c r="AM19" s="41"/>
      <c r="AN19" s="41"/>
      <c r="AO19" s="41"/>
      <c r="AP19" s="41"/>
      <c r="AQ19" s="41"/>
      <c r="AR19" s="41"/>
      <c r="AS19" s="41"/>
      <c r="AT19" s="41"/>
      <c r="AU19" s="41"/>
      <c r="AV19" s="41"/>
      <c r="AW19" s="41"/>
      <c r="AX19" s="41"/>
      <c r="AY19" s="42"/>
      <c r="AZ19" s="8"/>
      <c r="BA19" s="34"/>
      <c r="BB19" s="26"/>
      <c r="BC19" s="26"/>
      <c r="BD19" s="26"/>
      <c r="BE19" s="30"/>
      <c r="BF19" s="40"/>
      <c r="BG19" s="41"/>
      <c r="BH19" s="41"/>
      <c r="BI19" s="41"/>
      <c r="BJ19" s="41"/>
      <c r="BK19" s="41"/>
      <c r="BL19" s="41"/>
      <c r="BM19" s="41"/>
      <c r="BN19" s="41"/>
      <c r="BO19" s="41"/>
      <c r="BP19" s="41"/>
      <c r="BQ19" s="41"/>
      <c r="BR19" s="41"/>
      <c r="BS19" s="41"/>
      <c r="BT19" s="42"/>
      <c r="BU19" s="8"/>
      <c r="BV19" s="34"/>
      <c r="BW19" s="26"/>
      <c r="BX19" s="26"/>
      <c r="BY19" s="26"/>
      <c r="BZ19" s="30"/>
      <c r="CA19" s="40"/>
      <c r="CB19" s="41"/>
      <c r="CC19" s="41"/>
      <c r="CD19" s="41"/>
      <c r="CE19" s="41"/>
      <c r="CF19" s="41"/>
      <c r="CG19" s="41"/>
      <c r="CH19" s="41"/>
      <c r="CI19" s="41"/>
      <c r="CJ19" s="41"/>
      <c r="CK19" s="41"/>
      <c r="CL19" s="41"/>
      <c r="CM19" s="41"/>
      <c r="CN19" s="41"/>
      <c r="CO19" s="42"/>
      <c r="CP19" s="8"/>
      <c r="CQ19" s="34"/>
      <c r="CR19" s="26"/>
      <c r="CS19" s="26"/>
      <c r="CT19" s="26"/>
      <c r="CU19" s="30"/>
      <c r="CV19" s="40"/>
      <c r="CW19" s="41"/>
      <c r="CX19" s="41"/>
      <c r="CY19" s="41"/>
      <c r="CZ19" s="41"/>
      <c r="DA19" s="41"/>
      <c r="DB19" s="41"/>
      <c r="DC19" s="41"/>
      <c r="DD19" s="41"/>
      <c r="DE19" s="41"/>
      <c r="DF19" s="41"/>
      <c r="DG19" s="41"/>
      <c r="DH19" s="41"/>
      <c r="DI19" s="41"/>
      <c r="DJ19" s="42"/>
    </row>
    <row r="20" spans="1:114" x14ac:dyDescent="0.4">
      <c r="A20" s="13" t="str">
        <f t="shared" si="9"/>
        <v/>
      </c>
      <c r="B20" s="18" t="str">
        <f t="shared" si="6"/>
        <v/>
      </c>
      <c r="C20" s="18" t="str">
        <f t="shared" si="7"/>
        <v/>
      </c>
      <c r="D20" s="18" t="str">
        <f t="shared" si="8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8"/>
      <c r="V20" s="9"/>
      <c r="W20" s="9"/>
      <c r="X20" s="48"/>
      <c r="Y20" s="21" t="str">
        <f t="shared" si="5"/>
        <v/>
      </c>
      <c r="Z20" s="53" t="str">
        <f>IF($J20="","",ROUND(($J20-$J$3)/1000,1)+(_xlfn.RANK.AVG($J20,($J20,$O20,$T20,$Y20),1)-2.5)*10)</f>
        <v/>
      </c>
      <c r="AA20" s="54" t="str">
        <f>IF($O20="","",ROUND(($O20-$O$3)/1000,1)+(_xlfn.RANK.AVG($O20,($J20,$O20,$T20,$Y20),1)-2.5)*10)</f>
        <v/>
      </c>
      <c r="AB20" s="54" t="str">
        <f>IF($T20="","",ROUND(($T20-$T$3)/1000,1)+(_xlfn.RANK.AVG($T20,($J20,$O20,$T20,$Y20),1)-2.5)*10)</f>
        <v/>
      </c>
      <c r="AC20" s="55" t="str">
        <f>IF($Y20="","",ROUND(($Y20-$Y$3)/1000,1)+(_xlfn.RANK.AVG($Y20,($J20,$O20,$T20,$Y20),1)-2.5)*10)</f>
        <v/>
      </c>
      <c r="AE20" s="8"/>
      <c r="AF20" s="34"/>
      <c r="AG20" s="26"/>
      <c r="AH20" s="26"/>
      <c r="AI20" s="26"/>
      <c r="AJ20" s="30"/>
      <c r="AK20" s="40"/>
      <c r="AL20" s="41"/>
      <c r="AM20" s="41"/>
      <c r="AN20" s="41"/>
      <c r="AO20" s="41"/>
      <c r="AP20" s="41"/>
      <c r="AQ20" s="41"/>
      <c r="AR20" s="41"/>
      <c r="AS20" s="41"/>
      <c r="AT20" s="41"/>
      <c r="AU20" s="41"/>
      <c r="AV20" s="41"/>
      <c r="AW20" s="41"/>
      <c r="AX20" s="41"/>
      <c r="AY20" s="42"/>
      <c r="AZ20" s="8"/>
      <c r="BA20" s="34"/>
      <c r="BB20" s="26"/>
      <c r="BC20" s="26"/>
      <c r="BD20" s="26"/>
      <c r="BE20" s="30"/>
      <c r="BF20" s="40"/>
      <c r="BG20" s="41"/>
      <c r="BH20" s="41"/>
      <c r="BI20" s="41"/>
      <c r="BJ20" s="41"/>
      <c r="BK20" s="41"/>
      <c r="BL20" s="41"/>
      <c r="BM20" s="41"/>
      <c r="BN20" s="41"/>
      <c r="BO20" s="41"/>
      <c r="BP20" s="41"/>
      <c r="BQ20" s="41"/>
      <c r="BR20" s="41"/>
      <c r="BS20" s="41"/>
      <c r="BT20" s="42"/>
      <c r="BU20" s="8"/>
      <c r="BV20" s="34"/>
      <c r="BW20" s="26"/>
      <c r="BX20" s="26"/>
      <c r="BY20" s="26"/>
      <c r="BZ20" s="30"/>
      <c r="CA20" s="40"/>
      <c r="CB20" s="41"/>
      <c r="CC20" s="41"/>
      <c r="CD20" s="41"/>
      <c r="CE20" s="41"/>
      <c r="CF20" s="41"/>
      <c r="CG20" s="41"/>
      <c r="CH20" s="41"/>
      <c r="CI20" s="41"/>
      <c r="CJ20" s="41"/>
      <c r="CK20" s="41"/>
      <c r="CL20" s="41"/>
      <c r="CM20" s="41"/>
      <c r="CN20" s="41"/>
      <c r="CO20" s="42"/>
      <c r="CP20" s="8"/>
      <c r="CQ20" s="34"/>
      <c r="CR20" s="26"/>
      <c r="CS20" s="26"/>
      <c r="CT20" s="26"/>
      <c r="CU20" s="30"/>
      <c r="CV20" s="40"/>
      <c r="CW20" s="41"/>
      <c r="CX20" s="41"/>
      <c r="CY20" s="41"/>
      <c r="CZ20" s="41"/>
      <c r="DA20" s="41"/>
      <c r="DB20" s="41"/>
      <c r="DC20" s="41"/>
      <c r="DD20" s="41"/>
      <c r="DE20" s="41"/>
      <c r="DF20" s="41"/>
      <c r="DG20" s="41"/>
      <c r="DH20" s="41"/>
      <c r="DI20" s="41"/>
      <c r="DJ20" s="42"/>
    </row>
    <row r="21" spans="1:114" x14ac:dyDescent="0.4">
      <c r="A21" s="13" t="str">
        <f t="shared" si="9"/>
        <v/>
      </c>
      <c r="B21" s="18" t="str">
        <f t="shared" si="6"/>
        <v/>
      </c>
      <c r="C21" s="18" t="str">
        <f t="shared" si="7"/>
        <v/>
      </c>
      <c r="D21" s="18" t="str">
        <f t="shared" si="8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8"/>
      <c r="V21" s="9"/>
      <c r="W21" s="9"/>
      <c r="X21" s="48"/>
      <c r="Y21" s="21" t="str">
        <f t="shared" si="5"/>
        <v/>
      </c>
      <c r="Z21" s="53" t="str">
        <f>IF($J21="","",ROUND(($J21-$J$3)/1000,1)+(_xlfn.RANK.AVG($J21,($J21,$O21,$T21,$Y21),1)-2.5)*10)</f>
        <v/>
      </c>
      <c r="AA21" s="54" t="str">
        <f>IF($O21="","",ROUND(($O21-$O$3)/1000,1)+(_xlfn.RANK.AVG($O21,($J21,$O21,$T21,$Y21),1)-2.5)*10)</f>
        <v/>
      </c>
      <c r="AB21" s="54" t="str">
        <f>IF($T21="","",ROUND(($T21-$T$3)/1000,1)+(_xlfn.RANK.AVG($T21,($J21,$O21,$T21,$Y21),1)-2.5)*10)</f>
        <v/>
      </c>
      <c r="AC21" s="55" t="str">
        <f>IF($Y21="","",ROUND(($Y21-$Y$3)/1000,1)+(_xlfn.RANK.AVG($Y21,($J21,$O21,$T21,$Y21),1)-2.5)*10)</f>
        <v/>
      </c>
      <c r="AE21" s="8"/>
      <c r="AF21" s="34"/>
      <c r="AG21" s="26"/>
      <c r="AH21" s="26"/>
      <c r="AI21" s="26"/>
      <c r="AJ21" s="30"/>
      <c r="AK21" s="40"/>
      <c r="AL21" s="41"/>
      <c r="AM21" s="41"/>
      <c r="AN21" s="41"/>
      <c r="AO21" s="41"/>
      <c r="AP21" s="41"/>
      <c r="AQ21" s="41"/>
      <c r="AR21" s="41"/>
      <c r="AS21" s="41"/>
      <c r="AT21" s="41"/>
      <c r="AU21" s="41"/>
      <c r="AV21" s="41"/>
      <c r="AW21" s="41"/>
      <c r="AX21" s="41"/>
      <c r="AY21" s="42"/>
      <c r="AZ21" s="8"/>
      <c r="BA21" s="34"/>
      <c r="BB21" s="26"/>
      <c r="BC21" s="26"/>
      <c r="BD21" s="26"/>
      <c r="BE21" s="30"/>
      <c r="BF21" s="40"/>
      <c r="BG21" s="41"/>
      <c r="BH21" s="41"/>
      <c r="BI21" s="41"/>
      <c r="BJ21" s="41"/>
      <c r="BK21" s="41"/>
      <c r="BL21" s="41"/>
      <c r="BM21" s="41"/>
      <c r="BN21" s="41"/>
      <c r="BO21" s="41"/>
      <c r="BP21" s="41"/>
      <c r="BQ21" s="41"/>
      <c r="BR21" s="41"/>
      <c r="BS21" s="41"/>
      <c r="BT21" s="42"/>
      <c r="BU21" s="8"/>
      <c r="BV21" s="34"/>
      <c r="BW21" s="26"/>
      <c r="BX21" s="26"/>
      <c r="BY21" s="26"/>
      <c r="BZ21" s="30"/>
      <c r="CA21" s="40"/>
      <c r="CB21" s="41"/>
      <c r="CC21" s="41"/>
      <c r="CD21" s="41"/>
      <c r="CE21" s="41"/>
      <c r="CF21" s="41"/>
      <c r="CG21" s="41"/>
      <c r="CH21" s="41"/>
      <c r="CI21" s="41"/>
      <c r="CJ21" s="41"/>
      <c r="CK21" s="41"/>
      <c r="CL21" s="41"/>
      <c r="CM21" s="41"/>
      <c r="CN21" s="41"/>
      <c r="CO21" s="42"/>
      <c r="CP21" s="8"/>
      <c r="CQ21" s="34"/>
      <c r="CR21" s="26"/>
      <c r="CS21" s="26"/>
      <c r="CT21" s="26"/>
      <c r="CU21" s="30"/>
      <c r="CV21" s="40"/>
      <c r="CW21" s="41"/>
      <c r="CX21" s="41"/>
      <c r="CY21" s="41"/>
      <c r="CZ21" s="41"/>
      <c r="DA21" s="41"/>
      <c r="DB21" s="41"/>
      <c r="DC21" s="41"/>
      <c r="DD21" s="41"/>
      <c r="DE21" s="41"/>
      <c r="DF21" s="41"/>
      <c r="DG21" s="41"/>
      <c r="DH21" s="41"/>
      <c r="DI21" s="41"/>
      <c r="DJ21" s="42"/>
    </row>
    <row r="22" spans="1:114" x14ac:dyDescent="0.4">
      <c r="A22" s="13" t="str">
        <f t="shared" si="9"/>
        <v/>
      </c>
      <c r="B22" s="18" t="str">
        <f t="shared" si="6"/>
        <v/>
      </c>
      <c r="C22" s="18" t="str">
        <f t="shared" si="7"/>
        <v/>
      </c>
      <c r="D22" s="18" t="str">
        <f t="shared" si="8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8"/>
      <c r="V22" s="9"/>
      <c r="W22" s="9"/>
      <c r="X22" s="48"/>
      <c r="Y22" s="21" t="str">
        <f t="shared" si="5"/>
        <v/>
      </c>
      <c r="Z22" s="53" t="str">
        <f>IF($J22="","",ROUND(($J22-$J$3)/1000,1)+(_xlfn.RANK.AVG($J22,($J22,$O22,$T22,$Y22),1)-2.5)*10)</f>
        <v/>
      </c>
      <c r="AA22" s="54" t="str">
        <f>IF($O22="","",ROUND(($O22-$O$3)/1000,1)+(_xlfn.RANK.AVG($O22,($J22,$O22,$T22,$Y22),1)-2.5)*10)</f>
        <v/>
      </c>
      <c r="AB22" s="54" t="str">
        <f>IF($T22="","",ROUND(($T22-$T$3)/1000,1)+(_xlfn.RANK.AVG($T22,($J22,$O22,$T22,$Y22),1)-2.5)*10)</f>
        <v/>
      </c>
      <c r="AC22" s="55" t="str">
        <f>IF($Y22="","",ROUND(($Y22-$Y$3)/1000,1)+(_xlfn.RANK.AVG($Y22,($J22,$O22,$T22,$Y22),1)-2.5)*10)</f>
        <v/>
      </c>
      <c r="AE22" s="8"/>
      <c r="AF22" s="34"/>
      <c r="AG22" s="26"/>
      <c r="AH22" s="26"/>
      <c r="AI22" s="26"/>
      <c r="AJ22" s="30"/>
      <c r="AK22" s="40"/>
      <c r="AL22" s="41"/>
      <c r="AM22" s="41"/>
      <c r="AN22" s="41"/>
      <c r="AO22" s="41"/>
      <c r="AP22" s="41"/>
      <c r="AQ22" s="41"/>
      <c r="AR22" s="41"/>
      <c r="AS22" s="41"/>
      <c r="AT22" s="41"/>
      <c r="AU22" s="41"/>
      <c r="AV22" s="41"/>
      <c r="AW22" s="41"/>
      <c r="AX22" s="41"/>
      <c r="AY22" s="42"/>
      <c r="AZ22" s="8"/>
      <c r="BA22" s="34"/>
      <c r="BB22" s="26"/>
      <c r="BC22" s="26"/>
      <c r="BD22" s="26"/>
      <c r="BE22" s="30"/>
      <c r="BF22" s="40"/>
      <c r="BG22" s="41"/>
      <c r="BH22" s="41"/>
      <c r="BI22" s="41"/>
      <c r="BJ22" s="41"/>
      <c r="BK22" s="41"/>
      <c r="BL22" s="41"/>
      <c r="BM22" s="41"/>
      <c r="BN22" s="41"/>
      <c r="BO22" s="41"/>
      <c r="BP22" s="41"/>
      <c r="BQ22" s="41"/>
      <c r="BR22" s="41"/>
      <c r="BS22" s="41"/>
      <c r="BT22" s="42"/>
      <c r="BU22" s="8"/>
      <c r="BV22" s="34"/>
      <c r="BW22" s="26"/>
      <c r="BX22" s="26"/>
      <c r="BY22" s="26"/>
      <c r="BZ22" s="30"/>
      <c r="CA22" s="40"/>
      <c r="CB22" s="41"/>
      <c r="CC22" s="41"/>
      <c r="CD22" s="41"/>
      <c r="CE22" s="41"/>
      <c r="CF22" s="41"/>
      <c r="CG22" s="41"/>
      <c r="CH22" s="41"/>
      <c r="CI22" s="41"/>
      <c r="CJ22" s="41"/>
      <c r="CK22" s="41"/>
      <c r="CL22" s="41"/>
      <c r="CM22" s="41"/>
      <c r="CN22" s="41"/>
      <c r="CO22" s="42"/>
      <c r="CP22" s="8"/>
      <c r="CQ22" s="34"/>
      <c r="CR22" s="26"/>
      <c r="CS22" s="26"/>
      <c r="CT22" s="26"/>
      <c r="CU22" s="30"/>
      <c r="CV22" s="40"/>
      <c r="CW22" s="41"/>
      <c r="CX22" s="41"/>
      <c r="CY22" s="41"/>
      <c r="CZ22" s="41"/>
      <c r="DA22" s="41"/>
      <c r="DB22" s="41"/>
      <c r="DC22" s="41"/>
      <c r="DD22" s="41"/>
      <c r="DE22" s="41"/>
      <c r="DF22" s="41"/>
      <c r="DG22" s="41"/>
      <c r="DH22" s="41"/>
      <c r="DI22" s="41"/>
      <c r="DJ22" s="42"/>
    </row>
    <row r="23" spans="1:114" x14ac:dyDescent="0.4">
      <c r="A23" s="13" t="str">
        <f t="shared" si="9"/>
        <v/>
      </c>
      <c r="B23" s="18" t="str">
        <f t="shared" si="6"/>
        <v/>
      </c>
      <c r="C23" s="18" t="str">
        <f t="shared" si="7"/>
        <v/>
      </c>
      <c r="D23" s="18" t="str">
        <f t="shared" si="8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8"/>
      <c r="V23" s="9"/>
      <c r="W23" s="9"/>
      <c r="X23" s="48"/>
      <c r="Y23" s="21" t="str">
        <f t="shared" si="5"/>
        <v/>
      </c>
      <c r="Z23" s="53" t="str">
        <f>IF($J23="","",ROUND(($J23-$J$3)/1000,1)+(_xlfn.RANK.AVG($J23,($J23,$O23,$T23,$Y23),1)-2.5)*10)</f>
        <v/>
      </c>
      <c r="AA23" s="54" t="str">
        <f>IF($O23="","",ROUND(($O23-$O$3)/1000,1)+(_xlfn.RANK.AVG($O23,($J23,$O23,$T23,$Y23),1)-2.5)*10)</f>
        <v/>
      </c>
      <c r="AB23" s="54" t="str">
        <f>IF($T23="","",ROUND(($T23-$T$3)/1000,1)+(_xlfn.RANK.AVG($T23,($J23,$O23,$T23,$Y23),1)-2.5)*10)</f>
        <v/>
      </c>
      <c r="AC23" s="55" t="str">
        <f>IF($Y23="","",ROUND(($Y23-$Y$3)/1000,1)+(_xlfn.RANK.AVG($Y23,($J23,$O23,$T23,$Y23),1)-2.5)*10)</f>
        <v/>
      </c>
      <c r="AE23" s="8"/>
      <c r="AF23" s="34"/>
      <c r="AG23" s="26"/>
      <c r="AH23" s="26"/>
      <c r="AI23" s="26"/>
      <c r="AJ23" s="30"/>
      <c r="AK23" s="40"/>
      <c r="AL23" s="41"/>
      <c r="AM23" s="41"/>
      <c r="AN23" s="41"/>
      <c r="AO23" s="41"/>
      <c r="AP23" s="41"/>
      <c r="AQ23" s="41"/>
      <c r="AR23" s="41"/>
      <c r="AS23" s="41"/>
      <c r="AT23" s="41"/>
      <c r="AU23" s="41"/>
      <c r="AV23" s="41"/>
      <c r="AW23" s="41"/>
      <c r="AX23" s="41"/>
      <c r="AY23" s="42"/>
      <c r="AZ23" s="8"/>
      <c r="BA23" s="34"/>
      <c r="BB23" s="26"/>
      <c r="BC23" s="26"/>
      <c r="BD23" s="26"/>
      <c r="BE23" s="30"/>
      <c r="BF23" s="40"/>
      <c r="BG23" s="41"/>
      <c r="BH23" s="41"/>
      <c r="BI23" s="41"/>
      <c r="BJ23" s="41"/>
      <c r="BK23" s="41"/>
      <c r="BL23" s="41"/>
      <c r="BM23" s="41"/>
      <c r="BN23" s="41"/>
      <c r="BO23" s="41"/>
      <c r="BP23" s="41"/>
      <c r="BQ23" s="41"/>
      <c r="BR23" s="41"/>
      <c r="BS23" s="41"/>
      <c r="BT23" s="42"/>
      <c r="BU23" s="8"/>
      <c r="BV23" s="34"/>
      <c r="BW23" s="26"/>
      <c r="BX23" s="26"/>
      <c r="BY23" s="26"/>
      <c r="BZ23" s="30"/>
      <c r="CA23" s="40"/>
      <c r="CB23" s="41"/>
      <c r="CC23" s="41"/>
      <c r="CD23" s="41"/>
      <c r="CE23" s="41"/>
      <c r="CF23" s="41"/>
      <c r="CG23" s="41"/>
      <c r="CH23" s="41"/>
      <c r="CI23" s="41"/>
      <c r="CJ23" s="41"/>
      <c r="CK23" s="41"/>
      <c r="CL23" s="41"/>
      <c r="CM23" s="41"/>
      <c r="CN23" s="41"/>
      <c r="CO23" s="42"/>
      <c r="CP23" s="8"/>
      <c r="CQ23" s="34"/>
      <c r="CR23" s="26"/>
      <c r="CS23" s="26"/>
      <c r="CT23" s="26"/>
      <c r="CU23" s="30"/>
      <c r="CV23" s="40"/>
      <c r="CW23" s="41"/>
      <c r="CX23" s="41"/>
      <c r="CY23" s="41"/>
      <c r="CZ23" s="41"/>
      <c r="DA23" s="41"/>
      <c r="DB23" s="41"/>
      <c r="DC23" s="41"/>
      <c r="DD23" s="41"/>
      <c r="DE23" s="41"/>
      <c r="DF23" s="41"/>
      <c r="DG23" s="41"/>
      <c r="DH23" s="41"/>
      <c r="DI23" s="41"/>
      <c r="DJ23" s="42"/>
    </row>
    <row r="24" spans="1:114" x14ac:dyDescent="0.4">
      <c r="A24" s="13" t="str">
        <f t="shared" si="9"/>
        <v/>
      </c>
      <c r="B24" s="18" t="str">
        <f t="shared" si="6"/>
        <v/>
      </c>
      <c r="C24" s="18" t="str">
        <f t="shared" si="7"/>
        <v/>
      </c>
      <c r="D24" s="18" t="str">
        <f t="shared" si="8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8"/>
      <c r="V24" s="9"/>
      <c r="W24" s="9"/>
      <c r="X24" s="48"/>
      <c r="Y24" s="21" t="str">
        <f t="shared" si="5"/>
        <v/>
      </c>
      <c r="Z24" s="53" t="str">
        <f>IF($J24="","",ROUND(($J24-$J$3)/1000,1)+(_xlfn.RANK.AVG($J24,($J24,$O24,$T24,$Y24),1)-2.5)*10)</f>
        <v/>
      </c>
      <c r="AA24" s="54" t="str">
        <f>IF($O24="","",ROUND(($O24-$O$3)/1000,1)+(_xlfn.RANK.AVG($O24,($J24,$O24,$T24,$Y24),1)-2.5)*10)</f>
        <v/>
      </c>
      <c r="AB24" s="54" t="str">
        <f>IF($T24="","",ROUND(($T24-$T$3)/1000,1)+(_xlfn.RANK.AVG($T24,($J24,$O24,$T24,$Y24),1)-2.5)*10)</f>
        <v/>
      </c>
      <c r="AC24" s="55" t="str">
        <f>IF($Y24="","",ROUND(($Y24-$Y$3)/1000,1)+(_xlfn.RANK.AVG($Y24,($J24,$O24,$T24,$Y24),1)-2.5)*10)</f>
        <v/>
      </c>
      <c r="AE24" s="8"/>
      <c r="AF24" s="34"/>
      <c r="AG24" s="26"/>
      <c r="AH24" s="26"/>
      <c r="AI24" s="26"/>
      <c r="AJ24" s="30"/>
      <c r="AK24" s="40"/>
      <c r="AL24" s="41"/>
      <c r="AM24" s="41"/>
      <c r="AN24" s="41"/>
      <c r="AO24" s="41"/>
      <c r="AP24" s="41"/>
      <c r="AQ24" s="41"/>
      <c r="AR24" s="41"/>
      <c r="AS24" s="41"/>
      <c r="AT24" s="41"/>
      <c r="AU24" s="41"/>
      <c r="AV24" s="41"/>
      <c r="AW24" s="41"/>
      <c r="AX24" s="41"/>
      <c r="AY24" s="42"/>
      <c r="AZ24" s="8"/>
      <c r="BA24" s="34"/>
      <c r="BB24" s="26"/>
      <c r="BC24" s="26"/>
      <c r="BD24" s="26"/>
      <c r="BE24" s="30"/>
      <c r="BF24" s="40"/>
      <c r="BG24" s="41"/>
      <c r="BH24" s="41"/>
      <c r="BI24" s="41"/>
      <c r="BJ24" s="41"/>
      <c r="BK24" s="41"/>
      <c r="BL24" s="41"/>
      <c r="BM24" s="41"/>
      <c r="BN24" s="41"/>
      <c r="BO24" s="41"/>
      <c r="BP24" s="41"/>
      <c r="BQ24" s="41"/>
      <c r="BR24" s="41"/>
      <c r="BS24" s="41"/>
      <c r="BT24" s="42"/>
      <c r="BU24" s="8"/>
      <c r="BV24" s="34"/>
      <c r="BW24" s="26"/>
      <c r="BX24" s="26"/>
      <c r="BY24" s="26"/>
      <c r="BZ24" s="30"/>
      <c r="CA24" s="40"/>
      <c r="CB24" s="41"/>
      <c r="CC24" s="41"/>
      <c r="CD24" s="41"/>
      <c r="CE24" s="41"/>
      <c r="CF24" s="41"/>
      <c r="CG24" s="41"/>
      <c r="CH24" s="41"/>
      <c r="CI24" s="41"/>
      <c r="CJ24" s="41"/>
      <c r="CK24" s="41"/>
      <c r="CL24" s="41"/>
      <c r="CM24" s="41"/>
      <c r="CN24" s="41"/>
      <c r="CO24" s="42"/>
      <c r="CP24" s="8"/>
      <c r="CQ24" s="34"/>
      <c r="CR24" s="26"/>
      <c r="CS24" s="26"/>
      <c r="CT24" s="26"/>
      <c r="CU24" s="30"/>
      <c r="CV24" s="40"/>
      <c r="CW24" s="41"/>
      <c r="CX24" s="41"/>
      <c r="CY24" s="41"/>
      <c r="CZ24" s="41"/>
      <c r="DA24" s="41"/>
      <c r="DB24" s="41"/>
      <c r="DC24" s="41"/>
      <c r="DD24" s="41"/>
      <c r="DE24" s="41"/>
      <c r="DF24" s="41"/>
      <c r="DG24" s="41"/>
      <c r="DH24" s="41"/>
      <c r="DI24" s="41"/>
      <c r="DJ24" s="42"/>
    </row>
    <row r="25" spans="1:114" x14ac:dyDescent="0.4">
      <c r="A25" s="13" t="str">
        <f t="shared" si="9"/>
        <v/>
      </c>
      <c r="B25" s="18" t="str">
        <f t="shared" si="6"/>
        <v/>
      </c>
      <c r="C25" s="18" t="str">
        <f t="shared" si="7"/>
        <v/>
      </c>
      <c r="D25" s="18" t="str">
        <f t="shared" si="8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8"/>
      <c r="V25" s="9"/>
      <c r="W25" s="9"/>
      <c r="X25" s="48"/>
      <c r="Y25" s="21" t="str">
        <f t="shared" si="5"/>
        <v/>
      </c>
      <c r="Z25" s="53" t="str">
        <f>IF($J25="","",ROUND(($J25-$J$3)/1000,1)+(_xlfn.RANK.AVG($J25,($J25,$O25,$T25,$Y25),1)-2.5)*10)</f>
        <v/>
      </c>
      <c r="AA25" s="54" t="str">
        <f>IF($O25="","",ROUND(($O25-$O$3)/1000,1)+(_xlfn.RANK.AVG($O25,($J25,$O25,$T25,$Y25),1)-2.5)*10)</f>
        <v/>
      </c>
      <c r="AB25" s="54" t="str">
        <f>IF($T25="","",ROUND(($T25-$T$3)/1000,1)+(_xlfn.RANK.AVG($T25,($J25,$O25,$T25,$Y25),1)-2.5)*10)</f>
        <v/>
      </c>
      <c r="AC25" s="55" t="str">
        <f>IF($Y25="","",ROUND(($Y25-$Y$3)/1000,1)+(_xlfn.RANK.AVG($Y25,($J25,$O25,$T25,$Y25),1)-2.5)*10)</f>
        <v/>
      </c>
      <c r="AE25" s="8"/>
      <c r="AF25" s="34"/>
      <c r="AG25" s="26"/>
      <c r="AH25" s="26"/>
      <c r="AI25" s="26"/>
      <c r="AJ25" s="30"/>
      <c r="AK25" s="40"/>
      <c r="AL25" s="41"/>
      <c r="AM25" s="41"/>
      <c r="AN25" s="41"/>
      <c r="AO25" s="41"/>
      <c r="AP25" s="41"/>
      <c r="AQ25" s="41"/>
      <c r="AR25" s="41"/>
      <c r="AS25" s="41"/>
      <c r="AT25" s="41"/>
      <c r="AU25" s="41"/>
      <c r="AV25" s="41"/>
      <c r="AW25" s="41"/>
      <c r="AX25" s="41"/>
      <c r="AY25" s="42"/>
      <c r="AZ25" s="8"/>
      <c r="BA25" s="34"/>
      <c r="BB25" s="26"/>
      <c r="BC25" s="26"/>
      <c r="BD25" s="26"/>
      <c r="BE25" s="30"/>
      <c r="BF25" s="40"/>
      <c r="BG25" s="41"/>
      <c r="BH25" s="41"/>
      <c r="BI25" s="41"/>
      <c r="BJ25" s="41"/>
      <c r="BK25" s="41"/>
      <c r="BL25" s="41"/>
      <c r="BM25" s="41"/>
      <c r="BN25" s="41"/>
      <c r="BO25" s="41"/>
      <c r="BP25" s="41"/>
      <c r="BQ25" s="41"/>
      <c r="BR25" s="41"/>
      <c r="BS25" s="41"/>
      <c r="BT25" s="42"/>
      <c r="BU25" s="8"/>
      <c r="BV25" s="34"/>
      <c r="BW25" s="26"/>
      <c r="BX25" s="26"/>
      <c r="BY25" s="26"/>
      <c r="BZ25" s="30"/>
      <c r="CA25" s="40"/>
      <c r="CB25" s="41"/>
      <c r="CC25" s="41"/>
      <c r="CD25" s="41"/>
      <c r="CE25" s="41"/>
      <c r="CF25" s="41"/>
      <c r="CG25" s="41"/>
      <c r="CH25" s="41"/>
      <c r="CI25" s="41"/>
      <c r="CJ25" s="41"/>
      <c r="CK25" s="41"/>
      <c r="CL25" s="41"/>
      <c r="CM25" s="41"/>
      <c r="CN25" s="41"/>
      <c r="CO25" s="42"/>
      <c r="CP25" s="8"/>
      <c r="CQ25" s="34"/>
      <c r="CR25" s="26"/>
      <c r="CS25" s="26"/>
      <c r="CT25" s="26"/>
      <c r="CU25" s="30"/>
      <c r="CV25" s="40"/>
      <c r="CW25" s="41"/>
      <c r="CX25" s="41"/>
      <c r="CY25" s="41"/>
      <c r="CZ25" s="41"/>
      <c r="DA25" s="41"/>
      <c r="DB25" s="41"/>
      <c r="DC25" s="41"/>
      <c r="DD25" s="41"/>
      <c r="DE25" s="41"/>
      <c r="DF25" s="41"/>
      <c r="DG25" s="41"/>
      <c r="DH25" s="41"/>
      <c r="DI25" s="41"/>
      <c r="DJ25" s="42"/>
    </row>
    <row r="26" spans="1:114" x14ac:dyDescent="0.4">
      <c r="A26" s="13" t="str">
        <f t="shared" si="9"/>
        <v/>
      </c>
      <c r="B26" s="18" t="str">
        <f t="shared" si="6"/>
        <v/>
      </c>
      <c r="C26" s="18" t="str">
        <f t="shared" si="7"/>
        <v/>
      </c>
      <c r="D26" s="18" t="str">
        <f t="shared" si="8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8"/>
      <c r="V26" s="9"/>
      <c r="W26" s="9"/>
      <c r="X26" s="48"/>
      <c r="Y26" s="21" t="str">
        <f t="shared" si="5"/>
        <v/>
      </c>
      <c r="Z26" s="53" t="str">
        <f>IF($J26="","",ROUND(($J26-$J$3)/1000,1)+(_xlfn.RANK.AVG($J26,($J26,$O26,$T26,$Y26),1)-2.5)*10)</f>
        <v/>
      </c>
      <c r="AA26" s="54" t="str">
        <f>IF($O26="","",ROUND(($O26-$O$3)/1000,1)+(_xlfn.RANK.AVG($O26,($J26,$O26,$T26,$Y26),1)-2.5)*10)</f>
        <v/>
      </c>
      <c r="AB26" s="54" t="str">
        <f>IF($T26="","",ROUND(($T26-$T$3)/1000,1)+(_xlfn.RANK.AVG($T26,($J26,$O26,$T26,$Y26),1)-2.5)*10)</f>
        <v/>
      </c>
      <c r="AC26" s="55" t="str">
        <f>IF($Y26="","",ROUND(($Y26-$Y$3)/1000,1)+(_xlfn.RANK.AVG($Y26,($J26,$O26,$T26,$Y26),1)-2.5)*10)</f>
        <v/>
      </c>
      <c r="AE26" s="8"/>
      <c r="AF26" s="34"/>
      <c r="AG26" s="26"/>
      <c r="AH26" s="26"/>
      <c r="AI26" s="26"/>
      <c r="AJ26" s="30"/>
      <c r="AK26" s="40"/>
      <c r="AL26" s="41"/>
      <c r="AM26" s="41"/>
      <c r="AN26" s="41"/>
      <c r="AO26" s="41"/>
      <c r="AP26" s="41"/>
      <c r="AQ26" s="41"/>
      <c r="AR26" s="41"/>
      <c r="AS26" s="41"/>
      <c r="AT26" s="41"/>
      <c r="AU26" s="41"/>
      <c r="AV26" s="41"/>
      <c r="AW26" s="41"/>
      <c r="AX26" s="41"/>
      <c r="AY26" s="42"/>
      <c r="AZ26" s="8"/>
      <c r="BA26" s="34"/>
      <c r="BB26" s="26"/>
      <c r="BC26" s="26"/>
      <c r="BD26" s="26"/>
      <c r="BE26" s="30"/>
      <c r="BF26" s="40"/>
      <c r="BG26" s="41"/>
      <c r="BH26" s="41"/>
      <c r="BI26" s="41"/>
      <c r="BJ26" s="41"/>
      <c r="BK26" s="41"/>
      <c r="BL26" s="41"/>
      <c r="BM26" s="41"/>
      <c r="BN26" s="41"/>
      <c r="BO26" s="41"/>
      <c r="BP26" s="41"/>
      <c r="BQ26" s="41"/>
      <c r="BR26" s="41"/>
      <c r="BS26" s="41"/>
      <c r="BT26" s="42"/>
      <c r="BU26" s="8"/>
      <c r="BV26" s="34"/>
      <c r="BW26" s="26"/>
      <c r="BX26" s="26"/>
      <c r="BY26" s="26"/>
      <c r="BZ26" s="30"/>
      <c r="CA26" s="40"/>
      <c r="CB26" s="41"/>
      <c r="CC26" s="41"/>
      <c r="CD26" s="41"/>
      <c r="CE26" s="41"/>
      <c r="CF26" s="41"/>
      <c r="CG26" s="41"/>
      <c r="CH26" s="41"/>
      <c r="CI26" s="41"/>
      <c r="CJ26" s="41"/>
      <c r="CK26" s="41"/>
      <c r="CL26" s="41"/>
      <c r="CM26" s="41"/>
      <c r="CN26" s="41"/>
      <c r="CO26" s="42"/>
      <c r="CP26" s="8"/>
      <c r="CQ26" s="34"/>
      <c r="CR26" s="26"/>
      <c r="CS26" s="26"/>
      <c r="CT26" s="26"/>
      <c r="CU26" s="30"/>
      <c r="CV26" s="40"/>
      <c r="CW26" s="41"/>
      <c r="CX26" s="41"/>
      <c r="CY26" s="41"/>
      <c r="CZ26" s="41"/>
      <c r="DA26" s="41"/>
      <c r="DB26" s="41"/>
      <c r="DC26" s="41"/>
      <c r="DD26" s="41"/>
      <c r="DE26" s="41"/>
      <c r="DF26" s="41"/>
      <c r="DG26" s="41"/>
      <c r="DH26" s="41"/>
      <c r="DI26" s="41"/>
      <c r="DJ26" s="42"/>
    </row>
    <row r="27" spans="1:114" x14ac:dyDescent="0.4">
      <c r="A27" s="13" t="str">
        <f t="shared" si="9"/>
        <v/>
      </c>
      <c r="B27" s="18" t="str">
        <f t="shared" si="6"/>
        <v/>
      </c>
      <c r="C27" s="18" t="str">
        <f t="shared" si="7"/>
        <v/>
      </c>
      <c r="D27" s="18" t="str">
        <f t="shared" si="8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8"/>
      <c r="V27" s="9"/>
      <c r="W27" s="9"/>
      <c r="X27" s="48"/>
      <c r="Y27" s="21" t="str">
        <f t="shared" si="5"/>
        <v/>
      </c>
      <c r="Z27" s="53" t="str">
        <f>IF($J27="","",ROUND(($J27-$J$3)/1000,1)+(_xlfn.RANK.AVG($J27,($J27,$O27,$T27,$Y27),1)-2.5)*10)</f>
        <v/>
      </c>
      <c r="AA27" s="54" t="str">
        <f>IF($O27="","",ROUND(($O27-$O$3)/1000,1)+(_xlfn.RANK.AVG($O27,($J27,$O27,$T27,$Y27),1)-2.5)*10)</f>
        <v/>
      </c>
      <c r="AB27" s="54" t="str">
        <f>IF($T27="","",ROUND(($T27-$T$3)/1000,1)+(_xlfn.RANK.AVG($T27,($J27,$O27,$T27,$Y27),1)-2.5)*10)</f>
        <v/>
      </c>
      <c r="AC27" s="55" t="str">
        <f>IF($Y27="","",ROUND(($Y27-$Y$3)/1000,1)+(_xlfn.RANK.AVG($Y27,($J27,$O27,$T27,$Y27),1)-2.5)*10)</f>
        <v/>
      </c>
      <c r="AE27" s="8"/>
      <c r="AF27" s="34"/>
      <c r="AG27" s="26"/>
      <c r="AH27" s="26"/>
      <c r="AI27" s="26"/>
      <c r="AJ27" s="30"/>
      <c r="AK27" s="40"/>
      <c r="AL27" s="41"/>
      <c r="AM27" s="41"/>
      <c r="AN27" s="41"/>
      <c r="AO27" s="41"/>
      <c r="AP27" s="41"/>
      <c r="AQ27" s="41"/>
      <c r="AR27" s="41"/>
      <c r="AS27" s="41"/>
      <c r="AT27" s="41"/>
      <c r="AU27" s="41"/>
      <c r="AV27" s="41"/>
      <c r="AW27" s="41"/>
      <c r="AX27" s="41"/>
      <c r="AY27" s="42"/>
      <c r="AZ27" s="8"/>
      <c r="BA27" s="34"/>
      <c r="BB27" s="26"/>
      <c r="BC27" s="26"/>
      <c r="BD27" s="26"/>
      <c r="BE27" s="30"/>
      <c r="BF27" s="40"/>
      <c r="BG27" s="41"/>
      <c r="BH27" s="41"/>
      <c r="BI27" s="41"/>
      <c r="BJ27" s="41"/>
      <c r="BK27" s="41"/>
      <c r="BL27" s="41"/>
      <c r="BM27" s="41"/>
      <c r="BN27" s="41"/>
      <c r="BO27" s="41"/>
      <c r="BP27" s="41"/>
      <c r="BQ27" s="41"/>
      <c r="BR27" s="41"/>
      <c r="BS27" s="41"/>
      <c r="BT27" s="42"/>
      <c r="BU27" s="8"/>
      <c r="BV27" s="34"/>
      <c r="BW27" s="26"/>
      <c r="BX27" s="26"/>
      <c r="BY27" s="26"/>
      <c r="BZ27" s="30"/>
      <c r="CA27" s="40"/>
      <c r="CB27" s="41"/>
      <c r="CC27" s="41"/>
      <c r="CD27" s="41"/>
      <c r="CE27" s="41"/>
      <c r="CF27" s="41"/>
      <c r="CG27" s="41"/>
      <c r="CH27" s="41"/>
      <c r="CI27" s="41"/>
      <c r="CJ27" s="41"/>
      <c r="CK27" s="41"/>
      <c r="CL27" s="41"/>
      <c r="CM27" s="41"/>
      <c r="CN27" s="41"/>
      <c r="CO27" s="42"/>
      <c r="CP27" s="8"/>
      <c r="CQ27" s="34"/>
      <c r="CR27" s="26"/>
      <c r="CS27" s="26"/>
      <c r="CT27" s="26"/>
      <c r="CU27" s="30"/>
      <c r="CV27" s="40"/>
      <c r="CW27" s="41"/>
      <c r="CX27" s="41"/>
      <c r="CY27" s="41"/>
      <c r="CZ27" s="41"/>
      <c r="DA27" s="41"/>
      <c r="DB27" s="41"/>
      <c r="DC27" s="41"/>
      <c r="DD27" s="41"/>
      <c r="DE27" s="41"/>
      <c r="DF27" s="41"/>
      <c r="DG27" s="41"/>
      <c r="DH27" s="41"/>
      <c r="DI27" s="41"/>
      <c r="DJ27" s="42"/>
    </row>
    <row r="28" spans="1:114" x14ac:dyDescent="0.4">
      <c r="A28" s="13" t="str">
        <f t="shared" si="9"/>
        <v/>
      </c>
      <c r="B28" s="18" t="str">
        <f t="shared" si="6"/>
        <v/>
      </c>
      <c r="C28" s="18" t="str">
        <f t="shared" si="7"/>
        <v/>
      </c>
      <c r="D28" s="18" t="str">
        <f t="shared" si="8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8"/>
      <c r="V28" s="9"/>
      <c r="W28" s="9"/>
      <c r="X28" s="48"/>
      <c r="Y28" s="21" t="str">
        <f t="shared" si="5"/>
        <v/>
      </c>
      <c r="Z28" s="53" t="str">
        <f>IF($J28="","",ROUND(($J28-$J$3)/1000,1)+(_xlfn.RANK.AVG($J28,($J28,$O28,$T28,$Y28),1)-2.5)*10)</f>
        <v/>
      </c>
      <c r="AA28" s="54" t="str">
        <f>IF($O28="","",ROUND(($O28-$O$3)/1000,1)+(_xlfn.RANK.AVG($O28,($J28,$O28,$T28,$Y28),1)-2.5)*10)</f>
        <v/>
      </c>
      <c r="AB28" s="54" t="str">
        <f>IF($T28="","",ROUND(($T28-$T$3)/1000,1)+(_xlfn.RANK.AVG($T28,($J28,$O28,$T28,$Y28),1)-2.5)*10)</f>
        <v/>
      </c>
      <c r="AC28" s="55" t="str">
        <f>IF($Y28="","",ROUND(($Y28-$Y$3)/1000,1)+(_xlfn.RANK.AVG($Y28,($J28,$O28,$T28,$Y28),1)-2.5)*10)</f>
        <v/>
      </c>
      <c r="AE28" s="8"/>
      <c r="AF28" s="34"/>
      <c r="AG28" s="26"/>
      <c r="AH28" s="26"/>
      <c r="AI28" s="26"/>
      <c r="AJ28" s="30"/>
      <c r="AK28" s="40"/>
      <c r="AL28" s="41"/>
      <c r="AM28" s="41"/>
      <c r="AN28" s="41"/>
      <c r="AO28" s="41"/>
      <c r="AP28" s="41"/>
      <c r="AQ28" s="41"/>
      <c r="AR28" s="41"/>
      <c r="AS28" s="41"/>
      <c r="AT28" s="41"/>
      <c r="AU28" s="41"/>
      <c r="AV28" s="41"/>
      <c r="AW28" s="41"/>
      <c r="AX28" s="41"/>
      <c r="AY28" s="42"/>
      <c r="AZ28" s="8"/>
      <c r="BA28" s="34"/>
      <c r="BB28" s="26"/>
      <c r="BC28" s="26"/>
      <c r="BD28" s="26"/>
      <c r="BE28" s="30"/>
      <c r="BF28" s="40"/>
      <c r="BG28" s="41"/>
      <c r="BH28" s="41"/>
      <c r="BI28" s="41"/>
      <c r="BJ28" s="41"/>
      <c r="BK28" s="41"/>
      <c r="BL28" s="41"/>
      <c r="BM28" s="41"/>
      <c r="BN28" s="41"/>
      <c r="BO28" s="41"/>
      <c r="BP28" s="41"/>
      <c r="BQ28" s="41"/>
      <c r="BR28" s="41"/>
      <c r="BS28" s="41"/>
      <c r="BT28" s="42"/>
      <c r="BU28" s="8"/>
      <c r="BV28" s="34"/>
      <c r="BW28" s="26"/>
      <c r="BX28" s="26"/>
      <c r="BY28" s="26"/>
      <c r="BZ28" s="30"/>
      <c r="CA28" s="40"/>
      <c r="CB28" s="41"/>
      <c r="CC28" s="41"/>
      <c r="CD28" s="41"/>
      <c r="CE28" s="41"/>
      <c r="CF28" s="41"/>
      <c r="CG28" s="41"/>
      <c r="CH28" s="41"/>
      <c r="CI28" s="41"/>
      <c r="CJ28" s="41"/>
      <c r="CK28" s="41"/>
      <c r="CL28" s="41"/>
      <c r="CM28" s="41"/>
      <c r="CN28" s="41"/>
      <c r="CO28" s="42"/>
      <c r="CP28" s="8"/>
      <c r="CQ28" s="34"/>
      <c r="CR28" s="26"/>
      <c r="CS28" s="26"/>
      <c r="CT28" s="26"/>
      <c r="CU28" s="30"/>
      <c r="CV28" s="40"/>
      <c r="CW28" s="41"/>
      <c r="CX28" s="41"/>
      <c r="CY28" s="41"/>
      <c r="CZ28" s="41"/>
      <c r="DA28" s="41"/>
      <c r="DB28" s="41"/>
      <c r="DC28" s="41"/>
      <c r="DD28" s="41"/>
      <c r="DE28" s="41"/>
      <c r="DF28" s="41"/>
      <c r="DG28" s="41"/>
      <c r="DH28" s="41"/>
      <c r="DI28" s="41"/>
      <c r="DJ28" s="42"/>
    </row>
    <row r="29" spans="1:114" x14ac:dyDescent="0.4">
      <c r="A29" s="13" t="str">
        <f t="shared" si="9"/>
        <v/>
      </c>
      <c r="B29" s="18" t="str">
        <f t="shared" si="6"/>
        <v/>
      </c>
      <c r="C29" s="18" t="str">
        <f t="shared" si="7"/>
        <v/>
      </c>
      <c r="D29" s="18" t="str">
        <f t="shared" si="8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8"/>
      <c r="V29" s="9"/>
      <c r="W29" s="9"/>
      <c r="X29" s="48"/>
      <c r="Y29" s="21" t="str">
        <f t="shared" si="5"/>
        <v/>
      </c>
      <c r="Z29" s="53" t="str">
        <f>IF($J29="","",ROUND(($J29-$J$3)/1000,1)+(_xlfn.RANK.AVG($J29,($J29,$O29,$T29,$Y29),1)-2.5)*10)</f>
        <v/>
      </c>
      <c r="AA29" s="54" t="str">
        <f>IF($O29="","",ROUND(($O29-$O$3)/1000,1)+(_xlfn.RANK.AVG($O29,($J29,$O29,$T29,$Y29),1)-2.5)*10)</f>
        <v/>
      </c>
      <c r="AB29" s="54" t="str">
        <f>IF($T29="","",ROUND(($T29-$T$3)/1000,1)+(_xlfn.RANK.AVG($T29,($J29,$O29,$T29,$Y29),1)-2.5)*10)</f>
        <v/>
      </c>
      <c r="AC29" s="55" t="str">
        <f>IF($Y29="","",ROUND(($Y29-$Y$3)/1000,1)+(_xlfn.RANK.AVG($Y29,($J29,$O29,$T29,$Y29),1)-2.5)*10)</f>
        <v/>
      </c>
      <c r="AE29" s="8"/>
      <c r="AF29" s="34"/>
      <c r="AG29" s="26"/>
      <c r="AH29" s="26"/>
      <c r="AI29" s="26"/>
      <c r="AJ29" s="30"/>
      <c r="AK29" s="40"/>
      <c r="AL29" s="41"/>
      <c r="AM29" s="41"/>
      <c r="AN29" s="41"/>
      <c r="AO29" s="41"/>
      <c r="AP29" s="41"/>
      <c r="AQ29" s="41"/>
      <c r="AR29" s="41"/>
      <c r="AS29" s="41"/>
      <c r="AT29" s="41"/>
      <c r="AU29" s="41"/>
      <c r="AV29" s="41"/>
      <c r="AW29" s="41"/>
      <c r="AX29" s="41"/>
      <c r="AY29" s="42"/>
      <c r="AZ29" s="8"/>
      <c r="BA29" s="34"/>
      <c r="BB29" s="26"/>
      <c r="BC29" s="26"/>
      <c r="BD29" s="26"/>
      <c r="BE29" s="30"/>
      <c r="BF29" s="40"/>
      <c r="BG29" s="41"/>
      <c r="BH29" s="41"/>
      <c r="BI29" s="41"/>
      <c r="BJ29" s="41"/>
      <c r="BK29" s="41"/>
      <c r="BL29" s="41"/>
      <c r="BM29" s="41"/>
      <c r="BN29" s="41"/>
      <c r="BO29" s="41"/>
      <c r="BP29" s="41"/>
      <c r="BQ29" s="41"/>
      <c r="BR29" s="41"/>
      <c r="BS29" s="41"/>
      <c r="BT29" s="42"/>
      <c r="BU29" s="8"/>
      <c r="BV29" s="34"/>
      <c r="BW29" s="26"/>
      <c r="BX29" s="26"/>
      <c r="BY29" s="26"/>
      <c r="BZ29" s="30"/>
      <c r="CA29" s="40"/>
      <c r="CB29" s="41"/>
      <c r="CC29" s="41"/>
      <c r="CD29" s="41"/>
      <c r="CE29" s="41"/>
      <c r="CF29" s="41"/>
      <c r="CG29" s="41"/>
      <c r="CH29" s="41"/>
      <c r="CI29" s="41"/>
      <c r="CJ29" s="41"/>
      <c r="CK29" s="41"/>
      <c r="CL29" s="41"/>
      <c r="CM29" s="41"/>
      <c r="CN29" s="41"/>
      <c r="CO29" s="42"/>
      <c r="CP29" s="8"/>
      <c r="CQ29" s="34"/>
      <c r="CR29" s="26"/>
      <c r="CS29" s="26"/>
      <c r="CT29" s="26"/>
      <c r="CU29" s="30"/>
      <c r="CV29" s="40"/>
      <c r="CW29" s="41"/>
      <c r="CX29" s="41"/>
      <c r="CY29" s="41"/>
      <c r="CZ29" s="41"/>
      <c r="DA29" s="41"/>
      <c r="DB29" s="41"/>
      <c r="DC29" s="41"/>
      <c r="DD29" s="41"/>
      <c r="DE29" s="41"/>
      <c r="DF29" s="41"/>
      <c r="DG29" s="41"/>
      <c r="DH29" s="41"/>
      <c r="DI29" s="41"/>
      <c r="DJ29" s="42"/>
    </row>
    <row r="30" spans="1:114" x14ac:dyDescent="0.4">
      <c r="A30" s="14" t="str">
        <f t="shared" si="9"/>
        <v/>
      </c>
      <c r="B30" s="19" t="str">
        <f t="shared" si="6"/>
        <v/>
      </c>
      <c r="C30" s="19" t="str">
        <f t="shared" si="7"/>
        <v/>
      </c>
      <c r="D30" s="19" t="str">
        <f t="shared" si="8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10"/>
      <c r="V30" s="11"/>
      <c r="W30" s="11"/>
      <c r="X30" s="49"/>
      <c r="Y30" s="22" t="str">
        <f t="shared" si="5"/>
        <v/>
      </c>
      <c r="Z30" s="56" t="str">
        <f>IF($J30="","",ROUND(($J30-$J$3)/1000,1)+(_xlfn.RANK.AVG($J30,($J30,$O30,$T30,$Y30),1)-2.5)*10)</f>
        <v/>
      </c>
      <c r="AA30" s="57" t="str">
        <f>IF($O30="","",ROUND(($O30-$O$3)/1000,1)+(_xlfn.RANK.AVG($O30,($J30,$O30,$T30,$Y30),1)-2.5)*10)</f>
        <v/>
      </c>
      <c r="AB30" s="57" t="str">
        <f>IF($T30="","",ROUND(($T30-$T$3)/1000,1)+(_xlfn.RANK.AVG($T30,($J30,$O30,$T30,$Y30),1)-2.5)*10)</f>
        <v/>
      </c>
      <c r="AC30" s="58" t="str">
        <f>IF($Y30="","",ROUND(($Y30-$Y$3)/1000,1)+(_xlfn.RANK.AVG($Y30,($J30,$O30,$T30,$Y30),1)-2.5)*10)</f>
        <v/>
      </c>
      <c r="AE30" s="10"/>
      <c r="AF30" s="35"/>
      <c r="AG30" s="27"/>
      <c r="AH30" s="27"/>
      <c r="AI30" s="27"/>
      <c r="AJ30" s="31"/>
      <c r="AK30" s="43"/>
      <c r="AL30" s="44"/>
      <c r="AM30" s="44"/>
      <c r="AN30" s="44"/>
      <c r="AO30" s="44"/>
      <c r="AP30" s="44"/>
      <c r="AQ30" s="44"/>
      <c r="AR30" s="44"/>
      <c r="AS30" s="44"/>
      <c r="AT30" s="44"/>
      <c r="AU30" s="44"/>
      <c r="AV30" s="44"/>
      <c r="AW30" s="44"/>
      <c r="AX30" s="44"/>
      <c r="AY30" s="45"/>
      <c r="AZ30" s="10"/>
      <c r="BA30" s="35"/>
      <c r="BB30" s="27"/>
      <c r="BC30" s="27"/>
      <c r="BD30" s="27"/>
      <c r="BE30" s="31"/>
      <c r="BF30" s="43"/>
      <c r="BG30" s="44"/>
      <c r="BH30" s="44"/>
      <c r="BI30" s="44"/>
      <c r="BJ30" s="44"/>
      <c r="BK30" s="44"/>
      <c r="BL30" s="44"/>
      <c r="BM30" s="44"/>
      <c r="BN30" s="44"/>
      <c r="BO30" s="44"/>
      <c r="BP30" s="44"/>
      <c r="BQ30" s="44"/>
      <c r="BR30" s="44"/>
      <c r="BS30" s="44"/>
      <c r="BT30" s="45"/>
      <c r="BU30" s="10"/>
      <c r="BV30" s="35"/>
      <c r="BW30" s="27"/>
      <c r="BX30" s="27"/>
      <c r="BY30" s="27"/>
      <c r="BZ30" s="31"/>
      <c r="CA30" s="43"/>
      <c r="CB30" s="44"/>
      <c r="CC30" s="44"/>
      <c r="CD30" s="44"/>
      <c r="CE30" s="44"/>
      <c r="CF30" s="44"/>
      <c r="CG30" s="44"/>
      <c r="CH30" s="44"/>
      <c r="CI30" s="44"/>
      <c r="CJ30" s="44"/>
      <c r="CK30" s="44"/>
      <c r="CL30" s="44"/>
      <c r="CM30" s="44"/>
      <c r="CN30" s="44"/>
      <c r="CO30" s="45"/>
      <c r="CP30" s="10"/>
      <c r="CQ30" s="35"/>
      <c r="CR30" s="27"/>
      <c r="CS30" s="27"/>
      <c r="CT30" s="27"/>
      <c r="CU30" s="31"/>
      <c r="CV30" s="43"/>
      <c r="CW30" s="44"/>
      <c r="CX30" s="44"/>
      <c r="CY30" s="44"/>
      <c r="CZ30" s="44"/>
      <c r="DA30" s="44"/>
      <c r="DB30" s="44"/>
      <c r="DC30" s="44"/>
      <c r="DD30" s="44"/>
      <c r="DE30" s="44"/>
      <c r="DF30" s="44"/>
      <c r="DG30" s="44"/>
      <c r="DH30" s="44"/>
      <c r="DI30" s="44"/>
      <c r="DJ30" s="45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G4:G30 L4:L30 Q4:Q30 V4:V30">
    <cfRule type="expression" dxfId="2" priority="3">
      <formula>IF(G4&lt;&gt;"",SUM($G4:$I4,$L4:$N4,$Q4:$S4,$V4:$X4)-$D4*1000+$D5*1000)</formula>
    </cfRule>
  </conditionalFormatting>
  <conditionalFormatting sqref="F1:Y1">
    <cfRule type="duplicateValues" dxfId="1" priority="2"/>
  </conditionalFormatting>
  <conditionalFormatting sqref="Z3:AC30">
    <cfRule type="expression" dxfId="0" priority="1">
      <formula>AND(Z4="",SUM($Z3:$AC3))</formula>
    </cfRule>
  </conditionalFormatting>
  <dataValidations count="2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158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159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160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161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162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B19" s="36" t="s">
        <v>190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157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164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165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166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163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167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168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169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170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171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172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173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174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175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176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177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178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179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180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181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182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183</v>
      </c>
      <c r="C47" s="15" t="s">
        <v>72</v>
      </c>
      <c r="D47" s="15">
        <v>26</v>
      </c>
    </row>
    <row r="48" spans="1:5" x14ac:dyDescent="0.4">
      <c r="A48" s="36" t="s">
        <v>123</v>
      </c>
      <c r="C48" s="15" t="s">
        <v>73</v>
      </c>
      <c r="D48" s="15">
        <v>13</v>
      </c>
    </row>
    <row r="49" spans="1:5" x14ac:dyDescent="0.4">
      <c r="A49" s="36" t="s">
        <v>124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C51" s="15" t="s">
        <v>76</v>
      </c>
      <c r="D51" s="15">
        <v>13</v>
      </c>
    </row>
    <row r="52" spans="1:5" x14ac:dyDescent="0.4">
      <c r="A52" s="36" t="s">
        <v>134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186</v>
      </c>
      <c r="C54" s="15" t="s">
        <v>187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/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B3" s="32" t="s">
        <v>10</v>
      </c>
      <c r="C3" s="32" t="s">
        <v>10</v>
      </c>
      <c r="D3" s="32">
        <v>2100</v>
      </c>
      <c r="E3" s="32">
        <v>3900</v>
      </c>
      <c r="F3" s="32">
        <v>7800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B4" s="32" t="s">
        <v>10</v>
      </c>
      <c r="C4" s="32" t="s">
        <v>10</v>
      </c>
      <c r="D4" s="32" t="s">
        <v>10</v>
      </c>
      <c r="E4" s="32">
        <v>4800</v>
      </c>
      <c r="F4" s="32">
        <v>9600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B5" s="32" t="s">
        <v>10</v>
      </c>
      <c r="C5" s="32">
        <v>1500</v>
      </c>
      <c r="D5" s="32">
        <v>3000</v>
      </c>
      <c r="E5" s="32">
        <v>6000</v>
      </c>
      <c r="F5" s="32">
        <v>11700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B6" s="32" t="s">
        <v>10</v>
      </c>
      <c r="C6" s="32">
        <v>2100</v>
      </c>
      <c r="D6" s="32">
        <v>3900</v>
      </c>
      <c r="E6" s="32">
        <v>7800</v>
      </c>
      <c r="F6" s="32">
        <v>12000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B7" s="32" t="s">
        <v>10</v>
      </c>
      <c r="C7" s="32">
        <v>2400</v>
      </c>
      <c r="D7" s="32">
        <v>4800</v>
      </c>
      <c r="E7" s="32">
        <v>9600</v>
      </c>
      <c r="F7" s="32">
        <v>12000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B8" s="32" t="s">
        <v>10</v>
      </c>
      <c r="C8" s="32">
        <v>3000</v>
      </c>
      <c r="D8" s="32">
        <v>6000</v>
      </c>
      <c r="E8" s="32">
        <v>11700</v>
      </c>
      <c r="F8" s="32">
        <v>12000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B9" s="32" t="s">
        <v>10</v>
      </c>
      <c r="C9" s="32">
        <v>3600</v>
      </c>
      <c r="D9" s="32">
        <v>6900</v>
      </c>
      <c r="E9" s="32">
        <v>12000</v>
      </c>
      <c r="F9" s="32">
        <v>12000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B10" s="32" t="s">
        <v>10</v>
      </c>
      <c r="C10" s="32">
        <v>3900</v>
      </c>
      <c r="D10" s="32">
        <v>7800</v>
      </c>
      <c r="E10" s="32">
        <v>12000</v>
      </c>
      <c r="F10" s="32">
        <v>12000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B11" s="32" t="s">
        <v>10</v>
      </c>
      <c r="C11" s="32">
        <v>4500</v>
      </c>
      <c r="D11" s="32">
        <v>8700</v>
      </c>
      <c r="E11" s="32">
        <v>12000</v>
      </c>
      <c r="F11" s="32">
        <v>12000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B12" s="32" t="s">
        <v>10</v>
      </c>
      <c r="C12" s="32">
        <v>4800</v>
      </c>
      <c r="D12" s="32">
        <v>9600</v>
      </c>
      <c r="E12" s="32">
        <v>12000</v>
      </c>
      <c r="F12" s="32">
        <v>12000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B13" s="32" t="s">
        <v>10</v>
      </c>
      <c r="C13" s="32" t="s">
        <v>10</v>
      </c>
      <c r="D13" s="32">
        <v>10800</v>
      </c>
      <c r="E13" s="32">
        <v>12000</v>
      </c>
      <c r="F13" s="32">
        <v>12000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/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-4000</v>
      </c>
      <c r="H2" s="32">
        <v>-6000</v>
      </c>
      <c r="I2" s="32">
        <v>-8000</v>
      </c>
      <c r="J2" s="32">
        <v>-12000</v>
      </c>
      <c r="K2" s="32">
        <v>-16000</v>
      </c>
      <c r="L2" s="32">
        <v>-32000</v>
      </c>
      <c r="M2" s="32">
        <v>-48000</v>
      </c>
    </row>
    <row r="3" spans="1:13" x14ac:dyDescent="0.4">
      <c r="A3" s="15">
        <v>20</v>
      </c>
      <c r="C3" s="32" t="s">
        <v>10</v>
      </c>
      <c r="D3" s="32">
        <v>-700</v>
      </c>
      <c r="E3" s="32">
        <v>-1300</v>
      </c>
      <c r="F3" s="32">
        <v>-2600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-1600</v>
      </c>
      <c r="F4" s="32">
        <v>-3200</v>
      </c>
    </row>
    <row r="5" spans="1:13" x14ac:dyDescent="0.4">
      <c r="A5" s="15">
        <v>30</v>
      </c>
      <c r="C5" s="32">
        <v>-500</v>
      </c>
      <c r="D5" s="32">
        <v>-1000</v>
      </c>
      <c r="E5" s="32">
        <v>-2000</v>
      </c>
      <c r="F5" s="32">
        <v>-3900</v>
      </c>
    </row>
    <row r="6" spans="1:13" x14ac:dyDescent="0.4">
      <c r="A6" s="15">
        <v>40</v>
      </c>
      <c r="C6" s="32">
        <v>-700</v>
      </c>
      <c r="D6" s="32">
        <v>-1300</v>
      </c>
      <c r="E6" s="32">
        <v>-2600</v>
      </c>
      <c r="F6" s="32">
        <v>-4000</v>
      </c>
    </row>
    <row r="7" spans="1:13" x14ac:dyDescent="0.4">
      <c r="A7" s="15">
        <v>50</v>
      </c>
      <c r="C7" s="32">
        <v>-800</v>
      </c>
      <c r="D7" s="32">
        <v>-1600</v>
      </c>
      <c r="E7" s="32">
        <v>-3200</v>
      </c>
      <c r="F7" s="32">
        <v>-4000</v>
      </c>
    </row>
    <row r="8" spans="1:13" x14ac:dyDescent="0.4">
      <c r="A8" s="15">
        <v>60</v>
      </c>
      <c r="C8" s="32">
        <v>-1000</v>
      </c>
      <c r="D8" s="32">
        <v>-2000</v>
      </c>
      <c r="E8" s="32">
        <v>-3900</v>
      </c>
      <c r="F8" s="32">
        <v>-4000</v>
      </c>
    </row>
    <row r="9" spans="1:13" x14ac:dyDescent="0.4">
      <c r="A9" s="15">
        <v>70</v>
      </c>
      <c r="C9" s="32">
        <v>-1200</v>
      </c>
      <c r="D9" s="32">
        <v>-2300</v>
      </c>
      <c r="E9" s="32">
        <v>-4000</v>
      </c>
      <c r="F9" s="32">
        <v>-4000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-1300</v>
      </c>
      <c r="D10" s="32">
        <v>-2600</v>
      </c>
      <c r="E10" s="32">
        <v>-4000</v>
      </c>
      <c r="F10" s="32">
        <v>-4000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-1500</v>
      </c>
      <c r="D11" s="32">
        <v>-2900</v>
      </c>
      <c r="E11" s="32">
        <v>-4000</v>
      </c>
      <c r="F11" s="32">
        <v>-4000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-1600</v>
      </c>
      <c r="D12" s="32">
        <v>-3200</v>
      </c>
      <c r="E12" s="32">
        <v>-4000</v>
      </c>
      <c r="F12" s="32">
        <v>-4000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-3600</v>
      </c>
      <c r="E13" s="32">
        <v>-4000</v>
      </c>
      <c r="F13" s="32">
        <v>-4000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/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/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B3" s="32" t="s">
        <v>10</v>
      </c>
      <c r="C3" s="32" t="s">
        <v>10</v>
      </c>
      <c r="D3" s="32">
        <v>1500</v>
      </c>
      <c r="E3" s="32">
        <v>2700</v>
      </c>
      <c r="F3" s="32">
        <v>5200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B4" s="32" t="s">
        <v>10</v>
      </c>
      <c r="C4" s="32" t="s">
        <v>10</v>
      </c>
      <c r="D4" s="32" t="s">
        <v>10</v>
      </c>
      <c r="E4" s="32">
        <v>3200</v>
      </c>
      <c r="F4" s="32">
        <v>6400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B5" s="32" t="s">
        <v>10</v>
      </c>
      <c r="C5" s="32">
        <v>1100</v>
      </c>
      <c r="D5" s="32">
        <v>2000</v>
      </c>
      <c r="E5" s="32">
        <v>4000</v>
      </c>
      <c r="F5" s="32">
        <v>7900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B6" s="32" t="s">
        <v>10</v>
      </c>
      <c r="C6" s="32">
        <v>1500</v>
      </c>
      <c r="D6" s="32">
        <v>2700</v>
      </c>
      <c r="E6" s="32">
        <v>5200</v>
      </c>
      <c r="F6" s="32">
        <v>8000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B7" s="32" t="s">
        <v>10</v>
      </c>
      <c r="C7" s="32">
        <v>1600</v>
      </c>
      <c r="D7" s="32">
        <v>3200</v>
      </c>
      <c r="E7" s="32">
        <v>6400</v>
      </c>
      <c r="F7" s="32">
        <v>8000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B8" s="32" t="s">
        <v>10</v>
      </c>
      <c r="C8" s="32">
        <v>2000</v>
      </c>
      <c r="D8" s="32">
        <v>4000</v>
      </c>
      <c r="E8" s="32">
        <v>7900</v>
      </c>
      <c r="F8" s="32">
        <v>8000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B9" s="32" t="s">
        <v>10</v>
      </c>
      <c r="C9" s="32">
        <v>2400</v>
      </c>
      <c r="D9" s="32">
        <v>4700</v>
      </c>
      <c r="E9" s="32">
        <v>8000</v>
      </c>
      <c r="F9" s="32">
        <v>8000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B10" s="32" t="s">
        <v>10</v>
      </c>
      <c r="C10" s="32">
        <v>2700</v>
      </c>
      <c r="D10" s="32">
        <v>5200</v>
      </c>
      <c r="E10" s="32">
        <v>8000</v>
      </c>
      <c r="F10" s="32">
        <v>8000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B11" s="32" t="s">
        <v>10</v>
      </c>
      <c r="C11" s="32">
        <v>3100</v>
      </c>
      <c r="D11" s="32">
        <v>5900</v>
      </c>
      <c r="E11" s="32">
        <v>8000</v>
      </c>
      <c r="F11" s="32">
        <v>8000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B12" s="32" t="s">
        <v>10</v>
      </c>
      <c r="C12" s="32">
        <v>3200</v>
      </c>
      <c r="D12" s="32">
        <v>6400</v>
      </c>
      <c r="E12" s="32">
        <v>8000</v>
      </c>
      <c r="F12" s="32">
        <v>8000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B13" s="32" t="s">
        <v>10</v>
      </c>
      <c r="C13" s="32" t="s">
        <v>10</v>
      </c>
      <c r="D13" s="32">
        <v>7200</v>
      </c>
      <c r="E13" s="32">
        <v>8000</v>
      </c>
      <c r="F13" s="32">
        <v>8000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/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-2000</v>
      </c>
      <c r="H2" s="32">
        <v>-3000</v>
      </c>
      <c r="I2" s="32">
        <v>-4000</v>
      </c>
      <c r="J2" s="32">
        <v>-6000</v>
      </c>
      <c r="K2" s="32">
        <v>-8000</v>
      </c>
      <c r="L2" s="32">
        <v>-16000</v>
      </c>
      <c r="M2" s="32">
        <v>-24000</v>
      </c>
    </row>
    <row r="3" spans="1:13" x14ac:dyDescent="0.4">
      <c r="A3" s="15">
        <v>20</v>
      </c>
      <c r="C3" s="32" t="s">
        <v>10</v>
      </c>
      <c r="D3" s="32">
        <v>-400</v>
      </c>
      <c r="E3" s="32">
        <v>-700</v>
      </c>
      <c r="F3" s="32">
        <v>-1300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-800</v>
      </c>
      <c r="F4" s="32">
        <v>-1600</v>
      </c>
      <c r="M4" s="32" t="s">
        <v>10</v>
      </c>
    </row>
    <row r="5" spans="1:13" x14ac:dyDescent="0.4">
      <c r="A5" s="15">
        <v>30</v>
      </c>
      <c r="C5" s="32">
        <v>-300</v>
      </c>
      <c r="D5" s="32">
        <v>-500</v>
      </c>
      <c r="E5" s="32">
        <v>-1000</v>
      </c>
      <c r="F5" s="32">
        <v>-2000</v>
      </c>
      <c r="M5" s="32" t="s">
        <v>10</v>
      </c>
    </row>
    <row r="6" spans="1:13" x14ac:dyDescent="0.4">
      <c r="A6" s="15">
        <v>40</v>
      </c>
      <c r="C6" s="32">
        <v>-400</v>
      </c>
      <c r="D6" s="32">
        <v>-700</v>
      </c>
      <c r="E6" s="32">
        <v>-1300</v>
      </c>
      <c r="F6" s="32">
        <v>-2000</v>
      </c>
      <c r="M6" s="32" t="s">
        <v>10</v>
      </c>
    </row>
    <row r="7" spans="1:13" x14ac:dyDescent="0.4">
      <c r="A7" s="15">
        <v>50</v>
      </c>
      <c r="C7" s="32">
        <v>-400</v>
      </c>
      <c r="D7" s="32">
        <v>-800</v>
      </c>
      <c r="E7" s="32">
        <v>-1600</v>
      </c>
      <c r="F7" s="32">
        <v>-2000</v>
      </c>
      <c r="M7" s="32" t="s">
        <v>10</v>
      </c>
    </row>
    <row r="8" spans="1:13" x14ac:dyDescent="0.4">
      <c r="A8" s="15">
        <v>60</v>
      </c>
      <c r="C8" s="32">
        <v>-500</v>
      </c>
      <c r="D8" s="32">
        <v>-1000</v>
      </c>
      <c r="E8" s="32">
        <v>-2000</v>
      </c>
      <c r="F8" s="32">
        <v>-2000</v>
      </c>
      <c r="M8" s="32" t="s">
        <v>10</v>
      </c>
    </row>
    <row r="9" spans="1:13" x14ac:dyDescent="0.4">
      <c r="A9" s="15">
        <v>70</v>
      </c>
      <c r="C9" s="32">
        <v>-600</v>
      </c>
      <c r="D9" s="32">
        <v>-1200</v>
      </c>
      <c r="E9" s="32">
        <v>-2000</v>
      </c>
      <c r="F9" s="32">
        <v>-2000</v>
      </c>
      <c r="M9" s="32" t="s">
        <v>10</v>
      </c>
    </row>
    <row r="10" spans="1:13" x14ac:dyDescent="0.4">
      <c r="A10" s="15">
        <v>80</v>
      </c>
      <c r="C10" s="32">
        <v>-700</v>
      </c>
      <c r="D10" s="32">
        <v>-1300</v>
      </c>
      <c r="E10" s="32">
        <v>-2000</v>
      </c>
      <c r="F10" s="32">
        <v>-2000</v>
      </c>
      <c r="M10" s="32" t="s">
        <v>10</v>
      </c>
    </row>
    <row r="11" spans="1:13" x14ac:dyDescent="0.4">
      <c r="A11" s="15">
        <v>90</v>
      </c>
      <c r="C11" s="32">
        <v>-800</v>
      </c>
      <c r="D11" s="32">
        <v>-1500</v>
      </c>
      <c r="E11" s="32">
        <v>-2000</v>
      </c>
      <c r="F11" s="32">
        <v>-2000</v>
      </c>
      <c r="M11" s="32" t="s">
        <v>10</v>
      </c>
    </row>
    <row r="12" spans="1:13" x14ac:dyDescent="0.4">
      <c r="A12" s="15">
        <v>100</v>
      </c>
      <c r="C12" s="32">
        <v>-800</v>
      </c>
      <c r="D12" s="32">
        <v>-1600</v>
      </c>
      <c r="E12" s="32">
        <v>-2000</v>
      </c>
      <c r="F12" s="32">
        <v>-2000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-1800</v>
      </c>
      <c r="E13" s="32">
        <v>-2000</v>
      </c>
      <c r="F13" s="32">
        <v>-2000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/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-4000</v>
      </c>
      <c r="H2" s="32">
        <v>-6000</v>
      </c>
      <c r="I2" s="32">
        <v>-8000</v>
      </c>
      <c r="J2" s="32">
        <v>-12000</v>
      </c>
      <c r="K2" s="32">
        <v>-16000</v>
      </c>
      <c r="L2" s="32">
        <v>-32000</v>
      </c>
      <c r="M2" s="32">
        <v>-48000</v>
      </c>
    </row>
    <row r="3" spans="1:13" x14ac:dyDescent="0.4">
      <c r="A3" s="15">
        <v>20</v>
      </c>
      <c r="C3" s="32" t="s">
        <v>10</v>
      </c>
      <c r="D3" s="32">
        <v>-700</v>
      </c>
      <c r="E3" s="32">
        <v>-1300</v>
      </c>
      <c r="F3" s="32">
        <v>-2600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-1600</v>
      </c>
      <c r="F4" s="32">
        <v>-3200</v>
      </c>
    </row>
    <row r="5" spans="1:13" x14ac:dyDescent="0.4">
      <c r="A5" s="15">
        <v>30</v>
      </c>
      <c r="C5" s="32">
        <v>-500</v>
      </c>
      <c r="D5" s="32">
        <v>-1000</v>
      </c>
      <c r="E5" s="32">
        <v>-2000</v>
      </c>
      <c r="F5" s="32">
        <v>-3900</v>
      </c>
    </row>
    <row r="6" spans="1:13" x14ac:dyDescent="0.4">
      <c r="A6" s="15">
        <v>40</v>
      </c>
      <c r="C6" s="32">
        <v>-700</v>
      </c>
      <c r="D6" s="32">
        <v>-1300</v>
      </c>
      <c r="E6" s="32">
        <v>-2600</v>
      </c>
      <c r="F6" s="32">
        <v>-4000</v>
      </c>
    </row>
    <row r="7" spans="1:13" x14ac:dyDescent="0.4">
      <c r="A7" s="15">
        <v>50</v>
      </c>
      <c r="C7" s="32">
        <v>-800</v>
      </c>
      <c r="D7" s="32">
        <v>-1600</v>
      </c>
      <c r="E7" s="32">
        <v>-3200</v>
      </c>
      <c r="F7" s="32">
        <v>-4000</v>
      </c>
    </row>
    <row r="8" spans="1:13" x14ac:dyDescent="0.4">
      <c r="A8" s="15">
        <v>60</v>
      </c>
      <c r="C8" s="32">
        <v>-1000</v>
      </c>
      <c r="D8" s="32">
        <v>-2000</v>
      </c>
      <c r="E8" s="32">
        <v>-3900</v>
      </c>
      <c r="F8" s="32">
        <v>-4000</v>
      </c>
    </row>
    <row r="9" spans="1:13" x14ac:dyDescent="0.4">
      <c r="A9" s="15">
        <v>70</v>
      </c>
      <c r="C9" s="32">
        <v>-1200</v>
      </c>
      <c r="D9" s="32">
        <v>-2300</v>
      </c>
      <c r="E9" s="32">
        <v>-4000</v>
      </c>
      <c r="F9" s="32">
        <v>-4000</v>
      </c>
      <c r="M9" s="32" t="s">
        <v>10</v>
      </c>
    </row>
    <row r="10" spans="1:13" x14ac:dyDescent="0.4">
      <c r="A10" s="15">
        <v>80</v>
      </c>
      <c r="C10" s="32">
        <v>-1300</v>
      </c>
      <c r="D10" s="32">
        <v>-2600</v>
      </c>
      <c r="E10" s="32">
        <v>-4000</v>
      </c>
      <c r="F10" s="32">
        <v>-4000</v>
      </c>
      <c r="M10" s="32" t="s">
        <v>10</v>
      </c>
    </row>
    <row r="11" spans="1:13" x14ac:dyDescent="0.4">
      <c r="A11" s="15">
        <v>90</v>
      </c>
      <c r="C11" s="32">
        <v>-1500</v>
      </c>
      <c r="D11" s="32">
        <v>-2900</v>
      </c>
      <c r="E11" s="32">
        <v>-4000</v>
      </c>
      <c r="F11" s="32">
        <v>-4000</v>
      </c>
      <c r="M11" s="32" t="s">
        <v>10</v>
      </c>
    </row>
    <row r="12" spans="1:13" x14ac:dyDescent="0.4">
      <c r="A12" s="15">
        <v>100</v>
      </c>
      <c r="C12" s="32">
        <v>-1600</v>
      </c>
      <c r="D12" s="32">
        <v>-3200</v>
      </c>
      <c r="E12" s="32">
        <v>-4000</v>
      </c>
      <c r="F12" s="32">
        <v>-4000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-3600</v>
      </c>
      <c r="E13" s="32">
        <v>-4000</v>
      </c>
      <c r="F13" s="32">
        <v>-4000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2019-10-21T14:05:44Z</dcterms:modified>
</cp:coreProperties>
</file>